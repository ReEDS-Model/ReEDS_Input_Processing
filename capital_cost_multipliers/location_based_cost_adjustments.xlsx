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minderm/ReEDS-2.0_Input_Processing/Capital_Cost_Multipliers/"/>
    </mc:Choice>
  </mc:AlternateContent>
  <xr:revisionPtr revIDLastSave="0" documentId="13_ncr:1_{49DD6E96-7206-FB44-AFE4-C695EFB2CAE9}" xr6:coauthVersionLast="47" xr6:coauthVersionMax="47" xr10:uidLastSave="{00000000-0000-0000-0000-000000000000}"/>
  <bookViews>
    <workbookView xWindow="19400" yWindow="0" windowWidth="19000" windowHeight="21600" firstSheet="4" activeTab="7" xr2:uid="{656F811D-ACFD-774C-BEA5-00A7D02F9351}"/>
  </bookViews>
  <sheets>
    <sheet name="Coal 95% Carbon Capture" sheetId="1" r:id="rId1"/>
    <sheet name="Small Modular Reactor Nuclear" sheetId="2" r:id="rId2"/>
    <sheet name="Battery Storage - 4 hours" sheetId="3" r:id="rId3"/>
    <sheet name="Solar PV w Single Axis Tracking" sheetId="4" r:id="rId4"/>
    <sheet name="Combustion Turbine Simple Cycle" sheetId="5" r:id="rId5"/>
    <sheet name="Onshore Wind Great Plains Regio" sheetId="7" r:id="rId6"/>
    <sheet name="Combine Cycle 2 2 1" sheetId="6" r:id="rId7"/>
    <sheet name="Offshore Wind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8" l="1"/>
  <c r="E6" i="8"/>
  <c r="E7" i="8"/>
  <c r="E8" i="8"/>
  <c r="E9" i="8"/>
  <c r="E11" i="8"/>
  <c r="E12" i="8"/>
  <c r="E16" i="8"/>
  <c r="E18" i="8"/>
  <c r="E25" i="8"/>
  <c r="E26" i="8"/>
  <c r="E27" i="8"/>
  <c r="E28" i="8"/>
  <c r="E29" i="8"/>
  <c r="E30" i="8"/>
  <c r="E37" i="8"/>
  <c r="E39" i="8"/>
  <c r="E40" i="8"/>
  <c r="E42" i="8"/>
  <c r="E46" i="8"/>
  <c r="E49" i="8"/>
  <c r="E50" i="8"/>
  <c r="E53" i="8"/>
  <c r="E56" i="8"/>
  <c r="E57" i="8"/>
  <c r="E58" i="8"/>
  <c r="E59" i="8"/>
  <c r="E61" i="8"/>
  <c r="G39" i="8"/>
  <c r="G16" i="8"/>
  <c r="G18" i="8"/>
  <c r="G25" i="8"/>
  <c r="G26" i="8"/>
  <c r="G27" i="8"/>
  <c r="G28" i="8"/>
  <c r="G29" i="8"/>
  <c r="G30" i="8"/>
  <c r="G37" i="8"/>
  <c r="G40" i="8"/>
  <c r="G42" i="8"/>
  <c r="G46" i="8"/>
  <c r="G49" i="8"/>
  <c r="G50" i="8"/>
  <c r="G53" i="8"/>
  <c r="G56" i="8"/>
  <c r="G57" i="8"/>
  <c r="G58" i="8"/>
  <c r="G59" i="8"/>
  <c r="G61" i="8"/>
  <c r="G5" i="8"/>
  <c r="G6" i="8"/>
  <c r="G7" i="8"/>
  <c r="G8" i="8"/>
  <c r="G9" i="8"/>
  <c r="G11" i="8"/>
  <c r="G12" i="8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2" i="6"/>
  <c r="E2" i="5"/>
  <c r="G2" i="6" l="1" a="1"/>
  <c r="G2" i="6" s="1"/>
  <c r="F2" i="6" a="1"/>
  <c r="F2" i="6" s="1"/>
  <c r="D2" i="6" a="1"/>
  <c r="D2" i="6" s="1"/>
  <c r="C2" i="6" a="1"/>
  <c r="C2" i="6" s="1"/>
  <c r="G2" i="7" a="1"/>
  <c r="G2" i="7" s="1"/>
  <c r="F2" i="7" a="1"/>
  <c r="F2" i="7" s="1"/>
  <c r="D2" i="7" a="1"/>
  <c r="D2" i="7" s="1"/>
  <c r="E2" i="7" s="1"/>
  <c r="C2" i="7" a="1"/>
  <c r="C2" i="7" s="1"/>
  <c r="G2" i="5" a="1"/>
  <c r="G2" i="5" s="1"/>
  <c r="F2" i="5" a="1"/>
  <c r="F2" i="5" s="1"/>
  <c r="D2" i="5" a="1"/>
  <c r="D2" i="5" s="1"/>
  <c r="C2" i="5" a="1"/>
  <c r="C2" i="5" s="1"/>
  <c r="E3" i="4"/>
  <c r="E4" i="4"/>
  <c r="E5" i="4"/>
  <c r="E9" i="4"/>
  <c r="E10" i="4"/>
  <c r="E11" i="4"/>
  <c r="E15" i="4"/>
  <c r="E16" i="4"/>
  <c r="E17" i="4"/>
  <c r="E21" i="4"/>
  <c r="E22" i="4"/>
  <c r="E23" i="4"/>
  <c r="E27" i="4"/>
  <c r="E28" i="4"/>
  <c r="E29" i="4"/>
  <c r="E33" i="4"/>
  <c r="E34" i="4"/>
  <c r="E35" i="4"/>
  <c r="E39" i="4"/>
  <c r="E40" i="4"/>
  <c r="E41" i="4"/>
  <c r="E44" i="4"/>
  <c r="E45" i="4"/>
  <c r="E46" i="4"/>
  <c r="E47" i="4"/>
  <c r="E51" i="4"/>
  <c r="E52" i="4"/>
  <c r="E53" i="4"/>
  <c r="E56" i="4"/>
  <c r="E57" i="4"/>
  <c r="E58" i="4"/>
  <c r="E59" i="4"/>
  <c r="E2" i="4"/>
  <c r="G2" i="4" a="1"/>
  <c r="G2" i="4" s="1"/>
  <c r="F2" i="4" a="1"/>
  <c r="F2" i="4" s="1"/>
  <c r="D2" i="4" a="1"/>
  <c r="D2" i="4" s="1"/>
  <c r="C2" i="4" a="1"/>
  <c r="C2" i="4" s="1"/>
  <c r="E3" i="3"/>
  <c r="E5" i="3"/>
  <c r="E6" i="3"/>
  <c r="E7" i="3"/>
  <c r="E10" i="3"/>
  <c r="E11" i="3"/>
  <c r="E12" i="3"/>
  <c r="E15" i="3"/>
  <c r="E17" i="3"/>
  <c r="E18" i="3"/>
  <c r="E19" i="3"/>
  <c r="E22" i="3"/>
  <c r="E23" i="3"/>
  <c r="E24" i="3"/>
  <c r="E27" i="3"/>
  <c r="E29" i="3"/>
  <c r="E30" i="3"/>
  <c r="E31" i="3"/>
  <c r="E34" i="3"/>
  <c r="E35" i="3"/>
  <c r="E36" i="3"/>
  <c r="E39" i="3"/>
  <c r="E41" i="3"/>
  <c r="E42" i="3"/>
  <c r="E43" i="3"/>
  <c r="E46" i="3"/>
  <c r="E47" i="3"/>
  <c r="E48" i="3"/>
  <c r="E51" i="3"/>
  <c r="E53" i="3"/>
  <c r="E54" i="3"/>
  <c r="E55" i="3"/>
  <c r="E58" i="3"/>
  <c r="E59" i="3"/>
  <c r="E60" i="3"/>
  <c r="E2" i="3"/>
  <c r="F2" i="2" a="1"/>
  <c r="F2" i="2" s="1"/>
  <c r="E4" i="2"/>
  <c r="E16" i="2"/>
  <c r="E28" i="2"/>
  <c r="E40" i="2"/>
  <c r="E52" i="2"/>
  <c r="E3" i="1"/>
  <c r="E15" i="1"/>
  <c r="E27" i="1"/>
  <c r="E39" i="1"/>
  <c r="E51" i="1"/>
  <c r="E2" i="1"/>
  <c r="G2" i="3" a="1"/>
  <c r="G2" i="3" s="1"/>
  <c r="F2" i="3" a="1"/>
  <c r="F2" i="3" s="1"/>
  <c r="D2" i="3" a="1"/>
  <c r="D2" i="3" s="1"/>
  <c r="C2" i="3" a="1"/>
  <c r="C2" i="3" s="1"/>
  <c r="G2" i="2" a="1"/>
  <c r="G2" i="2" s="1"/>
  <c r="D2" i="2" a="1"/>
  <c r="D2" i="2" s="1"/>
  <c r="E2" i="2" s="1"/>
  <c r="C2" i="2" a="1"/>
  <c r="C2" i="2" s="1"/>
  <c r="C2" i="1" a="1"/>
  <c r="C2" i="1" s="1"/>
  <c r="D2" i="1" a="1"/>
  <c r="D2" i="1" s="1"/>
  <c r="F2" i="1" a="1"/>
  <c r="F2" i="1" s="1"/>
  <c r="G2" i="1" a="1"/>
  <c r="G2" i="1" s="1"/>
  <c r="E52" i="1" l="1"/>
  <c r="E40" i="1"/>
  <c r="E28" i="1"/>
  <c r="E16" i="1"/>
  <c r="E4" i="1"/>
  <c r="E53" i="2"/>
  <c r="E41" i="2"/>
  <c r="E29" i="2"/>
  <c r="E17" i="2"/>
  <c r="E5" i="2"/>
  <c r="E60" i="4"/>
  <c r="E48" i="4"/>
  <c r="E36" i="4"/>
  <c r="E24" i="4"/>
  <c r="E12" i="4"/>
  <c r="E61" i="7"/>
  <c r="E49" i="7"/>
  <c r="E37" i="7"/>
  <c r="E25" i="7"/>
  <c r="E13" i="7"/>
  <c r="E62" i="5"/>
  <c r="E50" i="5"/>
  <c r="E38" i="5"/>
  <c r="E26" i="5"/>
  <c r="E14" i="5"/>
  <c r="E60" i="7"/>
  <c r="E48" i="7"/>
  <c r="E36" i="7"/>
  <c r="E24" i="7"/>
  <c r="E12" i="7"/>
  <c r="E61" i="5"/>
  <c r="E49" i="5"/>
  <c r="E37" i="5"/>
  <c r="E25" i="5"/>
  <c r="E13" i="5"/>
  <c r="E62" i="1"/>
  <c r="E50" i="1"/>
  <c r="E38" i="1"/>
  <c r="E26" i="1"/>
  <c r="E14" i="1"/>
  <c r="E51" i="2"/>
  <c r="E39" i="2"/>
  <c r="E27" i="2"/>
  <c r="E15" i="2"/>
  <c r="E3" i="2"/>
  <c r="E59" i="7"/>
  <c r="E47" i="7"/>
  <c r="E35" i="7"/>
  <c r="E23" i="7"/>
  <c r="E11" i="7"/>
  <c r="E60" i="5"/>
  <c r="E48" i="5"/>
  <c r="E36" i="5"/>
  <c r="E24" i="5"/>
  <c r="E12" i="5"/>
  <c r="E61" i="1"/>
  <c r="E49" i="1"/>
  <c r="E37" i="1"/>
  <c r="E25" i="1"/>
  <c r="E13" i="1"/>
  <c r="E62" i="2"/>
  <c r="E50" i="2"/>
  <c r="E38" i="2"/>
  <c r="E26" i="2"/>
  <c r="E14" i="2"/>
  <c r="E52" i="3"/>
  <c r="E40" i="3"/>
  <c r="E28" i="3"/>
  <c r="E16" i="3"/>
  <c r="E4" i="3"/>
  <c r="E58" i="7"/>
  <c r="E46" i="7"/>
  <c r="E34" i="7"/>
  <c r="E22" i="7"/>
  <c r="E10" i="7"/>
  <c r="E59" i="5"/>
  <c r="E47" i="5"/>
  <c r="E35" i="5"/>
  <c r="E23" i="5"/>
  <c r="E11" i="5"/>
  <c r="E60" i="1"/>
  <c r="E48" i="1"/>
  <c r="E36" i="1"/>
  <c r="E24" i="1"/>
  <c r="E12" i="1"/>
  <c r="E61" i="2"/>
  <c r="E49" i="2"/>
  <c r="E37" i="2"/>
  <c r="E25" i="2"/>
  <c r="E13" i="2"/>
  <c r="E32" i="4"/>
  <c r="E20" i="4"/>
  <c r="E8" i="4"/>
  <c r="E57" i="7"/>
  <c r="E45" i="7"/>
  <c r="E33" i="7"/>
  <c r="E21" i="7"/>
  <c r="E9" i="7"/>
  <c r="E58" i="5"/>
  <c r="E46" i="5"/>
  <c r="E34" i="5"/>
  <c r="E22" i="5"/>
  <c r="E10" i="5"/>
  <c r="E59" i="1"/>
  <c r="E47" i="1"/>
  <c r="E35" i="1"/>
  <c r="E23" i="1"/>
  <c r="E11" i="1"/>
  <c r="E60" i="2"/>
  <c r="E48" i="2"/>
  <c r="E36" i="2"/>
  <c r="E24" i="2"/>
  <c r="E12" i="2"/>
  <c r="E62" i="3"/>
  <c r="E50" i="3"/>
  <c r="E38" i="3"/>
  <c r="E26" i="3"/>
  <c r="E14" i="3"/>
  <c r="E55" i="4"/>
  <c r="E43" i="4"/>
  <c r="E31" i="4"/>
  <c r="E19" i="4"/>
  <c r="E7" i="4"/>
  <c r="E56" i="7"/>
  <c r="E44" i="7"/>
  <c r="E32" i="7"/>
  <c r="E20" i="7"/>
  <c r="E8" i="7"/>
  <c r="E57" i="5"/>
  <c r="E45" i="5"/>
  <c r="E33" i="5"/>
  <c r="E21" i="5"/>
  <c r="E9" i="5"/>
  <c r="E58" i="1"/>
  <c r="E46" i="1"/>
  <c r="E34" i="1"/>
  <c r="E22" i="1"/>
  <c r="E10" i="1"/>
  <c r="E59" i="2"/>
  <c r="E47" i="2"/>
  <c r="E35" i="2"/>
  <c r="E23" i="2"/>
  <c r="E11" i="2"/>
  <c r="E61" i="3"/>
  <c r="E49" i="3"/>
  <c r="E37" i="3"/>
  <c r="E25" i="3"/>
  <c r="E13" i="3"/>
  <c r="E54" i="4"/>
  <c r="E42" i="4"/>
  <c r="E30" i="4"/>
  <c r="E18" i="4"/>
  <c r="E6" i="4"/>
  <c r="E55" i="7"/>
  <c r="E43" i="7"/>
  <c r="E31" i="7"/>
  <c r="E19" i="7"/>
  <c r="E7" i="7"/>
  <c r="E56" i="5"/>
  <c r="E44" i="5"/>
  <c r="E32" i="5"/>
  <c r="E20" i="5"/>
  <c r="E8" i="5"/>
  <c r="E57" i="1"/>
  <c r="E45" i="1"/>
  <c r="E33" i="1"/>
  <c r="E21" i="1"/>
  <c r="E9" i="1"/>
  <c r="E58" i="2"/>
  <c r="E46" i="2"/>
  <c r="E34" i="2"/>
  <c r="E22" i="2"/>
  <c r="E10" i="2"/>
  <c r="E54" i="7"/>
  <c r="E42" i="7"/>
  <c r="E30" i="7"/>
  <c r="E18" i="7"/>
  <c r="E6" i="7"/>
  <c r="E55" i="5"/>
  <c r="E43" i="5"/>
  <c r="E31" i="5"/>
  <c r="E19" i="5"/>
  <c r="E7" i="5"/>
  <c r="E56" i="1"/>
  <c r="E44" i="1"/>
  <c r="E32" i="1"/>
  <c r="E20" i="1"/>
  <c r="E8" i="1"/>
  <c r="E57" i="2"/>
  <c r="E45" i="2"/>
  <c r="E33" i="2"/>
  <c r="E21" i="2"/>
  <c r="E9" i="2"/>
  <c r="E53" i="7"/>
  <c r="E41" i="7"/>
  <c r="E29" i="7"/>
  <c r="E17" i="7"/>
  <c r="E5" i="7"/>
  <c r="E54" i="5"/>
  <c r="E42" i="5"/>
  <c r="E30" i="5"/>
  <c r="E18" i="5"/>
  <c r="E6" i="5"/>
  <c r="E55" i="1"/>
  <c r="E43" i="1"/>
  <c r="E31" i="1"/>
  <c r="E19" i="1"/>
  <c r="E7" i="1"/>
  <c r="E56" i="2"/>
  <c r="E44" i="2"/>
  <c r="E32" i="2"/>
  <c r="E20" i="2"/>
  <c r="E8" i="2"/>
  <c r="E52" i="7"/>
  <c r="E40" i="7"/>
  <c r="E28" i="7"/>
  <c r="E16" i="7"/>
  <c r="E4" i="7"/>
  <c r="E53" i="5"/>
  <c r="E41" i="5"/>
  <c r="E29" i="5"/>
  <c r="E17" i="5"/>
  <c r="E5" i="5"/>
  <c r="E54" i="1"/>
  <c r="E42" i="1"/>
  <c r="E30" i="1"/>
  <c r="E18" i="1"/>
  <c r="E6" i="1"/>
  <c r="E55" i="2"/>
  <c r="E43" i="2"/>
  <c r="E31" i="2"/>
  <c r="E19" i="2"/>
  <c r="E7" i="2"/>
  <c r="E57" i="3"/>
  <c r="E45" i="3"/>
  <c r="E33" i="3"/>
  <c r="E21" i="3"/>
  <c r="E9" i="3"/>
  <c r="E62" i="4"/>
  <c r="E50" i="4"/>
  <c r="E38" i="4"/>
  <c r="E26" i="4"/>
  <c r="E14" i="4"/>
  <c r="E51" i="7"/>
  <c r="E39" i="7"/>
  <c r="E27" i="7"/>
  <c r="E15" i="7"/>
  <c r="E3" i="7"/>
  <c r="E52" i="5"/>
  <c r="E40" i="5"/>
  <c r="E28" i="5"/>
  <c r="E16" i="5"/>
  <c r="E4" i="5"/>
  <c r="E53" i="1"/>
  <c r="E41" i="1"/>
  <c r="E29" i="1"/>
  <c r="E17" i="1"/>
  <c r="E5" i="1"/>
  <c r="E54" i="2"/>
  <c r="E42" i="2"/>
  <c r="E30" i="2"/>
  <c r="E18" i="2"/>
  <c r="E6" i="2"/>
  <c r="E56" i="3"/>
  <c r="E44" i="3"/>
  <c r="E32" i="3"/>
  <c r="E20" i="3"/>
  <c r="E8" i="3"/>
  <c r="E61" i="4"/>
  <c r="E49" i="4"/>
  <c r="E37" i="4"/>
  <c r="E25" i="4"/>
  <c r="E13" i="4"/>
  <c r="E62" i="7"/>
  <c r="E50" i="7"/>
  <c r="E38" i="7"/>
  <c r="E26" i="7"/>
  <c r="E14" i="7"/>
  <c r="E51" i="5"/>
  <c r="E39" i="5"/>
  <c r="E27" i="5"/>
  <c r="E15" i="5"/>
  <c r="E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<sst xmlns="http://schemas.openxmlformats.org/spreadsheetml/2006/main" count="1189" uniqueCount="113">
  <si>
    <t>Alabama</t>
  </si>
  <si>
    <t>Arizona</t>
  </si>
  <si>
    <t>Arkansas</t>
  </si>
  <si>
    <t>California</t>
  </si>
  <si>
    <t>Idaho</t>
  </si>
  <si>
    <t>Illinois</t>
  </si>
  <si>
    <t>Indiana</t>
  </si>
  <si>
    <t>Iowa</t>
  </si>
  <si>
    <t>Total Location Project Cost($/kW)</t>
  </si>
  <si>
    <t>Delta Cost Difference ($/kW)</t>
  </si>
  <si>
    <t>Location Variation</t>
  </si>
  <si>
    <t>Base Project Cost ($/kW)</t>
  </si>
  <si>
    <t>City</t>
  </si>
  <si>
    <t>State</t>
  </si>
  <si>
    <t>Detroit</t>
  </si>
  <si>
    <t>Huntsville</t>
  </si>
  <si>
    <t>Phoenix</t>
  </si>
  <si>
    <t>Bakersfield</t>
  </si>
  <si>
    <t>Modesto</t>
  </si>
  <si>
    <t>Sacramento</t>
  </si>
  <si>
    <t>Denver</t>
  </si>
  <si>
    <t>Hartford</t>
  </si>
  <si>
    <t>Dover</t>
  </si>
  <si>
    <t>Washington</t>
  </si>
  <si>
    <t>Tallahassee</t>
  </si>
  <si>
    <t>Tampa</t>
  </si>
  <si>
    <t>Atlanta</t>
  </si>
  <si>
    <t>Boise</t>
  </si>
  <si>
    <t>Chicago</t>
  </si>
  <si>
    <t>Indianapolis</t>
  </si>
  <si>
    <t>Davenport</t>
  </si>
  <si>
    <t>Waterloo</t>
  </si>
  <si>
    <t>Wichita</t>
  </si>
  <si>
    <t>Louisville</t>
  </si>
  <si>
    <t>Portland</t>
  </si>
  <si>
    <t>Baltimore</t>
  </si>
  <si>
    <t>Boston</t>
  </si>
  <si>
    <t>Biloxi</t>
  </si>
  <si>
    <t>Kansas</t>
  </si>
  <si>
    <t>Omaha</t>
  </si>
  <si>
    <t>Manchester</t>
  </si>
  <si>
    <t>Newark</t>
  </si>
  <si>
    <t>Albuquerque</t>
  </si>
  <si>
    <t>Syracuse</t>
  </si>
  <si>
    <t>Charlotte</t>
  </si>
  <si>
    <t>Bismarck</t>
  </si>
  <si>
    <t>Cincinnati</t>
  </si>
  <si>
    <t>Oklahoma</t>
  </si>
  <si>
    <t>Scranton</t>
  </si>
  <si>
    <t>Providence</t>
  </si>
  <si>
    <t>Charleston</t>
  </si>
  <si>
    <t>Nashville</t>
  </si>
  <si>
    <t>Houston</t>
  </si>
  <si>
    <t>Burlington</t>
  </si>
  <si>
    <t>Alexandria</t>
  </si>
  <si>
    <t>Roanoke</t>
  </si>
  <si>
    <t>Seattle</t>
  </si>
  <si>
    <t>Spokane</t>
  </si>
  <si>
    <t>Cheyenne</t>
  </si>
  <si>
    <t>Little Rock</t>
  </si>
  <si>
    <t>Los Angeles</t>
  </si>
  <si>
    <t>San Francisco</t>
  </si>
  <si>
    <t xml:space="preserve">New Orleans </t>
  </si>
  <si>
    <t>Grand Rapids</t>
  </si>
  <si>
    <t>Saint Paul</t>
  </si>
  <si>
    <t>St. Louis</t>
  </si>
  <si>
    <t>Kansas City</t>
  </si>
  <si>
    <t>Great Falls</t>
  </si>
  <si>
    <t>New York</t>
  </si>
  <si>
    <t>Las Vegas</t>
  </si>
  <si>
    <t xml:space="preserve">Oklahoma City </t>
  </si>
  <si>
    <t xml:space="preserve">Philadelphia </t>
  </si>
  <si>
    <t>Rapid City</t>
  </si>
  <si>
    <t>Salt Lake City</t>
  </si>
  <si>
    <t>Green Bay</t>
  </si>
  <si>
    <t>Colorado</t>
  </si>
  <si>
    <t>Connecticut</t>
  </si>
  <si>
    <t>Deleware</t>
  </si>
  <si>
    <t>District of Columbia</t>
  </si>
  <si>
    <t>Florida</t>
  </si>
  <si>
    <t>Georgia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</si>
  <si>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</si>
  <si>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</si>
  <si>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</si>
  <si>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</si>
  <si>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</si>
  <si>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</si>
  <si>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</si>
  <si>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</si>
  <si>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</si>
  <si>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</si>
  <si>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</si>
  <si>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New Hampshire</t>
  </si>
  <si>
    <t>New Jersey</t>
  </si>
  <si>
    <t>New Mexico</t>
  </si>
  <si>
    <t>Nevada</t>
  </si>
  <si>
    <t xml:space="preserve">North Carolina </t>
  </si>
  <si>
    <t>North Dakota</t>
  </si>
  <si>
    <t>Ohio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</si>
  <si>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</si>
  <si>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</si>
  <si>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</si>
  <si>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</si>
  <si>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</si>
  <si>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</si>
  <si>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</si>
  <si>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</si>
  <si>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</si>
  <si>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</si>
  <si>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West Virginia</t>
  </si>
  <si>
    <t>Wisconsin</t>
  </si>
  <si>
    <t>Wyoming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</si>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</sst>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2" fillId="0" borderId="0" xfId="0" applyFont="1"/>
    <xf numFmtId="9" fontId="0" fillId="0" borderId="0" xfId="1" applyFont="1"/>
    <xf numFmtId="3" fontId="3" fillId="0" borderId="0" xfId="0" applyNumberFormat="1" applyFon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8F3E-757A-B641-89C1-5FE14A2B25BD}">
  <dimension ref="A1:BR62"/>
  <sheetViews>
    <sheetView workbookViewId="0">
      <selection activeCell="E2" sqref="E2:E62"/>
    </sheetView>
  </sheetViews>
  <sheetFormatPr baseColWidth="10" defaultRowHeight="16" x14ac:dyDescent="0.2"/>
  <cols>
    <col min="2" max="2" width="13.33203125" bestFit="1" customWidth="1"/>
    <col min="3" max="3" width="21.6640625" bestFit="1" customWidth="1"/>
    <col min="4" max="4" width="15.83203125" bestFit="1" customWidth="1"/>
    <col min="5" max="5" width="15.83203125" customWidth="1"/>
    <col min="6" max="6" width="24.83203125" bestFit="1" customWidth="1"/>
    <col min="7" max="7" width="28.83203125" bestFit="1" customWidth="1"/>
  </cols>
  <sheetData>
    <row r="1" spans="1:70" x14ac:dyDescent="0.2">
      <c r="A1" s="2" t="s">
        <v>13</v>
      </c>
      <c r="B1" s="2" t="s">
        <v>12</v>
      </c>
      <c r="C1" s="2" t="s">
        <v>11</v>
      </c>
      <c r="D1" s="2" t="s">
        <v>10</v>
      </c>
      <c r="E1" s="2"/>
      <c r="F1" s="2" t="s">
        <v>9</v>
      </c>
      <c r="G1" s="2" t="s">
        <v>8</v>
      </c>
    </row>
    <row r="2" spans="1:70" x14ac:dyDescent="0.2">
      <c r="A2" t="s">
        <v>0</v>
      </c>
      <c r="B2" t="s">
        <v>15</v>
      </c>
      <c r="C2" cm="1">
        <f t="array" ref="C2:C62">TRANSPOSE(J6:BR6)</f>
        <v>7346</v>
      </c>
      <c r="D2" cm="1">
        <f t="array" ref="D2:D62">TRANSPOSE(J5:BR5)</f>
        <v>0.97</v>
      </c>
      <c r="E2" s="3">
        <f>D2-1</f>
        <v>-3.0000000000000027E-2</v>
      </c>
      <c r="F2" cm="1">
        <f t="array" ref="F2:F62">TRANSPOSE(J4:BR4)</f>
        <v>-246</v>
      </c>
      <c r="G2" cm="1">
        <f t="array" ref="G2:G62">TRANSPOSE(J3:BR3)</f>
        <v>7100</v>
      </c>
    </row>
    <row r="3" spans="1:70" x14ac:dyDescent="0.2">
      <c r="A3" t="s">
        <v>1</v>
      </c>
      <c r="B3" t="s">
        <v>16</v>
      </c>
      <c r="C3">
        <v>7346</v>
      </c>
      <c r="D3">
        <v>1.03</v>
      </c>
      <c r="E3" s="3">
        <f t="shared" ref="E3:E62" si="0">D3-1</f>
        <v>3.0000000000000027E-2</v>
      </c>
      <c r="F3">
        <v>210</v>
      </c>
      <c r="G3">
        <v>7556</v>
      </c>
      <c r="J3">
        <v>7100</v>
      </c>
      <c r="K3">
        <v>7556</v>
      </c>
      <c r="L3">
        <v>7122</v>
      </c>
      <c r="M3">
        <v>9145</v>
      </c>
      <c r="N3">
        <v>9323</v>
      </c>
      <c r="O3">
        <v>9413</v>
      </c>
      <c r="P3">
        <v>9551</v>
      </c>
      <c r="Q3">
        <v>10308</v>
      </c>
      <c r="R3">
        <v>7195</v>
      </c>
      <c r="S3">
        <v>8838</v>
      </c>
      <c r="T3">
        <v>8606</v>
      </c>
      <c r="U3">
        <v>7615</v>
      </c>
      <c r="V3">
        <v>6860</v>
      </c>
      <c r="W3">
        <v>6992</v>
      </c>
      <c r="X3">
        <v>7482</v>
      </c>
      <c r="Y3">
        <v>7567</v>
      </c>
      <c r="Z3">
        <v>9946</v>
      </c>
      <c r="AA3">
        <v>7419</v>
      </c>
      <c r="AB3">
        <v>7705</v>
      </c>
      <c r="AC3">
        <v>7254</v>
      </c>
      <c r="AD3">
        <v>7241</v>
      </c>
      <c r="AE3">
        <v>7432</v>
      </c>
      <c r="AF3">
        <v>7361</v>
      </c>
      <c r="AG3">
        <v>7599</v>
      </c>
      <c r="AH3">
        <v>7550</v>
      </c>
      <c r="AI3">
        <v>9495</v>
      </c>
      <c r="AJ3">
        <v>8163</v>
      </c>
      <c r="AK3">
        <v>7455</v>
      </c>
      <c r="AL3">
        <v>8257</v>
      </c>
      <c r="AM3">
        <v>6938</v>
      </c>
      <c r="AN3">
        <v>8348</v>
      </c>
      <c r="AO3">
        <v>7889</v>
      </c>
      <c r="AP3">
        <v>7205</v>
      </c>
      <c r="AQ3">
        <v>7248</v>
      </c>
      <c r="AR3">
        <v>7797</v>
      </c>
      <c r="AS3">
        <v>9574</v>
      </c>
      <c r="AT3">
        <v>7606</v>
      </c>
      <c r="AU3">
        <v>11777</v>
      </c>
      <c r="AV3">
        <v>7930</v>
      </c>
      <c r="AW3">
        <v>8609</v>
      </c>
      <c r="AX3">
        <v>7221</v>
      </c>
      <c r="AY3">
        <v>7639</v>
      </c>
      <c r="AZ3">
        <v>7168</v>
      </c>
      <c r="BA3">
        <v>6959</v>
      </c>
      <c r="BB3">
        <v>8478</v>
      </c>
      <c r="BC3">
        <v>9369</v>
      </c>
      <c r="BD3">
        <v>7876</v>
      </c>
      <c r="BE3">
        <v>8554</v>
      </c>
      <c r="BF3">
        <v>7050</v>
      </c>
      <c r="BG3">
        <v>7305</v>
      </c>
      <c r="BH3">
        <v>7308</v>
      </c>
      <c r="BI3">
        <v>6631</v>
      </c>
      <c r="BJ3">
        <v>7348</v>
      </c>
      <c r="BK3">
        <v>8020</v>
      </c>
      <c r="BL3">
        <v>7486</v>
      </c>
      <c r="BM3">
        <v>7237</v>
      </c>
      <c r="BN3">
        <v>8906</v>
      </c>
      <c r="BO3">
        <v>7876</v>
      </c>
      <c r="BP3">
        <v>7520</v>
      </c>
      <c r="BQ3">
        <v>8029</v>
      </c>
      <c r="BR3">
        <v>7297</v>
      </c>
    </row>
    <row r="4" spans="1:70" x14ac:dyDescent="0.2">
      <c r="A4" t="s">
        <v>2</v>
      </c>
      <c r="B4" t="s">
        <v>59</v>
      </c>
      <c r="C4">
        <v>7346</v>
      </c>
      <c r="D4">
        <v>0.97</v>
      </c>
      <c r="E4" s="3">
        <f t="shared" si="0"/>
        <v>-3.0000000000000027E-2</v>
      </c>
      <c r="F4">
        <v>-224</v>
      </c>
      <c r="G4">
        <v>7122</v>
      </c>
      <c r="J4">
        <v>-246</v>
      </c>
      <c r="K4">
        <v>210</v>
      </c>
      <c r="L4">
        <v>-224</v>
      </c>
      <c r="M4" s="1">
        <v>1799</v>
      </c>
      <c r="N4" s="1">
        <v>1977</v>
      </c>
      <c r="O4" s="1">
        <v>2067</v>
      </c>
      <c r="P4" s="1">
        <v>2205</v>
      </c>
      <c r="Q4" s="1">
        <v>2962</v>
      </c>
      <c r="R4">
        <v>-151</v>
      </c>
      <c r="S4" s="1">
        <v>1492</v>
      </c>
      <c r="T4" s="1">
        <v>1260</v>
      </c>
      <c r="U4">
        <v>269</v>
      </c>
      <c r="V4">
        <v>-486</v>
      </c>
      <c r="W4">
        <v>-354</v>
      </c>
      <c r="X4">
        <v>136</v>
      </c>
      <c r="Y4">
        <v>221</v>
      </c>
      <c r="Z4" s="1">
        <v>2600</v>
      </c>
      <c r="AA4">
        <v>73</v>
      </c>
      <c r="AB4">
        <v>359</v>
      </c>
      <c r="AC4">
        <v>-92</v>
      </c>
      <c r="AD4">
        <v>-105</v>
      </c>
      <c r="AE4">
        <v>86</v>
      </c>
      <c r="AF4">
        <v>15</v>
      </c>
      <c r="AG4">
        <v>253</v>
      </c>
      <c r="AH4">
        <v>204</v>
      </c>
      <c r="AI4" s="1">
        <v>2149</v>
      </c>
      <c r="AJ4">
        <v>817</v>
      </c>
      <c r="AK4">
        <v>109</v>
      </c>
      <c r="AL4">
        <v>911</v>
      </c>
      <c r="AM4">
        <v>-408</v>
      </c>
      <c r="AN4" s="1">
        <v>1002</v>
      </c>
      <c r="AO4">
        <v>543</v>
      </c>
      <c r="AP4">
        <v>-141</v>
      </c>
      <c r="AQ4">
        <v>-98</v>
      </c>
      <c r="AR4">
        <v>451</v>
      </c>
      <c r="AS4" s="1">
        <v>2228</v>
      </c>
      <c r="AT4">
        <v>260</v>
      </c>
      <c r="AU4" s="1">
        <v>4431</v>
      </c>
      <c r="AV4">
        <v>584</v>
      </c>
      <c r="AW4" s="1">
        <v>1263</v>
      </c>
      <c r="AX4">
        <v>-125</v>
      </c>
      <c r="AY4">
        <v>293</v>
      </c>
      <c r="AZ4">
        <v>-178</v>
      </c>
      <c r="BA4">
        <v>-387</v>
      </c>
      <c r="BB4" s="1">
        <v>1132</v>
      </c>
      <c r="BC4" s="1">
        <v>2023</v>
      </c>
      <c r="BD4">
        <v>530</v>
      </c>
      <c r="BE4" s="1">
        <v>1208</v>
      </c>
      <c r="BF4">
        <v>-296</v>
      </c>
      <c r="BG4">
        <v>-41</v>
      </c>
      <c r="BH4">
        <v>-38</v>
      </c>
      <c r="BI4">
        <v>-715</v>
      </c>
      <c r="BJ4">
        <v>2</v>
      </c>
      <c r="BK4">
        <v>674</v>
      </c>
      <c r="BL4">
        <v>140</v>
      </c>
      <c r="BM4">
        <v>-109</v>
      </c>
      <c r="BN4" s="1">
        <v>1560</v>
      </c>
      <c r="BO4">
        <v>530</v>
      </c>
      <c r="BP4">
        <v>174</v>
      </c>
      <c r="BQ4">
        <v>683</v>
      </c>
      <c r="BR4">
        <v>-49</v>
      </c>
    </row>
    <row r="5" spans="1:70" x14ac:dyDescent="0.2">
      <c r="A5" t="s">
        <v>3</v>
      </c>
      <c r="B5" t="s">
        <v>17</v>
      </c>
      <c r="C5">
        <v>7346</v>
      </c>
      <c r="D5">
        <v>1.24</v>
      </c>
      <c r="E5" s="3">
        <f t="shared" si="0"/>
        <v>0.24</v>
      </c>
      <c r="F5">
        <v>1799</v>
      </c>
      <c r="G5">
        <v>9145</v>
      </c>
      <c r="J5">
        <v>0.97</v>
      </c>
      <c r="K5">
        <v>1.03</v>
      </c>
      <c r="L5">
        <v>0.97</v>
      </c>
      <c r="M5">
        <v>1.24</v>
      </c>
      <c r="N5">
        <v>1.27</v>
      </c>
      <c r="O5">
        <v>1.28</v>
      </c>
      <c r="P5">
        <v>1.3</v>
      </c>
      <c r="Q5">
        <v>1.4</v>
      </c>
      <c r="R5">
        <v>0.98</v>
      </c>
      <c r="S5">
        <v>1.2</v>
      </c>
      <c r="T5">
        <v>1.17</v>
      </c>
      <c r="U5">
        <v>1.04</v>
      </c>
      <c r="V5">
        <v>0.93</v>
      </c>
      <c r="W5">
        <v>0.95</v>
      </c>
      <c r="X5">
        <v>1.02</v>
      </c>
      <c r="Y5">
        <v>1.03</v>
      </c>
      <c r="Z5">
        <v>1.35</v>
      </c>
      <c r="AA5">
        <v>1.01</v>
      </c>
      <c r="AB5">
        <v>1.05</v>
      </c>
      <c r="AC5">
        <v>0.99</v>
      </c>
      <c r="AD5">
        <v>0.99</v>
      </c>
      <c r="AE5">
        <v>1.01</v>
      </c>
      <c r="AF5">
        <v>1</v>
      </c>
      <c r="AG5">
        <v>1.03</v>
      </c>
      <c r="AH5">
        <v>1.03</v>
      </c>
      <c r="AI5">
        <v>1.29</v>
      </c>
      <c r="AJ5">
        <v>1.1100000000000001</v>
      </c>
      <c r="AK5">
        <v>1.01</v>
      </c>
      <c r="AL5">
        <v>1.1200000000000001</v>
      </c>
      <c r="AM5">
        <v>0.94</v>
      </c>
      <c r="AN5">
        <v>1.1399999999999999</v>
      </c>
      <c r="AO5">
        <v>1.07</v>
      </c>
      <c r="AP5">
        <v>0.98</v>
      </c>
      <c r="AQ5">
        <v>0.99</v>
      </c>
      <c r="AR5">
        <v>1.06</v>
      </c>
      <c r="AS5">
        <v>1.3</v>
      </c>
      <c r="AT5">
        <v>1.04</v>
      </c>
      <c r="AU5">
        <v>1.6</v>
      </c>
      <c r="AV5">
        <v>1.08</v>
      </c>
      <c r="AW5">
        <v>1.17</v>
      </c>
      <c r="AX5">
        <v>0.98</v>
      </c>
      <c r="AY5">
        <v>1.04</v>
      </c>
      <c r="AZ5">
        <v>0.98</v>
      </c>
      <c r="BA5">
        <v>0.95</v>
      </c>
      <c r="BB5">
        <v>1.1499999999999999</v>
      </c>
      <c r="BC5">
        <v>1.28</v>
      </c>
      <c r="BD5">
        <v>1.07</v>
      </c>
      <c r="BE5">
        <v>1.1599999999999999</v>
      </c>
      <c r="BF5">
        <v>0.96</v>
      </c>
      <c r="BG5">
        <v>0.99</v>
      </c>
      <c r="BH5">
        <v>0.99</v>
      </c>
      <c r="BI5">
        <v>0.9</v>
      </c>
      <c r="BJ5">
        <v>1</v>
      </c>
      <c r="BK5">
        <v>1.0900000000000001</v>
      </c>
      <c r="BL5">
        <v>1.02</v>
      </c>
      <c r="BM5">
        <v>0.99</v>
      </c>
      <c r="BN5">
        <v>1.21</v>
      </c>
      <c r="BO5">
        <v>1.07</v>
      </c>
      <c r="BP5">
        <v>1.02</v>
      </c>
      <c r="BQ5">
        <v>1.0900000000000001</v>
      </c>
      <c r="BR5">
        <v>0.99</v>
      </c>
    </row>
    <row r="6" spans="1:70" x14ac:dyDescent="0.2">
      <c r="A6" t="s">
        <v>3</v>
      </c>
      <c r="B6" t="s">
        <v>60</v>
      </c>
      <c r="C6">
        <v>7346</v>
      </c>
      <c r="D6">
        <v>1.27</v>
      </c>
      <c r="E6" s="3">
        <f t="shared" si="0"/>
        <v>0.27</v>
      </c>
      <c r="F6">
        <v>1977</v>
      </c>
      <c r="G6">
        <v>9323</v>
      </c>
      <c r="J6" s="1">
        <v>7346</v>
      </c>
      <c r="K6" s="1">
        <v>7346</v>
      </c>
      <c r="L6" s="1">
        <v>7346</v>
      </c>
      <c r="M6" s="1">
        <v>7346</v>
      </c>
      <c r="N6" s="1">
        <v>7346</v>
      </c>
      <c r="O6" s="1">
        <v>7346</v>
      </c>
      <c r="P6" s="1">
        <v>7346</v>
      </c>
      <c r="Q6" s="1">
        <v>7346</v>
      </c>
      <c r="R6" s="1">
        <v>7346</v>
      </c>
      <c r="S6" s="1">
        <v>7346</v>
      </c>
      <c r="T6" s="1">
        <v>7346</v>
      </c>
      <c r="U6" s="1">
        <v>7346</v>
      </c>
      <c r="V6" s="1">
        <v>7346</v>
      </c>
      <c r="W6" s="1">
        <v>7346</v>
      </c>
      <c r="X6" s="1">
        <v>7346</v>
      </c>
      <c r="Y6" s="1">
        <v>7346</v>
      </c>
      <c r="Z6" s="1">
        <v>7346</v>
      </c>
      <c r="AA6" s="1">
        <v>7346</v>
      </c>
      <c r="AB6" s="1">
        <v>7346</v>
      </c>
      <c r="AC6" s="1">
        <v>7346</v>
      </c>
      <c r="AD6" s="1">
        <v>7346</v>
      </c>
      <c r="AE6" s="1">
        <v>7346</v>
      </c>
      <c r="AF6" s="1">
        <v>7346</v>
      </c>
      <c r="AG6" s="1">
        <v>7346</v>
      </c>
      <c r="AH6" s="1">
        <v>7346</v>
      </c>
      <c r="AI6" s="1">
        <v>7346</v>
      </c>
      <c r="AJ6" s="1">
        <v>7346</v>
      </c>
      <c r="AK6" s="1">
        <v>7346</v>
      </c>
      <c r="AL6" s="1">
        <v>7346</v>
      </c>
      <c r="AM6" s="1">
        <v>7346</v>
      </c>
      <c r="AN6" s="1">
        <v>7346</v>
      </c>
      <c r="AO6" s="1">
        <v>7346</v>
      </c>
      <c r="AP6" s="1">
        <v>7346</v>
      </c>
      <c r="AQ6" s="1">
        <v>7346</v>
      </c>
      <c r="AR6" s="1">
        <v>7346</v>
      </c>
      <c r="AS6" s="1">
        <v>7346</v>
      </c>
      <c r="AT6" s="1">
        <v>7346</v>
      </c>
      <c r="AU6" s="1">
        <v>7346</v>
      </c>
      <c r="AV6" s="1">
        <v>7346</v>
      </c>
      <c r="AW6" s="1">
        <v>7346</v>
      </c>
      <c r="AX6" s="1">
        <v>7346</v>
      </c>
      <c r="AY6" s="1">
        <v>7346</v>
      </c>
      <c r="AZ6" s="1">
        <v>7346</v>
      </c>
      <c r="BA6" s="1">
        <v>7346</v>
      </c>
      <c r="BB6" s="1">
        <v>7346</v>
      </c>
      <c r="BC6" s="1">
        <v>7346</v>
      </c>
      <c r="BD6" s="1">
        <v>7346</v>
      </c>
      <c r="BE6" s="1">
        <v>7346</v>
      </c>
      <c r="BF6" s="1">
        <v>7346</v>
      </c>
      <c r="BG6" s="1">
        <v>7346</v>
      </c>
      <c r="BH6" s="1">
        <v>7346</v>
      </c>
      <c r="BI6" s="1">
        <v>7346</v>
      </c>
      <c r="BJ6" s="1">
        <v>7346</v>
      </c>
      <c r="BK6" s="1">
        <v>7346</v>
      </c>
      <c r="BL6" s="1">
        <v>7346</v>
      </c>
      <c r="BM6" s="1">
        <v>7346</v>
      </c>
      <c r="BN6" s="1">
        <v>7346</v>
      </c>
      <c r="BO6" s="1">
        <v>7346</v>
      </c>
      <c r="BP6" s="1">
        <v>7346</v>
      </c>
      <c r="BQ6" s="1">
        <v>7346</v>
      </c>
      <c r="BR6" s="1">
        <v>7346</v>
      </c>
    </row>
    <row r="7" spans="1:70" x14ac:dyDescent="0.2">
      <c r="A7" t="s">
        <v>3</v>
      </c>
      <c r="B7" t="s">
        <v>18</v>
      </c>
      <c r="C7">
        <v>7346</v>
      </c>
      <c r="D7">
        <v>1.28</v>
      </c>
      <c r="E7" s="3">
        <f t="shared" si="0"/>
        <v>0.28000000000000003</v>
      </c>
      <c r="F7">
        <v>2067</v>
      </c>
      <c r="G7">
        <v>9413</v>
      </c>
    </row>
    <row r="8" spans="1:70" x14ac:dyDescent="0.2">
      <c r="A8" t="s">
        <v>3</v>
      </c>
      <c r="B8" t="s">
        <v>19</v>
      </c>
      <c r="C8">
        <v>7346</v>
      </c>
      <c r="D8">
        <v>1.3</v>
      </c>
      <c r="E8" s="3">
        <f t="shared" si="0"/>
        <v>0.30000000000000004</v>
      </c>
      <c r="F8">
        <v>2205</v>
      </c>
      <c r="G8">
        <v>9551</v>
      </c>
    </row>
    <row r="9" spans="1:70" x14ac:dyDescent="0.2">
      <c r="A9" t="s">
        <v>3</v>
      </c>
      <c r="B9" t="s">
        <v>61</v>
      </c>
      <c r="C9">
        <v>7346</v>
      </c>
      <c r="D9">
        <v>1.4</v>
      </c>
      <c r="E9" s="3">
        <f t="shared" si="0"/>
        <v>0.39999999999999991</v>
      </c>
      <c r="F9">
        <v>2962</v>
      </c>
      <c r="G9">
        <v>10308</v>
      </c>
    </row>
    <row r="10" spans="1:70" x14ac:dyDescent="0.2">
      <c r="A10" t="s">
        <v>75</v>
      </c>
      <c r="B10" t="s">
        <v>20</v>
      </c>
      <c r="C10">
        <v>7346</v>
      </c>
      <c r="D10">
        <v>0.98</v>
      </c>
      <c r="E10" s="3">
        <f t="shared" si="0"/>
        <v>-2.0000000000000018E-2</v>
      </c>
      <c r="F10">
        <v>-151</v>
      </c>
      <c r="G10">
        <v>7195</v>
      </c>
    </row>
    <row r="11" spans="1:70" x14ac:dyDescent="0.2">
      <c r="A11" t="s">
        <v>76</v>
      </c>
      <c r="B11" t="s">
        <v>21</v>
      </c>
      <c r="C11">
        <v>7346</v>
      </c>
      <c r="D11">
        <v>1.2</v>
      </c>
      <c r="E11" s="3">
        <f t="shared" si="0"/>
        <v>0.19999999999999996</v>
      </c>
      <c r="F11">
        <v>1492</v>
      </c>
      <c r="G11">
        <v>8838</v>
      </c>
    </row>
    <row r="12" spans="1:70" x14ac:dyDescent="0.2">
      <c r="A12" t="s">
        <v>77</v>
      </c>
      <c r="B12" t="s">
        <v>22</v>
      </c>
      <c r="C12">
        <v>7346</v>
      </c>
      <c r="D12">
        <v>1.17</v>
      </c>
      <c r="E12" s="3">
        <f t="shared" si="0"/>
        <v>0.16999999999999993</v>
      </c>
      <c r="F12">
        <v>1260</v>
      </c>
      <c r="G12">
        <v>8606</v>
      </c>
    </row>
    <row r="13" spans="1:70" x14ac:dyDescent="0.2">
      <c r="A13" t="s">
        <v>78</v>
      </c>
      <c r="B13" t="s">
        <v>23</v>
      </c>
      <c r="C13">
        <v>7346</v>
      </c>
      <c r="D13">
        <v>1.04</v>
      </c>
      <c r="E13" s="3">
        <f t="shared" si="0"/>
        <v>4.0000000000000036E-2</v>
      </c>
      <c r="F13">
        <v>269</v>
      </c>
      <c r="G13">
        <v>7615</v>
      </c>
    </row>
    <row r="14" spans="1:70" x14ac:dyDescent="0.2">
      <c r="A14" t="s">
        <v>79</v>
      </c>
      <c r="B14" t="s">
        <v>24</v>
      </c>
      <c r="C14">
        <v>7346</v>
      </c>
      <c r="D14">
        <v>0.93</v>
      </c>
      <c r="E14" s="3">
        <f t="shared" si="0"/>
        <v>-6.9999999999999951E-2</v>
      </c>
      <c r="F14">
        <v>-486</v>
      </c>
      <c r="G14">
        <v>6860</v>
      </c>
    </row>
    <row r="15" spans="1:70" x14ac:dyDescent="0.2">
      <c r="A15" t="s">
        <v>79</v>
      </c>
      <c r="B15" t="s">
        <v>25</v>
      </c>
      <c r="C15">
        <v>7346</v>
      </c>
      <c r="D15">
        <v>0.95</v>
      </c>
      <c r="E15" s="3">
        <f t="shared" si="0"/>
        <v>-5.0000000000000044E-2</v>
      </c>
      <c r="F15">
        <v>-354</v>
      </c>
      <c r="G15">
        <v>6992</v>
      </c>
    </row>
    <row r="16" spans="1:70" x14ac:dyDescent="0.2">
      <c r="A16" t="s">
        <v>80</v>
      </c>
      <c r="B16" t="s">
        <v>26</v>
      </c>
      <c r="C16">
        <v>7346</v>
      </c>
      <c r="D16">
        <v>1.02</v>
      </c>
      <c r="E16" s="3">
        <f t="shared" si="0"/>
        <v>2.0000000000000018E-2</v>
      </c>
      <c r="F16">
        <v>136</v>
      </c>
      <c r="G16">
        <v>7482</v>
      </c>
    </row>
    <row r="17" spans="1:7" x14ac:dyDescent="0.2">
      <c r="A17" t="s">
        <v>4</v>
      </c>
      <c r="B17" t="s">
        <v>27</v>
      </c>
      <c r="C17">
        <v>7346</v>
      </c>
      <c r="D17">
        <v>1.03</v>
      </c>
      <c r="E17" s="3">
        <f t="shared" si="0"/>
        <v>3.0000000000000027E-2</v>
      </c>
      <c r="F17">
        <v>221</v>
      </c>
      <c r="G17">
        <v>7567</v>
      </c>
    </row>
    <row r="18" spans="1:7" x14ac:dyDescent="0.2">
      <c r="A18" t="s">
        <v>5</v>
      </c>
      <c r="B18" t="s">
        <v>28</v>
      </c>
      <c r="C18">
        <v>7346</v>
      </c>
      <c r="D18">
        <v>1.35</v>
      </c>
      <c r="E18" s="3">
        <f t="shared" si="0"/>
        <v>0.35000000000000009</v>
      </c>
      <c r="F18">
        <v>2600</v>
      </c>
      <c r="G18">
        <v>9946</v>
      </c>
    </row>
    <row r="19" spans="1:7" x14ac:dyDescent="0.2">
      <c r="A19" t="s">
        <v>6</v>
      </c>
      <c r="B19" t="s">
        <v>29</v>
      </c>
      <c r="C19">
        <v>7346</v>
      </c>
      <c r="D19">
        <v>1.01</v>
      </c>
      <c r="E19" s="3">
        <f t="shared" si="0"/>
        <v>1.0000000000000009E-2</v>
      </c>
      <c r="F19">
        <v>73</v>
      </c>
      <c r="G19">
        <v>7419</v>
      </c>
    </row>
    <row r="20" spans="1:7" x14ac:dyDescent="0.2">
      <c r="A20" t="s">
        <v>7</v>
      </c>
      <c r="B20" t="s">
        <v>30</v>
      </c>
      <c r="C20">
        <v>7346</v>
      </c>
      <c r="D20">
        <v>1.05</v>
      </c>
      <c r="E20" s="3">
        <f t="shared" si="0"/>
        <v>5.0000000000000044E-2</v>
      </c>
      <c r="F20">
        <v>359</v>
      </c>
      <c r="G20">
        <v>7705</v>
      </c>
    </row>
    <row r="21" spans="1:7" x14ac:dyDescent="0.2">
      <c r="A21" t="s">
        <v>7</v>
      </c>
      <c r="B21" t="s">
        <v>31</v>
      </c>
      <c r="C21">
        <v>7346</v>
      </c>
      <c r="D21">
        <v>0.99</v>
      </c>
      <c r="E21" s="3">
        <f t="shared" si="0"/>
        <v>-1.0000000000000009E-2</v>
      </c>
      <c r="F21">
        <v>-92</v>
      </c>
      <c r="G21">
        <v>7254</v>
      </c>
    </row>
    <row r="22" spans="1:7" x14ac:dyDescent="0.2">
      <c r="A22" t="s">
        <v>38</v>
      </c>
      <c r="B22" t="s">
        <v>32</v>
      </c>
      <c r="C22">
        <v>7346</v>
      </c>
      <c r="D22">
        <v>0.99</v>
      </c>
      <c r="E22" s="3">
        <f t="shared" si="0"/>
        <v>-1.0000000000000009E-2</v>
      </c>
      <c r="F22">
        <v>-105</v>
      </c>
      <c r="G22">
        <v>7241</v>
      </c>
    </row>
    <row r="23" spans="1:7" x14ac:dyDescent="0.2">
      <c r="A23" t="s">
        <v>81</v>
      </c>
      <c r="B23" t="s">
        <v>33</v>
      </c>
      <c r="C23">
        <v>7346</v>
      </c>
      <c r="D23">
        <v>1.01</v>
      </c>
      <c r="E23" s="3">
        <f t="shared" si="0"/>
        <v>1.0000000000000009E-2</v>
      </c>
      <c r="F23">
        <v>86</v>
      </c>
      <c r="G23">
        <v>7432</v>
      </c>
    </row>
    <row r="24" spans="1:7" x14ac:dyDescent="0.2">
      <c r="A24" t="s">
        <v>82</v>
      </c>
      <c r="B24" t="s">
        <v>62</v>
      </c>
      <c r="C24">
        <v>7346</v>
      </c>
      <c r="D24">
        <v>1</v>
      </c>
      <c r="E24" s="3">
        <f t="shared" si="0"/>
        <v>0</v>
      </c>
      <c r="F24">
        <v>15</v>
      </c>
      <c r="G24">
        <v>7361</v>
      </c>
    </row>
    <row r="25" spans="1:7" x14ac:dyDescent="0.2">
      <c r="A25" t="s">
        <v>83</v>
      </c>
      <c r="B25" t="s">
        <v>34</v>
      </c>
      <c r="C25">
        <v>7346</v>
      </c>
      <c r="D25">
        <v>1.03</v>
      </c>
      <c r="E25" s="3">
        <f t="shared" si="0"/>
        <v>3.0000000000000027E-2</v>
      </c>
      <c r="F25">
        <v>253</v>
      </c>
      <c r="G25">
        <v>7599</v>
      </c>
    </row>
    <row r="26" spans="1:7" x14ac:dyDescent="0.2">
      <c r="A26" t="s">
        <v>84</v>
      </c>
      <c r="B26" t="s">
        <v>35</v>
      </c>
      <c r="C26">
        <v>7346</v>
      </c>
      <c r="D26">
        <v>1.03</v>
      </c>
      <c r="E26" s="3">
        <f t="shared" si="0"/>
        <v>3.0000000000000027E-2</v>
      </c>
      <c r="F26">
        <v>204</v>
      </c>
      <c r="G26">
        <v>7550</v>
      </c>
    </row>
    <row r="27" spans="1:7" x14ac:dyDescent="0.2">
      <c r="A27" t="s">
        <v>85</v>
      </c>
      <c r="B27" t="s">
        <v>36</v>
      </c>
      <c r="C27">
        <v>7346</v>
      </c>
      <c r="D27">
        <v>1.29</v>
      </c>
      <c r="E27" s="3">
        <f t="shared" si="0"/>
        <v>0.29000000000000004</v>
      </c>
      <c r="F27">
        <v>2149</v>
      </c>
      <c r="G27">
        <v>9495</v>
      </c>
    </row>
    <row r="28" spans="1:7" x14ac:dyDescent="0.2">
      <c r="A28" t="s">
        <v>86</v>
      </c>
      <c r="B28" t="s">
        <v>14</v>
      </c>
      <c r="C28">
        <v>7346</v>
      </c>
      <c r="D28">
        <v>1.1100000000000001</v>
      </c>
      <c r="E28" s="3">
        <f t="shared" si="0"/>
        <v>0.1100000000000001</v>
      </c>
      <c r="F28">
        <v>817</v>
      </c>
      <c r="G28">
        <v>8163</v>
      </c>
    </row>
    <row r="29" spans="1:7" x14ac:dyDescent="0.2">
      <c r="A29" t="s">
        <v>86</v>
      </c>
      <c r="B29" t="s">
        <v>63</v>
      </c>
      <c r="C29">
        <v>7346</v>
      </c>
      <c r="D29">
        <v>1.01</v>
      </c>
      <c r="E29" s="3">
        <f t="shared" si="0"/>
        <v>1.0000000000000009E-2</v>
      </c>
      <c r="F29">
        <v>109</v>
      </c>
      <c r="G29">
        <v>7455</v>
      </c>
    </row>
    <row r="30" spans="1:7" x14ac:dyDescent="0.2">
      <c r="A30" t="s">
        <v>87</v>
      </c>
      <c r="B30" t="s">
        <v>64</v>
      </c>
      <c r="C30">
        <v>7346</v>
      </c>
      <c r="D30">
        <v>1.1200000000000001</v>
      </c>
      <c r="E30" s="3">
        <f t="shared" si="0"/>
        <v>0.12000000000000011</v>
      </c>
      <c r="F30">
        <v>911</v>
      </c>
      <c r="G30">
        <v>8257</v>
      </c>
    </row>
    <row r="31" spans="1:7" x14ac:dyDescent="0.2">
      <c r="A31" t="s">
        <v>88</v>
      </c>
      <c r="B31" t="s">
        <v>37</v>
      </c>
      <c r="C31">
        <v>7346</v>
      </c>
      <c r="D31">
        <v>0.94</v>
      </c>
      <c r="E31" s="3">
        <f t="shared" si="0"/>
        <v>-6.0000000000000053E-2</v>
      </c>
      <c r="F31">
        <v>-408</v>
      </c>
      <c r="G31">
        <v>6938</v>
      </c>
    </row>
    <row r="32" spans="1:7" x14ac:dyDescent="0.2">
      <c r="A32" t="s">
        <v>89</v>
      </c>
      <c r="B32" t="s">
        <v>65</v>
      </c>
      <c r="C32">
        <v>7346</v>
      </c>
      <c r="D32">
        <v>1.1399999999999999</v>
      </c>
      <c r="E32" s="3">
        <f t="shared" si="0"/>
        <v>0.1399999999999999</v>
      </c>
      <c r="F32">
        <v>1002</v>
      </c>
      <c r="G32">
        <v>8348</v>
      </c>
    </row>
    <row r="33" spans="1:7" x14ac:dyDescent="0.2">
      <c r="A33" t="s">
        <v>89</v>
      </c>
      <c r="B33" t="s">
        <v>66</v>
      </c>
      <c r="C33">
        <v>7346</v>
      </c>
      <c r="D33">
        <v>1.07</v>
      </c>
      <c r="E33" s="3">
        <f t="shared" si="0"/>
        <v>7.0000000000000062E-2</v>
      </c>
      <c r="F33">
        <v>543</v>
      </c>
      <c r="G33">
        <v>7889</v>
      </c>
    </row>
    <row r="34" spans="1:7" x14ac:dyDescent="0.2">
      <c r="A34" t="s">
        <v>90</v>
      </c>
      <c r="B34" t="s">
        <v>67</v>
      </c>
      <c r="C34">
        <v>7346</v>
      </c>
      <c r="D34">
        <v>0.98</v>
      </c>
      <c r="E34" s="3">
        <f t="shared" si="0"/>
        <v>-2.0000000000000018E-2</v>
      </c>
      <c r="F34">
        <v>-141</v>
      </c>
      <c r="G34">
        <v>7205</v>
      </c>
    </row>
    <row r="35" spans="1:7" x14ac:dyDescent="0.2">
      <c r="A35" t="s">
        <v>91</v>
      </c>
      <c r="B35" t="s">
        <v>39</v>
      </c>
      <c r="C35">
        <v>7346</v>
      </c>
      <c r="D35">
        <v>0.99</v>
      </c>
      <c r="E35" s="3">
        <f t="shared" si="0"/>
        <v>-1.0000000000000009E-2</v>
      </c>
      <c r="F35">
        <v>-98</v>
      </c>
      <c r="G35">
        <v>7248</v>
      </c>
    </row>
    <row r="36" spans="1:7" x14ac:dyDescent="0.2">
      <c r="A36" t="s">
        <v>92</v>
      </c>
      <c r="B36" t="s">
        <v>40</v>
      </c>
      <c r="C36">
        <v>7346</v>
      </c>
      <c r="D36">
        <v>1.06</v>
      </c>
      <c r="E36" s="3">
        <f t="shared" si="0"/>
        <v>6.0000000000000053E-2</v>
      </c>
      <c r="F36">
        <v>451</v>
      </c>
      <c r="G36">
        <v>7797</v>
      </c>
    </row>
    <row r="37" spans="1:7" x14ac:dyDescent="0.2">
      <c r="A37" t="s">
        <v>93</v>
      </c>
      <c r="B37" t="s">
        <v>41</v>
      </c>
      <c r="C37">
        <v>7346</v>
      </c>
      <c r="D37">
        <v>1.3</v>
      </c>
      <c r="E37" s="3">
        <f t="shared" si="0"/>
        <v>0.30000000000000004</v>
      </c>
      <c r="F37">
        <v>2228</v>
      </c>
      <c r="G37">
        <v>9574</v>
      </c>
    </row>
    <row r="38" spans="1:7" x14ac:dyDescent="0.2">
      <c r="A38" t="s">
        <v>94</v>
      </c>
      <c r="B38" t="s">
        <v>42</v>
      </c>
      <c r="C38">
        <v>7346</v>
      </c>
      <c r="D38">
        <v>1.04</v>
      </c>
      <c r="E38" s="3">
        <f t="shared" si="0"/>
        <v>4.0000000000000036E-2</v>
      </c>
      <c r="F38">
        <v>260</v>
      </c>
      <c r="G38">
        <v>7606</v>
      </c>
    </row>
    <row r="39" spans="1:7" x14ac:dyDescent="0.2">
      <c r="A39" t="s">
        <v>68</v>
      </c>
      <c r="B39" t="s">
        <v>68</v>
      </c>
      <c r="C39">
        <v>7346</v>
      </c>
      <c r="D39">
        <v>1.6</v>
      </c>
      <c r="E39" s="3">
        <f t="shared" si="0"/>
        <v>0.60000000000000009</v>
      </c>
      <c r="F39">
        <v>4431</v>
      </c>
      <c r="G39">
        <v>11777</v>
      </c>
    </row>
    <row r="40" spans="1:7" x14ac:dyDescent="0.2">
      <c r="A40" t="s">
        <v>68</v>
      </c>
      <c r="B40" t="s">
        <v>43</v>
      </c>
      <c r="C40">
        <v>7346</v>
      </c>
      <c r="D40">
        <v>1.08</v>
      </c>
      <c r="E40" s="3">
        <f t="shared" si="0"/>
        <v>8.0000000000000071E-2</v>
      </c>
      <c r="F40">
        <v>584</v>
      </c>
      <c r="G40">
        <v>7930</v>
      </c>
    </row>
    <row r="41" spans="1:7" x14ac:dyDescent="0.2">
      <c r="A41" t="s">
        <v>95</v>
      </c>
      <c r="B41" t="s">
        <v>69</v>
      </c>
      <c r="C41">
        <v>7346</v>
      </c>
      <c r="D41">
        <v>1.17</v>
      </c>
      <c r="E41" s="3">
        <f t="shared" si="0"/>
        <v>0.16999999999999993</v>
      </c>
      <c r="F41">
        <v>1263</v>
      </c>
      <c r="G41">
        <v>8609</v>
      </c>
    </row>
    <row r="42" spans="1:7" x14ac:dyDescent="0.2">
      <c r="A42" t="s">
        <v>96</v>
      </c>
      <c r="B42" t="s">
        <v>44</v>
      </c>
      <c r="C42">
        <v>7346</v>
      </c>
      <c r="D42">
        <v>0.98</v>
      </c>
      <c r="E42" s="3">
        <f t="shared" si="0"/>
        <v>-2.0000000000000018E-2</v>
      </c>
      <c r="F42">
        <v>-125</v>
      </c>
      <c r="G42">
        <v>7221</v>
      </c>
    </row>
    <row r="43" spans="1:7" x14ac:dyDescent="0.2">
      <c r="A43" t="s">
        <v>97</v>
      </c>
      <c r="B43" t="s">
        <v>45</v>
      </c>
      <c r="C43">
        <v>7346</v>
      </c>
      <c r="D43">
        <v>1.04</v>
      </c>
      <c r="E43" s="3">
        <f t="shared" si="0"/>
        <v>4.0000000000000036E-2</v>
      </c>
      <c r="F43">
        <v>293</v>
      </c>
      <c r="G43">
        <v>7639</v>
      </c>
    </row>
    <row r="44" spans="1:7" x14ac:dyDescent="0.2">
      <c r="A44" t="s">
        <v>98</v>
      </c>
      <c r="B44" t="s">
        <v>46</v>
      </c>
      <c r="C44">
        <v>7346</v>
      </c>
      <c r="D44">
        <v>0.98</v>
      </c>
      <c r="E44" s="3">
        <f t="shared" si="0"/>
        <v>-2.0000000000000018E-2</v>
      </c>
      <c r="F44">
        <v>-178</v>
      </c>
      <c r="G44">
        <v>7168</v>
      </c>
    </row>
    <row r="45" spans="1:7" x14ac:dyDescent="0.2">
      <c r="A45" t="s">
        <v>47</v>
      </c>
      <c r="B45" t="s">
        <v>70</v>
      </c>
      <c r="C45">
        <v>7346</v>
      </c>
      <c r="D45">
        <v>0.95</v>
      </c>
      <c r="E45" s="3">
        <f t="shared" si="0"/>
        <v>-5.0000000000000044E-2</v>
      </c>
      <c r="F45">
        <v>-387</v>
      </c>
      <c r="G45">
        <v>6959</v>
      </c>
    </row>
    <row r="46" spans="1:7" x14ac:dyDescent="0.2">
      <c r="A46" t="s">
        <v>99</v>
      </c>
      <c r="B46" t="s">
        <v>34</v>
      </c>
      <c r="C46">
        <v>7346</v>
      </c>
      <c r="D46">
        <v>1.1499999999999999</v>
      </c>
      <c r="E46" s="3">
        <f t="shared" si="0"/>
        <v>0.14999999999999991</v>
      </c>
      <c r="F46">
        <v>1132</v>
      </c>
      <c r="G46">
        <v>8478</v>
      </c>
    </row>
    <row r="47" spans="1:7" x14ac:dyDescent="0.2">
      <c r="A47" t="s">
        <v>100</v>
      </c>
      <c r="B47" t="s">
        <v>71</v>
      </c>
      <c r="C47">
        <v>7346</v>
      </c>
      <c r="D47">
        <v>1.28</v>
      </c>
      <c r="E47" s="3">
        <f t="shared" si="0"/>
        <v>0.28000000000000003</v>
      </c>
      <c r="F47">
        <v>2023</v>
      </c>
      <c r="G47">
        <v>9369</v>
      </c>
    </row>
    <row r="48" spans="1:7" x14ac:dyDescent="0.2">
      <c r="A48" t="s">
        <v>100</v>
      </c>
      <c r="B48" t="s">
        <v>48</v>
      </c>
      <c r="C48">
        <v>7346</v>
      </c>
      <c r="D48">
        <v>1.07</v>
      </c>
      <c r="E48" s="3">
        <f t="shared" si="0"/>
        <v>7.0000000000000062E-2</v>
      </c>
      <c r="F48">
        <v>530</v>
      </c>
      <c r="G48">
        <v>7876</v>
      </c>
    </row>
    <row r="49" spans="1:7" x14ac:dyDescent="0.2">
      <c r="A49" t="s">
        <v>101</v>
      </c>
      <c r="B49" t="s">
        <v>49</v>
      </c>
      <c r="C49">
        <v>7346</v>
      </c>
      <c r="D49">
        <v>1.1599999999999999</v>
      </c>
      <c r="E49" s="3">
        <f t="shared" si="0"/>
        <v>0.15999999999999992</v>
      </c>
      <c r="F49">
        <v>1208</v>
      </c>
      <c r="G49">
        <v>8554</v>
      </c>
    </row>
    <row r="50" spans="1:7" x14ac:dyDescent="0.2">
      <c r="A50" t="s">
        <v>102</v>
      </c>
      <c r="B50" t="s">
        <v>50</v>
      </c>
      <c r="C50">
        <v>7346</v>
      </c>
      <c r="D50">
        <v>0.96</v>
      </c>
      <c r="E50" s="3">
        <f t="shared" si="0"/>
        <v>-4.0000000000000036E-2</v>
      </c>
      <c r="F50">
        <v>-296</v>
      </c>
      <c r="G50">
        <v>7050</v>
      </c>
    </row>
    <row r="51" spans="1:7" x14ac:dyDescent="0.2">
      <c r="A51" t="s">
        <v>103</v>
      </c>
      <c r="B51" t="s">
        <v>72</v>
      </c>
      <c r="C51">
        <v>7346</v>
      </c>
      <c r="D51">
        <v>0.99</v>
      </c>
      <c r="E51" s="3">
        <f t="shared" si="0"/>
        <v>-1.0000000000000009E-2</v>
      </c>
      <c r="F51">
        <v>-41</v>
      </c>
      <c r="G51">
        <v>7305</v>
      </c>
    </row>
    <row r="52" spans="1:7" x14ac:dyDescent="0.2">
      <c r="A52" t="s">
        <v>104</v>
      </c>
      <c r="B52" t="s">
        <v>51</v>
      </c>
      <c r="C52">
        <v>7346</v>
      </c>
      <c r="D52">
        <v>0.99</v>
      </c>
      <c r="E52" s="3">
        <f t="shared" si="0"/>
        <v>-1.0000000000000009E-2</v>
      </c>
      <c r="F52">
        <v>-38</v>
      </c>
      <c r="G52">
        <v>7308</v>
      </c>
    </row>
    <row r="53" spans="1:7" x14ac:dyDescent="0.2">
      <c r="A53" t="s">
        <v>105</v>
      </c>
      <c r="B53" t="s">
        <v>52</v>
      </c>
      <c r="C53">
        <v>7346</v>
      </c>
      <c r="D53">
        <v>0.9</v>
      </c>
      <c r="E53" s="3">
        <f t="shared" si="0"/>
        <v>-9.9999999999999978E-2</v>
      </c>
      <c r="F53">
        <v>-715</v>
      </c>
      <c r="G53">
        <v>6631</v>
      </c>
    </row>
    <row r="54" spans="1:7" x14ac:dyDescent="0.2">
      <c r="A54" t="s">
        <v>106</v>
      </c>
      <c r="B54" t="s">
        <v>73</v>
      </c>
      <c r="C54">
        <v>7346</v>
      </c>
      <c r="D54">
        <v>1</v>
      </c>
      <c r="E54" s="3">
        <f t="shared" si="0"/>
        <v>0</v>
      </c>
      <c r="F54">
        <v>2</v>
      </c>
      <c r="G54">
        <v>7348</v>
      </c>
    </row>
    <row r="55" spans="1:7" x14ac:dyDescent="0.2">
      <c r="A55" t="s">
        <v>107</v>
      </c>
      <c r="B55" t="s">
        <v>53</v>
      </c>
      <c r="C55">
        <v>7346</v>
      </c>
      <c r="D55">
        <v>1.0900000000000001</v>
      </c>
      <c r="E55" s="3">
        <f t="shared" si="0"/>
        <v>9.000000000000008E-2</v>
      </c>
      <c r="F55">
        <v>674</v>
      </c>
      <c r="G55">
        <v>8020</v>
      </c>
    </row>
    <row r="56" spans="1:7" x14ac:dyDescent="0.2">
      <c r="A56" t="s">
        <v>108</v>
      </c>
      <c r="B56" t="s">
        <v>54</v>
      </c>
      <c r="C56">
        <v>7346</v>
      </c>
      <c r="D56">
        <v>1.02</v>
      </c>
      <c r="E56" s="3">
        <f t="shared" si="0"/>
        <v>2.0000000000000018E-2</v>
      </c>
      <c r="F56">
        <v>140</v>
      </c>
      <c r="G56">
        <v>7486</v>
      </c>
    </row>
    <row r="57" spans="1:7" x14ac:dyDescent="0.2">
      <c r="A57" t="s">
        <v>108</v>
      </c>
      <c r="B57" t="s">
        <v>55</v>
      </c>
      <c r="C57">
        <v>7346</v>
      </c>
      <c r="D57">
        <v>0.99</v>
      </c>
      <c r="E57" s="3">
        <f t="shared" si="0"/>
        <v>-1.0000000000000009E-2</v>
      </c>
      <c r="F57">
        <v>-109</v>
      </c>
      <c r="G57">
        <v>7237</v>
      </c>
    </row>
    <row r="58" spans="1:7" x14ac:dyDescent="0.2">
      <c r="A58" t="s">
        <v>23</v>
      </c>
      <c r="B58" t="s">
        <v>56</v>
      </c>
      <c r="C58">
        <v>7346</v>
      </c>
      <c r="D58">
        <v>1.21</v>
      </c>
      <c r="E58" s="3">
        <f t="shared" si="0"/>
        <v>0.20999999999999996</v>
      </c>
      <c r="F58">
        <v>1560</v>
      </c>
      <c r="G58">
        <v>8906</v>
      </c>
    </row>
    <row r="59" spans="1:7" x14ac:dyDescent="0.2">
      <c r="A59" t="s">
        <v>23</v>
      </c>
      <c r="B59" t="s">
        <v>57</v>
      </c>
      <c r="C59">
        <v>7346</v>
      </c>
      <c r="D59">
        <v>1.07</v>
      </c>
      <c r="E59" s="3">
        <f t="shared" si="0"/>
        <v>7.0000000000000062E-2</v>
      </c>
      <c r="F59">
        <v>530</v>
      </c>
      <c r="G59">
        <v>7876</v>
      </c>
    </row>
    <row r="60" spans="1:7" x14ac:dyDescent="0.2">
      <c r="A60" t="s">
        <v>109</v>
      </c>
      <c r="B60" t="s">
        <v>50</v>
      </c>
      <c r="C60">
        <v>7346</v>
      </c>
      <c r="D60">
        <v>1.02</v>
      </c>
      <c r="E60" s="3">
        <f t="shared" si="0"/>
        <v>2.0000000000000018E-2</v>
      </c>
      <c r="F60">
        <v>174</v>
      </c>
      <c r="G60">
        <v>7520</v>
      </c>
    </row>
    <row r="61" spans="1:7" x14ac:dyDescent="0.2">
      <c r="A61" t="s">
        <v>110</v>
      </c>
      <c r="B61" t="s">
        <v>74</v>
      </c>
      <c r="C61">
        <v>7346</v>
      </c>
      <c r="D61">
        <v>1.0900000000000001</v>
      </c>
      <c r="E61" s="3">
        <f t="shared" si="0"/>
        <v>9.000000000000008E-2</v>
      </c>
      <c r="F61">
        <v>683</v>
      </c>
      <c r="G61">
        <v>8029</v>
      </c>
    </row>
    <row r="62" spans="1:7" x14ac:dyDescent="0.2">
      <c r="A62" t="s">
        <v>111</v>
      </c>
      <c r="B62" t="s">
        <v>58</v>
      </c>
      <c r="C62">
        <v>7346</v>
      </c>
      <c r="D62">
        <v>0.99</v>
      </c>
      <c r="E62" s="3">
        <f t="shared" si="0"/>
        <v>-1.0000000000000009E-2</v>
      </c>
      <c r="F62">
        <v>-49</v>
      </c>
      <c r="G62">
        <v>7297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46E3-322E-5943-817E-5026A0E6D3F7}">
  <dimension ref="A1:BT62"/>
  <sheetViews>
    <sheetView workbookViewId="0">
      <selection activeCell="E2" sqref="E2:E62"/>
    </sheetView>
  </sheetViews>
  <sheetFormatPr baseColWidth="10" defaultRowHeight="16" x14ac:dyDescent="0.2"/>
  <cols>
    <col min="1" max="1" width="17.5" bestFit="1" customWidth="1"/>
    <col min="2" max="2" width="13.33203125" bestFit="1" customWidth="1"/>
    <col min="3" max="3" width="22.33203125" bestFit="1" customWidth="1"/>
    <col min="4" max="4" width="16.33203125" bestFit="1" customWidth="1"/>
    <col min="5" max="5" width="16.33203125" customWidth="1"/>
    <col min="6" max="6" width="25.5" bestFit="1" customWidth="1"/>
    <col min="7" max="7" width="29.5" bestFit="1" customWidth="1"/>
  </cols>
  <sheetData>
    <row r="1" spans="1:72" x14ac:dyDescent="0.2">
      <c r="A1" s="2" t="s">
        <v>13</v>
      </c>
      <c r="B1" s="2" t="s">
        <v>12</v>
      </c>
      <c r="C1" s="2" t="s">
        <v>11</v>
      </c>
      <c r="D1" s="2" t="s">
        <v>10</v>
      </c>
      <c r="E1" s="2"/>
      <c r="F1" s="2" t="s">
        <v>9</v>
      </c>
      <c r="G1" s="2" t="s">
        <v>8</v>
      </c>
    </row>
    <row r="2" spans="1:72" x14ac:dyDescent="0.2">
      <c r="A2" t="s">
        <v>0</v>
      </c>
      <c r="B2" t="s">
        <v>15</v>
      </c>
      <c r="C2" cm="1">
        <f t="array" ref="C2:C62">TRANSPOSE(L3:BT3)</f>
        <v>8936</v>
      </c>
      <c r="D2" cm="1">
        <f t="array" ref="D2:D62">TRANSPOSE(L4:BT4)</f>
        <v>0.99</v>
      </c>
      <c r="E2" s="3">
        <f>D2-1</f>
        <v>-1.0000000000000009E-2</v>
      </c>
      <c r="F2" cm="1">
        <f t="array" ref="F2:F62">TRANSPOSE(L5:BT5)</f>
        <v>-76</v>
      </c>
      <c r="G2" cm="1">
        <f t="array" ref="G2:G62">TRANSPOSE(L6:BT6)</f>
        <v>8860</v>
      </c>
    </row>
    <row r="3" spans="1:72" x14ac:dyDescent="0.2">
      <c r="A3" t="s">
        <v>1</v>
      </c>
      <c r="B3" t="s">
        <v>16</v>
      </c>
      <c r="C3">
        <v>8936</v>
      </c>
      <c r="D3">
        <v>1.01</v>
      </c>
      <c r="E3" s="3">
        <f t="shared" ref="E3:E62" si="0">D3-1</f>
        <v>1.0000000000000009E-2</v>
      </c>
      <c r="F3">
        <v>60</v>
      </c>
      <c r="G3">
        <v>8996</v>
      </c>
      <c r="L3" s="1">
        <v>8936</v>
      </c>
      <c r="M3" s="1">
        <v>8936</v>
      </c>
      <c r="N3" s="1">
        <v>8936</v>
      </c>
      <c r="O3" s="1">
        <v>8936</v>
      </c>
      <c r="P3" s="1">
        <v>8936</v>
      </c>
      <c r="Q3" s="1">
        <v>8936</v>
      </c>
      <c r="R3" s="1">
        <v>8936</v>
      </c>
      <c r="S3" s="1">
        <v>8936</v>
      </c>
      <c r="T3" s="1">
        <v>8936</v>
      </c>
      <c r="U3" s="1">
        <v>8936</v>
      </c>
      <c r="V3" s="1">
        <v>8936</v>
      </c>
      <c r="W3" s="1">
        <v>8936</v>
      </c>
      <c r="X3" s="1">
        <v>8936</v>
      </c>
      <c r="Y3" s="1">
        <v>8936</v>
      </c>
      <c r="Z3" s="1">
        <v>8936</v>
      </c>
      <c r="AA3" s="1">
        <v>8936</v>
      </c>
      <c r="AB3" s="1">
        <v>8936</v>
      </c>
      <c r="AC3" s="1">
        <v>8936</v>
      </c>
      <c r="AD3" s="1">
        <v>8936</v>
      </c>
      <c r="AE3" s="1">
        <v>8936</v>
      </c>
      <c r="AF3" s="1">
        <v>8936</v>
      </c>
      <c r="AG3" s="1">
        <v>8936</v>
      </c>
      <c r="AH3" s="1">
        <v>8936</v>
      </c>
      <c r="AI3" s="1">
        <v>8936</v>
      </c>
      <c r="AJ3" s="1">
        <v>8936</v>
      </c>
      <c r="AK3" s="1">
        <v>8936</v>
      </c>
      <c r="AL3" s="1">
        <v>8936</v>
      </c>
      <c r="AM3" s="1">
        <v>8936</v>
      </c>
      <c r="AN3" s="1">
        <v>8936</v>
      </c>
      <c r="AO3" s="1">
        <v>8936</v>
      </c>
      <c r="AP3" s="1">
        <v>8936</v>
      </c>
      <c r="AQ3" s="1">
        <v>8936</v>
      </c>
      <c r="AR3" s="1">
        <v>8936</v>
      </c>
      <c r="AS3" s="1">
        <v>8936</v>
      </c>
      <c r="AT3" s="1">
        <v>8936</v>
      </c>
      <c r="AU3" s="1">
        <v>8936</v>
      </c>
      <c r="AV3" s="1">
        <v>8936</v>
      </c>
      <c r="AW3" s="1">
        <v>8936</v>
      </c>
      <c r="AX3" s="1">
        <v>8936</v>
      </c>
      <c r="AY3" s="1">
        <v>8936</v>
      </c>
      <c r="AZ3" s="1">
        <v>8936</v>
      </c>
      <c r="BA3" s="1">
        <v>8936</v>
      </c>
      <c r="BB3" s="1">
        <v>8936</v>
      </c>
      <c r="BC3" s="1">
        <v>8936</v>
      </c>
      <c r="BD3" s="1">
        <v>8936</v>
      </c>
      <c r="BE3" s="1">
        <v>8936</v>
      </c>
      <c r="BF3" s="1">
        <v>8936</v>
      </c>
      <c r="BG3" s="1">
        <v>8936</v>
      </c>
      <c r="BH3" s="1">
        <v>8936</v>
      </c>
      <c r="BI3" s="1">
        <v>8936</v>
      </c>
      <c r="BJ3" s="1">
        <v>8936</v>
      </c>
      <c r="BK3" s="1">
        <v>8936</v>
      </c>
      <c r="BL3" s="1">
        <v>8936</v>
      </c>
      <c r="BM3" s="1">
        <v>8936</v>
      </c>
      <c r="BN3" s="1">
        <v>8936</v>
      </c>
      <c r="BO3" s="1">
        <v>8936</v>
      </c>
      <c r="BP3" s="1">
        <v>8936</v>
      </c>
      <c r="BQ3" s="1">
        <v>8936</v>
      </c>
      <c r="BR3" s="1">
        <v>8936</v>
      </c>
      <c r="BS3" s="1">
        <v>8936</v>
      </c>
      <c r="BT3" s="1">
        <v>8936</v>
      </c>
    </row>
    <row r="4" spans="1:72" x14ac:dyDescent="0.2">
      <c r="A4" t="s">
        <v>2</v>
      </c>
      <c r="B4" t="s">
        <v>59</v>
      </c>
      <c r="C4">
        <v>8936</v>
      </c>
      <c r="D4">
        <v>1</v>
      </c>
      <c r="E4" s="3">
        <f t="shared" si="0"/>
        <v>0</v>
      </c>
      <c r="F4">
        <v>26</v>
      </c>
      <c r="G4">
        <v>8962</v>
      </c>
      <c r="L4">
        <v>0.99</v>
      </c>
      <c r="M4">
        <v>1.01</v>
      </c>
      <c r="N4">
        <v>1</v>
      </c>
      <c r="O4">
        <v>1.1299999999999999</v>
      </c>
      <c r="P4">
        <v>1.1499999999999999</v>
      </c>
      <c r="Q4">
        <v>1.1499999999999999</v>
      </c>
      <c r="R4">
        <v>1.1599999999999999</v>
      </c>
      <c r="S4">
        <v>1.21</v>
      </c>
      <c r="T4">
        <v>0.98</v>
      </c>
      <c r="U4">
        <v>1.1000000000000001</v>
      </c>
      <c r="V4">
        <v>1.07</v>
      </c>
      <c r="W4">
        <v>1.02</v>
      </c>
      <c r="X4">
        <v>0.97</v>
      </c>
      <c r="Y4">
        <v>0.98</v>
      </c>
      <c r="Z4">
        <v>1.02</v>
      </c>
      <c r="AA4">
        <v>1.02</v>
      </c>
      <c r="AB4">
        <v>1.18</v>
      </c>
      <c r="AC4">
        <v>1.01</v>
      </c>
      <c r="AD4">
        <v>1.02</v>
      </c>
      <c r="AE4">
        <v>0.99</v>
      </c>
      <c r="AF4">
        <v>0.99</v>
      </c>
      <c r="AG4">
        <v>1.01</v>
      </c>
      <c r="AH4">
        <v>1.02</v>
      </c>
      <c r="AI4">
        <v>1.02</v>
      </c>
      <c r="AJ4">
        <v>1.02</v>
      </c>
      <c r="AK4">
        <v>1.1499999999999999</v>
      </c>
      <c r="AL4">
        <v>1.06</v>
      </c>
      <c r="AM4">
        <v>1.01</v>
      </c>
      <c r="AN4">
        <v>1.05</v>
      </c>
      <c r="AO4">
        <v>0.97</v>
      </c>
      <c r="AP4">
        <v>1.0900000000000001</v>
      </c>
      <c r="AQ4">
        <v>1.04</v>
      </c>
      <c r="AR4">
        <v>0.99</v>
      </c>
      <c r="AS4">
        <v>0.99</v>
      </c>
      <c r="AT4">
        <v>1.04</v>
      </c>
      <c r="AU4">
        <v>1.1499999999999999</v>
      </c>
      <c r="AV4">
        <v>1.03</v>
      </c>
      <c r="AW4">
        <v>1.3</v>
      </c>
      <c r="AX4">
        <v>1.04</v>
      </c>
      <c r="AY4">
        <v>1.1000000000000001</v>
      </c>
      <c r="AZ4">
        <v>0.99</v>
      </c>
      <c r="BA4">
        <v>1.01</v>
      </c>
      <c r="BB4">
        <v>0.99</v>
      </c>
      <c r="BC4">
        <v>0.97</v>
      </c>
      <c r="BD4">
        <v>1.0900000000000001</v>
      </c>
      <c r="BE4">
        <v>1.1399999999999999</v>
      </c>
      <c r="BF4">
        <v>1.03</v>
      </c>
      <c r="BG4">
        <v>1.0900000000000001</v>
      </c>
      <c r="BH4">
        <v>1.02</v>
      </c>
      <c r="BI4">
        <v>0.99</v>
      </c>
      <c r="BJ4">
        <v>1.02</v>
      </c>
      <c r="BK4">
        <v>0.95</v>
      </c>
      <c r="BL4">
        <v>1.02</v>
      </c>
      <c r="BM4">
        <v>1.08</v>
      </c>
      <c r="BN4">
        <v>1.01</v>
      </c>
      <c r="BO4">
        <v>0.99</v>
      </c>
      <c r="BP4">
        <v>1.1200000000000001</v>
      </c>
      <c r="BQ4">
        <v>1.04</v>
      </c>
      <c r="BR4">
        <v>1.01</v>
      </c>
      <c r="BS4">
        <v>1.03</v>
      </c>
      <c r="BT4">
        <v>0.99</v>
      </c>
    </row>
    <row r="5" spans="1:72" x14ac:dyDescent="0.2">
      <c r="A5" t="s">
        <v>3</v>
      </c>
      <c r="B5" t="s">
        <v>17</v>
      </c>
      <c r="C5">
        <v>8936</v>
      </c>
      <c r="D5">
        <v>1.1299999999999999</v>
      </c>
      <c r="E5" s="3">
        <f t="shared" si="0"/>
        <v>0.12999999999999989</v>
      </c>
      <c r="F5">
        <v>1193</v>
      </c>
      <c r="G5">
        <v>10129</v>
      </c>
      <c r="L5">
        <v>-76</v>
      </c>
      <c r="M5">
        <v>60</v>
      </c>
      <c r="N5">
        <v>26</v>
      </c>
      <c r="O5" s="1">
        <v>1193</v>
      </c>
      <c r="P5" s="1">
        <v>1305</v>
      </c>
      <c r="Q5" s="1">
        <v>1364</v>
      </c>
      <c r="R5" s="1">
        <v>1442</v>
      </c>
      <c r="S5" s="1">
        <v>1897</v>
      </c>
      <c r="T5">
        <v>-148</v>
      </c>
      <c r="U5">
        <v>912</v>
      </c>
      <c r="V5">
        <v>668</v>
      </c>
      <c r="W5">
        <v>153</v>
      </c>
      <c r="X5">
        <v>-288</v>
      </c>
      <c r="Y5">
        <v>-190</v>
      </c>
      <c r="Z5">
        <v>157</v>
      </c>
      <c r="AA5">
        <v>186</v>
      </c>
      <c r="AB5" s="1">
        <v>1579</v>
      </c>
      <c r="AC5">
        <v>123</v>
      </c>
      <c r="AD5">
        <v>213</v>
      </c>
      <c r="AE5">
        <v>-55</v>
      </c>
      <c r="AF5">
        <v>-69</v>
      </c>
      <c r="AG5">
        <v>130</v>
      </c>
      <c r="AH5">
        <v>139</v>
      </c>
      <c r="AI5">
        <v>180</v>
      </c>
      <c r="AJ5">
        <v>143</v>
      </c>
      <c r="AK5" s="1">
        <v>1327</v>
      </c>
      <c r="AL5">
        <v>493</v>
      </c>
      <c r="AM5">
        <v>62</v>
      </c>
      <c r="AN5">
        <v>474</v>
      </c>
      <c r="AO5">
        <v>-252</v>
      </c>
      <c r="AP5">
        <v>792</v>
      </c>
      <c r="AQ5">
        <v>331</v>
      </c>
      <c r="AR5">
        <v>-105</v>
      </c>
      <c r="AS5">
        <v>-56</v>
      </c>
      <c r="AT5">
        <v>368</v>
      </c>
      <c r="AU5" s="1">
        <v>1383</v>
      </c>
      <c r="AV5">
        <v>298</v>
      </c>
      <c r="AW5" s="1">
        <v>2683</v>
      </c>
      <c r="AX5">
        <v>326</v>
      </c>
      <c r="AY5">
        <v>905</v>
      </c>
      <c r="AZ5">
        <v>-76</v>
      </c>
      <c r="BA5">
        <v>92</v>
      </c>
      <c r="BB5">
        <v>-126</v>
      </c>
      <c r="BC5">
        <v>-246</v>
      </c>
      <c r="BD5">
        <v>794</v>
      </c>
      <c r="BE5" s="1">
        <v>1222</v>
      </c>
      <c r="BF5">
        <v>302</v>
      </c>
      <c r="BG5">
        <v>773</v>
      </c>
      <c r="BH5">
        <v>143</v>
      </c>
      <c r="BI5">
        <v>-112</v>
      </c>
      <c r="BJ5">
        <v>142</v>
      </c>
      <c r="BK5">
        <v>-423</v>
      </c>
      <c r="BL5">
        <v>155</v>
      </c>
      <c r="BM5">
        <v>717</v>
      </c>
      <c r="BN5">
        <v>75</v>
      </c>
      <c r="BO5">
        <v>-98</v>
      </c>
      <c r="BP5" s="1">
        <v>1104</v>
      </c>
      <c r="BQ5">
        <v>392</v>
      </c>
      <c r="BR5">
        <v>98</v>
      </c>
      <c r="BS5">
        <v>312</v>
      </c>
      <c r="BT5">
        <v>-67</v>
      </c>
    </row>
    <row r="6" spans="1:72" x14ac:dyDescent="0.2">
      <c r="A6" t="s">
        <v>3</v>
      </c>
      <c r="B6" t="s">
        <v>60</v>
      </c>
      <c r="C6">
        <v>8936</v>
      </c>
      <c r="D6">
        <v>1.1499999999999999</v>
      </c>
      <c r="E6" s="3">
        <f t="shared" si="0"/>
        <v>0.14999999999999991</v>
      </c>
      <c r="F6">
        <v>1305</v>
      </c>
      <c r="G6">
        <v>10241</v>
      </c>
      <c r="L6">
        <v>8860</v>
      </c>
      <c r="M6">
        <v>8996</v>
      </c>
      <c r="N6">
        <v>8962</v>
      </c>
      <c r="O6">
        <v>10129</v>
      </c>
      <c r="P6">
        <v>10241</v>
      </c>
      <c r="Q6">
        <v>10300</v>
      </c>
      <c r="R6">
        <v>10378</v>
      </c>
      <c r="S6">
        <v>10833</v>
      </c>
      <c r="T6">
        <v>8788</v>
      </c>
      <c r="U6">
        <v>9848</v>
      </c>
      <c r="V6">
        <v>9604</v>
      </c>
      <c r="W6">
        <v>9089</v>
      </c>
      <c r="X6">
        <v>8648</v>
      </c>
      <c r="Y6">
        <v>8746</v>
      </c>
      <c r="Z6">
        <v>9093</v>
      </c>
      <c r="AA6">
        <v>9122</v>
      </c>
      <c r="AB6">
        <v>10515</v>
      </c>
      <c r="AC6">
        <v>9059</v>
      </c>
      <c r="AD6">
        <v>9149</v>
      </c>
      <c r="AE6">
        <v>8881</v>
      </c>
      <c r="AF6">
        <v>8867</v>
      </c>
      <c r="AG6">
        <v>9066</v>
      </c>
      <c r="AH6">
        <v>9075</v>
      </c>
      <c r="AI6">
        <v>9116</v>
      </c>
      <c r="AJ6">
        <v>9079</v>
      </c>
      <c r="AK6">
        <v>10263</v>
      </c>
      <c r="AL6">
        <v>9429</v>
      </c>
      <c r="AM6">
        <v>8998</v>
      </c>
      <c r="AN6">
        <v>9410</v>
      </c>
      <c r="AO6">
        <v>8684</v>
      </c>
      <c r="AP6">
        <v>9728</v>
      </c>
      <c r="AQ6">
        <v>9267</v>
      </c>
      <c r="AR6">
        <v>8831</v>
      </c>
      <c r="AS6">
        <v>8880</v>
      </c>
      <c r="AT6">
        <v>9304</v>
      </c>
      <c r="AU6">
        <v>10319</v>
      </c>
      <c r="AV6">
        <v>9234</v>
      </c>
      <c r="AW6">
        <v>11619</v>
      </c>
      <c r="AX6">
        <v>9262</v>
      </c>
      <c r="AY6">
        <v>9841</v>
      </c>
      <c r="AZ6">
        <v>8860</v>
      </c>
      <c r="BA6">
        <v>9028</v>
      </c>
      <c r="BB6">
        <v>8810</v>
      </c>
      <c r="BC6">
        <v>8690</v>
      </c>
      <c r="BD6">
        <v>9730</v>
      </c>
      <c r="BE6">
        <v>10158</v>
      </c>
      <c r="BF6">
        <v>9238</v>
      </c>
      <c r="BG6">
        <v>9709</v>
      </c>
      <c r="BH6">
        <v>9079</v>
      </c>
      <c r="BI6">
        <v>8824</v>
      </c>
      <c r="BJ6">
        <v>9078</v>
      </c>
      <c r="BK6">
        <v>8513</v>
      </c>
      <c r="BL6">
        <v>9091</v>
      </c>
      <c r="BM6">
        <v>9653</v>
      </c>
      <c r="BN6">
        <v>9011</v>
      </c>
      <c r="BO6">
        <v>8838</v>
      </c>
      <c r="BP6">
        <v>10040</v>
      </c>
      <c r="BQ6">
        <v>9328</v>
      </c>
      <c r="BR6">
        <v>9034</v>
      </c>
      <c r="BS6">
        <v>9248</v>
      </c>
      <c r="BT6">
        <v>8869</v>
      </c>
    </row>
    <row r="7" spans="1:72" x14ac:dyDescent="0.2">
      <c r="A7" t="s">
        <v>3</v>
      </c>
      <c r="B7" t="s">
        <v>18</v>
      </c>
      <c r="C7">
        <v>8936</v>
      </c>
      <c r="D7">
        <v>1.1499999999999999</v>
      </c>
      <c r="E7" s="3">
        <f t="shared" si="0"/>
        <v>0.14999999999999991</v>
      </c>
      <c r="F7">
        <v>1364</v>
      </c>
      <c r="G7">
        <v>10300</v>
      </c>
    </row>
    <row r="8" spans="1:72" x14ac:dyDescent="0.2">
      <c r="A8" t="s">
        <v>3</v>
      </c>
      <c r="B8" t="s">
        <v>19</v>
      </c>
      <c r="C8">
        <v>8936</v>
      </c>
      <c r="D8">
        <v>1.1599999999999999</v>
      </c>
      <c r="E8" s="3">
        <f t="shared" si="0"/>
        <v>0.15999999999999992</v>
      </c>
      <c r="F8">
        <v>1442</v>
      </c>
      <c r="G8">
        <v>10378</v>
      </c>
    </row>
    <row r="9" spans="1:72" x14ac:dyDescent="0.2">
      <c r="A9" t="s">
        <v>3</v>
      </c>
      <c r="B9" t="s">
        <v>61</v>
      </c>
      <c r="C9">
        <v>8936</v>
      </c>
      <c r="D9">
        <v>1.21</v>
      </c>
      <c r="E9" s="3">
        <f t="shared" si="0"/>
        <v>0.20999999999999996</v>
      </c>
      <c r="F9">
        <v>1897</v>
      </c>
      <c r="G9">
        <v>10833</v>
      </c>
    </row>
    <row r="10" spans="1:72" x14ac:dyDescent="0.2">
      <c r="A10" t="s">
        <v>75</v>
      </c>
      <c r="B10" t="s">
        <v>20</v>
      </c>
      <c r="C10">
        <v>8936</v>
      </c>
      <c r="D10">
        <v>0.98</v>
      </c>
      <c r="E10" s="3">
        <f t="shared" si="0"/>
        <v>-2.0000000000000018E-2</v>
      </c>
      <c r="F10">
        <v>-148</v>
      </c>
      <c r="G10">
        <v>8788</v>
      </c>
    </row>
    <row r="11" spans="1:72" x14ac:dyDescent="0.2">
      <c r="A11" t="s">
        <v>76</v>
      </c>
      <c r="B11" t="s">
        <v>21</v>
      </c>
      <c r="C11">
        <v>8936</v>
      </c>
      <c r="D11">
        <v>1.1000000000000001</v>
      </c>
      <c r="E11" s="3">
        <f t="shared" si="0"/>
        <v>0.10000000000000009</v>
      </c>
      <c r="F11">
        <v>912</v>
      </c>
      <c r="G11">
        <v>9848</v>
      </c>
    </row>
    <row r="12" spans="1:72" x14ac:dyDescent="0.2">
      <c r="A12" t="s">
        <v>77</v>
      </c>
      <c r="B12" t="s">
        <v>22</v>
      </c>
      <c r="C12">
        <v>8936</v>
      </c>
      <c r="D12">
        <v>1.07</v>
      </c>
      <c r="E12" s="3">
        <f t="shared" si="0"/>
        <v>7.0000000000000062E-2</v>
      </c>
      <c r="F12">
        <v>668</v>
      </c>
      <c r="G12">
        <v>9604</v>
      </c>
    </row>
    <row r="13" spans="1:72" x14ac:dyDescent="0.2">
      <c r="A13" t="s">
        <v>78</v>
      </c>
      <c r="B13" t="s">
        <v>23</v>
      </c>
      <c r="C13">
        <v>8936</v>
      </c>
      <c r="D13">
        <v>1.02</v>
      </c>
      <c r="E13" s="3">
        <f t="shared" si="0"/>
        <v>2.0000000000000018E-2</v>
      </c>
      <c r="F13">
        <v>153</v>
      </c>
      <c r="G13">
        <v>9089</v>
      </c>
    </row>
    <row r="14" spans="1:72" x14ac:dyDescent="0.2">
      <c r="A14" t="s">
        <v>79</v>
      </c>
      <c r="B14" t="s">
        <v>24</v>
      </c>
      <c r="C14">
        <v>8936</v>
      </c>
      <c r="D14">
        <v>0.97</v>
      </c>
      <c r="E14" s="3">
        <f t="shared" si="0"/>
        <v>-3.0000000000000027E-2</v>
      </c>
      <c r="F14">
        <v>-288</v>
      </c>
      <c r="G14">
        <v>8648</v>
      </c>
    </row>
    <row r="15" spans="1:72" x14ac:dyDescent="0.2">
      <c r="A15" t="s">
        <v>79</v>
      </c>
      <c r="B15" t="s">
        <v>25</v>
      </c>
      <c r="C15">
        <v>8936</v>
      </c>
      <c r="D15">
        <v>0.98</v>
      </c>
      <c r="E15" s="3">
        <f t="shared" si="0"/>
        <v>-2.0000000000000018E-2</v>
      </c>
      <c r="F15">
        <v>-190</v>
      </c>
      <c r="G15">
        <v>8746</v>
      </c>
    </row>
    <row r="16" spans="1:72" x14ac:dyDescent="0.2">
      <c r="A16" t="s">
        <v>80</v>
      </c>
      <c r="B16" t="s">
        <v>26</v>
      </c>
      <c r="C16">
        <v>8936</v>
      </c>
      <c r="D16">
        <v>1.02</v>
      </c>
      <c r="E16" s="3">
        <f t="shared" si="0"/>
        <v>2.0000000000000018E-2</v>
      </c>
      <c r="F16">
        <v>157</v>
      </c>
      <c r="G16">
        <v>9093</v>
      </c>
    </row>
    <row r="17" spans="1:7" x14ac:dyDescent="0.2">
      <c r="A17" t="s">
        <v>4</v>
      </c>
      <c r="B17" t="s">
        <v>27</v>
      </c>
      <c r="C17">
        <v>8936</v>
      </c>
      <c r="D17">
        <v>1.02</v>
      </c>
      <c r="E17" s="3">
        <f t="shared" si="0"/>
        <v>2.0000000000000018E-2</v>
      </c>
      <c r="F17">
        <v>186</v>
      </c>
      <c r="G17">
        <v>9122</v>
      </c>
    </row>
    <row r="18" spans="1:7" x14ac:dyDescent="0.2">
      <c r="A18" t="s">
        <v>5</v>
      </c>
      <c r="B18" t="s">
        <v>28</v>
      </c>
      <c r="C18">
        <v>8936</v>
      </c>
      <c r="D18">
        <v>1.18</v>
      </c>
      <c r="E18" s="3">
        <f t="shared" si="0"/>
        <v>0.17999999999999994</v>
      </c>
      <c r="F18">
        <v>1579</v>
      </c>
      <c r="G18">
        <v>10515</v>
      </c>
    </row>
    <row r="19" spans="1:7" x14ac:dyDescent="0.2">
      <c r="A19" t="s">
        <v>6</v>
      </c>
      <c r="B19" t="s">
        <v>29</v>
      </c>
      <c r="C19">
        <v>8936</v>
      </c>
      <c r="D19">
        <v>1.01</v>
      </c>
      <c r="E19" s="3">
        <f t="shared" si="0"/>
        <v>1.0000000000000009E-2</v>
      </c>
      <c r="F19">
        <v>123</v>
      </c>
      <c r="G19">
        <v>9059</v>
      </c>
    </row>
    <row r="20" spans="1:7" x14ac:dyDescent="0.2">
      <c r="A20" t="s">
        <v>7</v>
      </c>
      <c r="B20" t="s">
        <v>30</v>
      </c>
      <c r="C20">
        <v>8936</v>
      </c>
      <c r="D20">
        <v>1.02</v>
      </c>
      <c r="E20" s="3">
        <f t="shared" si="0"/>
        <v>2.0000000000000018E-2</v>
      </c>
      <c r="F20">
        <v>213</v>
      </c>
      <c r="G20">
        <v>9149</v>
      </c>
    </row>
    <row r="21" spans="1:7" x14ac:dyDescent="0.2">
      <c r="A21" t="s">
        <v>7</v>
      </c>
      <c r="B21" t="s">
        <v>31</v>
      </c>
      <c r="C21">
        <v>8936</v>
      </c>
      <c r="D21">
        <v>0.99</v>
      </c>
      <c r="E21" s="3">
        <f t="shared" si="0"/>
        <v>-1.0000000000000009E-2</v>
      </c>
      <c r="F21">
        <v>-55</v>
      </c>
      <c r="G21">
        <v>8881</v>
      </c>
    </row>
    <row r="22" spans="1:7" x14ac:dyDescent="0.2">
      <c r="A22" t="s">
        <v>38</v>
      </c>
      <c r="B22" t="s">
        <v>32</v>
      </c>
      <c r="C22">
        <v>8936</v>
      </c>
      <c r="D22">
        <v>0.99</v>
      </c>
      <c r="E22" s="3">
        <f t="shared" si="0"/>
        <v>-1.0000000000000009E-2</v>
      </c>
      <c r="F22">
        <v>-69</v>
      </c>
      <c r="G22">
        <v>8867</v>
      </c>
    </row>
    <row r="23" spans="1:7" x14ac:dyDescent="0.2">
      <c r="A23" t="s">
        <v>81</v>
      </c>
      <c r="B23" t="s">
        <v>33</v>
      </c>
      <c r="C23">
        <v>8936</v>
      </c>
      <c r="D23">
        <v>1.01</v>
      </c>
      <c r="E23" s="3">
        <f t="shared" si="0"/>
        <v>1.0000000000000009E-2</v>
      </c>
      <c r="F23">
        <v>130</v>
      </c>
      <c r="G23">
        <v>9066</v>
      </c>
    </row>
    <row r="24" spans="1:7" x14ac:dyDescent="0.2">
      <c r="A24" t="s">
        <v>82</v>
      </c>
      <c r="B24" t="s">
        <v>62</v>
      </c>
      <c r="C24">
        <v>8936</v>
      </c>
      <c r="D24">
        <v>1.02</v>
      </c>
      <c r="E24" s="3">
        <f t="shared" si="0"/>
        <v>2.0000000000000018E-2</v>
      </c>
      <c r="F24">
        <v>139</v>
      </c>
      <c r="G24">
        <v>9075</v>
      </c>
    </row>
    <row r="25" spans="1:7" x14ac:dyDescent="0.2">
      <c r="A25" t="s">
        <v>83</v>
      </c>
      <c r="B25" t="s">
        <v>34</v>
      </c>
      <c r="C25">
        <v>8936</v>
      </c>
      <c r="D25">
        <v>1.02</v>
      </c>
      <c r="E25" s="3">
        <f t="shared" si="0"/>
        <v>2.0000000000000018E-2</v>
      </c>
      <c r="F25">
        <v>180</v>
      </c>
      <c r="G25">
        <v>9116</v>
      </c>
    </row>
    <row r="26" spans="1:7" x14ac:dyDescent="0.2">
      <c r="A26" t="s">
        <v>84</v>
      </c>
      <c r="B26" t="s">
        <v>35</v>
      </c>
      <c r="C26">
        <v>8936</v>
      </c>
      <c r="D26">
        <v>1.02</v>
      </c>
      <c r="E26" s="3">
        <f t="shared" si="0"/>
        <v>2.0000000000000018E-2</v>
      </c>
      <c r="F26">
        <v>143</v>
      </c>
      <c r="G26">
        <v>9079</v>
      </c>
    </row>
    <row r="27" spans="1:7" x14ac:dyDescent="0.2">
      <c r="A27" t="s">
        <v>85</v>
      </c>
      <c r="B27" t="s">
        <v>36</v>
      </c>
      <c r="C27">
        <v>8936</v>
      </c>
      <c r="D27">
        <v>1.1499999999999999</v>
      </c>
      <c r="E27" s="3">
        <f t="shared" si="0"/>
        <v>0.14999999999999991</v>
      </c>
      <c r="F27">
        <v>1327</v>
      </c>
      <c r="G27">
        <v>10263</v>
      </c>
    </row>
    <row r="28" spans="1:7" x14ac:dyDescent="0.2">
      <c r="A28" t="s">
        <v>86</v>
      </c>
      <c r="B28" t="s">
        <v>14</v>
      </c>
      <c r="C28">
        <v>8936</v>
      </c>
      <c r="D28">
        <v>1.06</v>
      </c>
      <c r="E28" s="3">
        <f t="shared" si="0"/>
        <v>6.0000000000000053E-2</v>
      </c>
      <c r="F28">
        <v>493</v>
      </c>
      <c r="G28">
        <v>9429</v>
      </c>
    </row>
    <row r="29" spans="1:7" x14ac:dyDescent="0.2">
      <c r="A29" t="s">
        <v>86</v>
      </c>
      <c r="B29" t="s">
        <v>63</v>
      </c>
      <c r="C29">
        <v>8936</v>
      </c>
      <c r="D29">
        <v>1.01</v>
      </c>
      <c r="E29" s="3">
        <f t="shared" si="0"/>
        <v>1.0000000000000009E-2</v>
      </c>
      <c r="F29">
        <v>62</v>
      </c>
      <c r="G29">
        <v>8998</v>
      </c>
    </row>
    <row r="30" spans="1:7" x14ac:dyDescent="0.2">
      <c r="A30" t="s">
        <v>87</v>
      </c>
      <c r="B30" t="s">
        <v>64</v>
      </c>
      <c r="C30">
        <v>8936</v>
      </c>
      <c r="D30">
        <v>1.05</v>
      </c>
      <c r="E30" s="3">
        <f t="shared" si="0"/>
        <v>5.0000000000000044E-2</v>
      </c>
      <c r="F30">
        <v>474</v>
      </c>
      <c r="G30">
        <v>9410</v>
      </c>
    </row>
    <row r="31" spans="1:7" x14ac:dyDescent="0.2">
      <c r="A31" t="s">
        <v>88</v>
      </c>
      <c r="B31" t="s">
        <v>37</v>
      </c>
      <c r="C31">
        <v>8936</v>
      </c>
      <c r="D31">
        <v>0.97</v>
      </c>
      <c r="E31" s="3">
        <f t="shared" si="0"/>
        <v>-3.0000000000000027E-2</v>
      </c>
      <c r="F31">
        <v>-252</v>
      </c>
      <c r="G31">
        <v>8684</v>
      </c>
    </row>
    <row r="32" spans="1:7" x14ac:dyDescent="0.2">
      <c r="A32" t="s">
        <v>89</v>
      </c>
      <c r="B32" t="s">
        <v>65</v>
      </c>
      <c r="C32">
        <v>8936</v>
      </c>
      <c r="D32">
        <v>1.0900000000000001</v>
      </c>
      <c r="E32" s="3">
        <f t="shared" si="0"/>
        <v>9.000000000000008E-2</v>
      </c>
      <c r="F32">
        <v>792</v>
      </c>
      <c r="G32">
        <v>9728</v>
      </c>
    </row>
    <row r="33" spans="1:7" x14ac:dyDescent="0.2">
      <c r="A33" t="s">
        <v>89</v>
      </c>
      <c r="B33" t="s">
        <v>66</v>
      </c>
      <c r="C33">
        <v>8936</v>
      </c>
      <c r="D33">
        <v>1.04</v>
      </c>
      <c r="E33" s="3">
        <f t="shared" si="0"/>
        <v>4.0000000000000036E-2</v>
      </c>
      <c r="F33">
        <v>331</v>
      </c>
      <c r="G33">
        <v>9267</v>
      </c>
    </row>
    <row r="34" spans="1:7" x14ac:dyDescent="0.2">
      <c r="A34" t="s">
        <v>90</v>
      </c>
      <c r="B34" t="s">
        <v>67</v>
      </c>
      <c r="C34">
        <v>8936</v>
      </c>
      <c r="D34">
        <v>0.99</v>
      </c>
      <c r="E34" s="3">
        <f t="shared" si="0"/>
        <v>-1.0000000000000009E-2</v>
      </c>
      <c r="F34">
        <v>-105</v>
      </c>
      <c r="G34">
        <v>8831</v>
      </c>
    </row>
    <row r="35" spans="1:7" x14ac:dyDescent="0.2">
      <c r="A35" t="s">
        <v>91</v>
      </c>
      <c r="B35" t="s">
        <v>39</v>
      </c>
      <c r="C35">
        <v>8936</v>
      </c>
      <c r="D35">
        <v>0.99</v>
      </c>
      <c r="E35" s="3">
        <f t="shared" si="0"/>
        <v>-1.0000000000000009E-2</v>
      </c>
      <c r="F35">
        <v>-56</v>
      </c>
      <c r="G35">
        <v>8880</v>
      </c>
    </row>
    <row r="36" spans="1:7" x14ac:dyDescent="0.2">
      <c r="A36" t="s">
        <v>92</v>
      </c>
      <c r="B36" t="s">
        <v>40</v>
      </c>
      <c r="C36">
        <v>8936</v>
      </c>
      <c r="D36">
        <v>1.04</v>
      </c>
      <c r="E36" s="3">
        <f t="shared" si="0"/>
        <v>4.0000000000000036E-2</v>
      </c>
      <c r="F36">
        <v>368</v>
      </c>
      <c r="G36">
        <v>9304</v>
      </c>
    </row>
    <row r="37" spans="1:7" x14ac:dyDescent="0.2">
      <c r="A37" t="s">
        <v>93</v>
      </c>
      <c r="B37" t="s">
        <v>41</v>
      </c>
      <c r="C37">
        <v>8936</v>
      </c>
      <c r="D37">
        <v>1.1499999999999999</v>
      </c>
      <c r="E37" s="3">
        <f t="shared" si="0"/>
        <v>0.14999999999999991</v>
      </c>
      <c r="F37">
        <v>1383</v>
      </c>
      <c r="G37">
        <v>10319</v>
      </c>
    </row>
    <row r="38" spans="1:7" x14ac:dyDescent="0.2">
      <c r="A38" t="s">
        <v>94</v>
      </c>
      <c r="B38" t="s">
        <v>42</v>
      </c>
      <c r="C38">
        <v>8936</v>
      </c>
      <c r="D38">
        <v>1.03</v>
      </c>
      <c r="E38" s="3">
        <f t="shared" si="0"/>
        <v>3.0000000000000027E-2</v>
      </c>
      <c r="F38">
        <v>298</v>
      </c>
      <c r="G38">
        <v>9234</v>
      </c>
    </row>
    <row r="39" spans="1:7" x14ac:dyDescent="0.2">
      <c r="A39" t="s">
        <v>68</v>
      </c>
      <c r="B39" t="s">
        <v>68</v>
      </c>
      <c r="C39">
        <v>8936</v>
      </c>
      <c r="D39">
        <v>1.3</v>
      </c>
      <c r="E39" s="3">
        <f t="shared" si="0"/>
        <v>0.30000000000000004</v>
      </c>
      <c r="F39">
        <v>2683</v>
      </c>
      <c r="G39">
        <v>11619</v>
      </c>
    </row>
    <row r="40" spans="1:7" x14ac:dyDescent="0.2">
      <c r="A40" t="s">
        <v>68</v>
      </c>
      <c r="B40" t="s">
        <v>43</v>
      </c>
      <c r="C40">
        <v>8936</v>
      </c>
      <c r="D40">
        <v>1.04</v>
      </c>
      <c r="E40" s="3">
        <f t="shared" si="0"/>
        <v>4.0000000000000036E-2</v>
      </c>
      <c r="F40">
        <v>326</v>
      </c>
      <c r="G40">
        <v>9262</v>
      </c>
    </row>
    <row r="41" spans="1:7" x14ac:dyDescent="0.2">
      <c r="A41" t="s">
        <v>95</v>
      </c>
      <c r="B41" t="s">
        <v>69</v>
      </c>
      <c r="C41">
        <v>8936</v>
      </c>
      <c r="D41">
        <v>1.1000000000000001</v>
      </c>
      <c r="E41" s="3">
        <f t="shared" si="0"/>
        <v>0.10000000000000009</v>
      </c>
      <c r="F41">
        <v>905</v>
      </c>
      <c r="G41">
        <v>9841</v>
      </c>
    </row>
    <row r="42" spans="1:7" x14ac:dyDescent="0.2">
      <c r="A42" t="s">
        <v>96</v>
      </c>
      <c r="B42" t="s">
        <v>44</v>
      </c>
      <c r="C42">
        <v>8936</v>
      </c>
      <c r="D42">
        <v>0.99</v>
      </c>
      <c r="E42" s="3">
        <f t="shared" si="0"/>
        <v>-1.0000000000000009E-2</v>
      </c>
      <c r="F42">
        <v>-76</v>
      </c>
      <c r="G42">
        <v>8860</v>
      </c>
    </row>
    <row r="43" spans="1:7" x14ac:dyDescent="0.2">
      <c r="A43" t="s">
        <v>97</v>
      </c>
      <c r="B43" t="s">
        <v>45</v>
      </c>
      <c r="C43">
        <v>8936</v>
      </c>
      <c r="D43">
        <v>1.01</v>
      </c>
      <c r="E43" s="3">
        <f t="shared" si="0"/>
        <v>1.0000000000000009E-2</v>
      </c>
      <c r="F43">
        <v>92</v>
      </c>
      <c r="G43">
        <v>9028</v>
      </c>
    </row>
    <row r="44" spans="1:7" x14ac:dyDescent="0.2">
      <c r="A44" t="s">
        <v>98</v>
      </c>
      <c r="B44" t="s">
        <v>46</v>
      </c>
      <c r="C44">
        <v>8936</v>
      </c>
      <c r="D44">
        <v>0.99</v>
      </c>
      <c r="E44" s="3">
        <f t="shared" si="0"/>
        <v>-1.0000000000000009E-2</v>
      </c>
      <c r="F44">
        <v>-126</v>
      </c>
      <c r="G44">
        <v>8810</v>
      </c>
    </row>
    <row r="45" spans="1:7" x14ac:dyDescent="0.2">
      <c r="A45" t="s">
        <v>47</v>
      </c>
      <c r="B45" t="s">
        <v>70</v>
      </c>
      <c r="C45">
        <v>8936</v>
      </c>
      <c r="D45">
        <v>0.97</v>
      </c>
      <c r="E45" s="3">
        <f t="shared" si="0"/>
        <v>-3.0000000000000027E-2</v>
      </c>
      <c r="F45">
        <v>-246</v>
      </c>
      <c r="G45">
        <v>8690</v>
      </c>
    </row>
    <row r="46" spans="1:7" x14ac:dyDescent="0.2">
      <c r="A46" t="s">
        <v>99</v>
      </c>
      <c r="B46" t="s">
        <v>34</v>
      </c>
      <c r="C46">
        <v>8936</v>
      </c>
      <c r="D46">
        <v>1.0900000000000001</v>
      </c>
      <c r="E46" s="3">
        <f t="shared" si="0"/>
        <v>9.000000000000008E-2</v>
      </c>
      <c r="F46">
        <v>794</v>
      </c>
      <c r="G46">
        <v>9730</v>
      </c>
    </row>
    <row r="47" spans="1:7" x14ac:dyDescent="0.2">
      <c r="A47" t="s">
        <v>100</v>
      </c>
      <c r="B47" t="s">
        <v>71</v>
      </c>
      <c r="C47">
        <v>8936</v>
      </c>
      <c r="D47">
        <v>1.1399999999999999</v>
      </c>
      <c r="E47" s="3">
        <f t="shared" si="0"/>
        <v>0.1399999999999999</v>
      </c>
      <c r="F47">
        <v>1222</v>
      </c>
      <c r="G47">
        <v>10158</v>
      </c>
    </row>
    <row r="48" spans="1:7" x14ac:dyDescent="0.2">
      <c r="A48" t="s">
        <v>100</v>
      </c>
      <c r="B48" t="s">
        <v>48</v>
      </c>
      <c r="C48">
        <v>8936</v>
      </c>
      <c r="D48">
        <v>1.03</v>
      </c>
      <c r="E48" s="3">
        <f t="shared" si="0"/>
        <v>3.0000000000000027E-2</v>
      </c>
      <c r="F48">
        <v>302</v>
      </c>
      <c r="G48">
        <v>9238</v>
      </c>
    </row>
    <row r="49" spans="1:7" x14ac:dyDescent="0.2">
      <c r="A49" t="s">
        <v>101</v>
      </c>
      <c r="B49" t="s">
        <v>49</v>
      </c>
      <c r="C49">
        <v>8936</v>
      </c>
      <c r="D49">
        <v>1.0900000000000001</v>
      </c>
      <c r="E49" s="3">
        <f t="shared" si="0"/>
        <v>9.000000000000008E-2</v>
      </c>
      <c r="F49">
        <v>773</v>
      </c>
      <c r="G49">
        <v>9709</v>
      </c>
    </row>
    <row r="50" spans="1:7" x14ac:dyDescent="0.2">
      <c r="A50" t="s">
        <v>102</v>
      </c>
      <c r="B50" t="s">
        <v>50</v>
      </c>
      <c r="C50">
        <v>8936</v>
      </c>
      <c r="D50">
        <v>1.02</v>
      </c>
      <c r="E50" s="3">
        <f t="shared" si="0"/>
        <v>2.0000000000000018E-2</v>
      </c>
      <c r="F50">
        <v>143</v>
      </c>
      <c r="G50">
        <v>9079</v>
      </c>
    </row>
    <row r="51" spans="1:7" x14ac:dyDescent="0.2">
      <c r="A51" t="s">
        <v>103</v>
      </c>
      <c r="B51" t="s">
        <v>72</v>
      </c>
      <c r="C51">
        <v>8936</v>
      </c>
      <c r="D51">
        <v>0.99</v>
      </c>
      <c r="E51" s="3">
        <f t="shared" si="0"/>
        <v>-1.0000000000000009E-2</v>
      </c>
      <c r="F51">
        <v>-112</v>
      </c>
      <c r="G51">
        <v>8824</v>
      </c>
    </row>
    <row r="52" spans="1:7" x14ac:dyDescent="0.2">
      <c r="A52" t="s">
        <v>104</v>
      </c>
      <c r="B52" t="s">
        <v>51</v>
      </c>
      <c r="C52">
        <v>8936</v>
      </c>
      <c r="D52">
        <v>1.02</v>
      </c>
      <c r="E52" s="3">
        <f t="shared" si="0"/>
        <v>2.0000000000000018E-2</v>
      </c>
      <c r="F52">
        <v>142</v>
      </c>
      <c r="G52">
        <v>9078</v>
      </c>
    </row>
    <row r="53" spans="1:7" x14ac:dyDescent="0.2">
      <c r="A53" t="s">
        <v>105</v>
      </c>
      <c r="B53" t="s">
        <v>52</v>
      </c>
      <c r="C53">
        <v>8936</v>
      </c>
      <c r="D53">
        <v>0.95</v>
      </c>
      <c r="E53" s="3">
        <f t="shared" si="0"/>
        <v>-5.0000000000000044E-2</v>
      </c>
      <c r="F53">
        <v>-423</v>
      </c>
      <c r="G53">
        <v>8513</v>
      </c>
    </row>
    <row r="54" spans="1:7" x14ac:dyDescent="0.2">
      <c r="A54" t="s">
        <v>106</v>
      </c>
      <c r="B54" t="s">
        <v>73</v>
      </c>
      <c r="C54">
        <v>8936</v>
      </c>
      <c r="D54">
        <v>1.02</v>
      </c>
      <c r="E54" s="3">
        <f t="shared" si="0"/>
        <v>2.0000000000000018E-2</v>
      </c>
      <c r="F54">
        <v>155</v>
      </c>
      <c r="G54">
        <v>9091</v>
      </c>
    </row>
    <row r="55" spans="1:7" x14ac:dyDescent="0.2">
      <c r="A55" t="s">
        <v>107</v>
      </c>
      <c r="B55" t="s">
        <v>53</v>
      </c>
      <c r="C55">
        <v>8936</v>
      </c>
      <c r="D55">
        <v>1.08</v>
      </c>
      <c r="E55" s="3">
        <f t="shared" si="0"/>
        <v>8.0000000000000071E-2</v>
      </c>
      <c r="F55">
        <v>717</v>
      </c>
      <c r="G55">
        <v>9653</v>
      </c>
    </row>
    <row r="56" spans="1:7" x14ac:dyDescent="0.2">
      <c r="A56" t="s">
        <v>108</v>
      </c>
      <c r="B56" t="s">
        <v>54</v>
      </c>
      <c r="C56">
        <v>8936</v>
      </c>
      <c r="D56">
        <v>1.01</v>
      </c>
      <c r="E56" s="3">
        <f t="shared" si="0"/>
        <v>1.0000000000000009E-2</v>
      </c>
      <c r="F56">
        <v>75</v>
      </c>
      <c r="G56">
        <v>9011</v>
      </c>
    </row>
    <row r="57" spans="1:7" x14ac:dyDescent="0.2">
      <c r="A57" t="s">
        <v>108</v>
      </c>
      <c r="B57" t="s">
        <v>55</v>
      </c>
      <c r="C57">
        <v>8936</v>
      </c>
      <c r="D57">
        <v>0.99</v>
      </c>
      <c r="E57" s="3">
        <f t="shared" si="0"/>
        <v>-1.0000000000000009E-2</v>
      </c>
      <c r="F57">
        <v>-98</v>
      </c>
      <c r="G57">
        <v>8838</v>
      </c>
    </row>
    <row r="58" spans="1:7" x14ac:dyDescent="0.2">
      <c r="A58" t="s">
        <v>23</v>
      </c>
      <c r="B58" t="s">
        <v>56</v>
      </c>
      <c r="C58">
        <v>8936</v>
      </c>
      <c r="D58">
        <v>1.1200000000000001</v>
      </c>
      <c r="E58" s="3">
        <f t="shared" si="0"/>
        <v>0.12000000000000011</v>
      </c>
      <c r="F58">
        <v>1104</v>
      </c>
      <c r="G58">
        <v>10040</v>
      </c>
    </row>
    <row r="59" spans="1:7" x14ac:dyDescent="0.2">
      <c r="A59" t="s">
        <v>23</v>
      </c>
      <c r="B59" t="s">
        <v>57</v>
      </c>
      <c r="C59">
        <v>8936</v>
      </c>
      <c r="D59">
        <v>1.04</v>
      </c>
      <c r="E59" s="3">
        <f t="shared" si="0"/>
        <v>4.0000000000000036E-2</v>
      </c>
      <c r="F59">
        <v>392</v>
      </c>
      <c r="G59">
        <v>9328</v>
      </c>
    </row>
    <row r="60" spans="1:7" x14ac:dyDescent="0.2">
      <c r="A60" t="s">
        <v>109</v>
      </c>
      <c r="B60" t="s">
        <v>50</v>
      </c>
      <c r="C60">
        <v>8936</v>
      </c>
      <c r="D60">
        <v>1.01</v>
      </c>
      <c r="E60" s="3">
        <f t="shared" si="0"/>
        <v>1.0000000000000009E-2</v>
      </c>
      <c r="F60">
        <v>98</v>
      </c>
      <c r="G60">
        <v>9034</v>
      </c>
    </row>
    <row r="61" spans="1:7" x14ac:dyDescent="0.2">
      <c r="A61" t="s">
        <v>110</v>
      </c>
      <c r="B61" t="s">
        <v>74</v>
      </c>
      <c r="C61">
        <v>8936</v>
      </c>
      <c r="D61">
        <v>1.03</v>
      </c>
      <c r="E61" s="3">
        <f t="shared" si="0"/>
        <v>3.0000000000000027E-2</v>
      </c>
      <c r="F61">
        <v>312</v>
      </c>
      <c r="G61">
        <v>9248</v>
      </c>
    </row>
    <row r="62" spans="1:7" x14ac:dyDescent="0.2">
      <c r="A62" t="s">
        <v>111</v>
      </c>
      <c r="B62" t="s">
        <v>58</v>
      </c>
      <c r="C62">
        <v>8936</v>
      </c>
      <c r="D62">
        <v>0.99</v>
      </c>
      <c r="E62" s="3">
        <f t="shared" si="0"/>
        <v>-1.0000000000000009E-2</v>
      </c>
      <c r="F62">
        <v>-67</v>
      </c>
      <c r="G62">
        <v>8869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A0AA-1B2F-DF43-B336-65D6F20583E0}">
  <dimension ref="A1:BS62"/>
  <sheetViews>
    <sheetView workbookViewId="0">
      <selection activeCell="E2" sqref="E2:E62"/>
    </sheetView>
  </sheetViews>
  <sheetFormatPr baseColWidth="10" defaultRowHeight="16" x14ac:dyDescent="0.2"/>
  <cols>
    <col min="3" max="3" width="22.33203125" bestFit="1" customWidth="1"/>
    <col min="4" max="4" width="16.33203125" bestFit="1" customWidth="1"/>
    <col min="5" max="5" width="16.33203125" customWidth="1"/>
    <col min="6" max="6" width="25.5" bestFit="1" customWidth="1"/>
    <col min="7" max="7" width="29.5" bestFit="1" customWidth="1"/>
  </cols>
  <sheetData>
    <row r="1" spans="1:71" x14ac:dyDescent="0.2">
      <c r="A1" s="2" t="s">
        <v>13</v>
      </c>
      <c r="B1" s="2" t="s">
        <v>12</v>
      </c>
      <c r="C1" s="2" t="s">
        <v>11</v>
      </c>
      <c r="D1" s="2" t="s">
        <v>10</v>
      </c>
      <c r="E1" s="2"/>
      <c r="F1" s="2" t="s">
        <v>9</v>
      </c>
      <c r="G1" s="2" t="s">
        <v>8</v>
      </c>
    </row>
    <row r="2" spans="1:71" x14ac:dyDescent="0.2">
      <c r="A2" t="s">
        <v>0</v>
      </c>
      <c r="B2" t="s">
        <v>15</v>
      </c>
      <c r="C2" cm="1">
        <f t="array" ref="C2:C62">TRANSPOSE(K3:BS3)</f>
        <v>1744</v>
      </c>
      <c r="D2" cm="1">
        <f t="array" ref="D2:D62">TRANSPOSE(K4:BS4)</f>
        <v>1.01</v>
      </c>
      <c r="E2" s="3">
        <f>D2-1</f>
        <v>1.0000000000000009E-2</v>
      </c>
      <c r="F2" cm="1">
        <f t="array" ref="F2:F62">TRANSPOSE(K5:BS5)</f>
        <v>21</v>
      </c>
      <c r="G2" cm="1">
        <f t="array" ref="G2:G62">TRANSPOSE(K6:BS6)</f>
        <v>1765</v>
      </c>
    </row>
    <row r="3" spans="1:71" x14ac:dyDescent="0.2">
      <c r="A3" t="s">
        <v>1</v>
      </c>
      <c r="B3" t="s">
        <v>16</v>
      </c>
      <c r="C3">
        <v>1744</v>
      </c>
      <c r="D3">
        <v>0.99</v>
      </c>
      <c r="E3" s="3">
        <f t="shared" ref="E3:E62" si="0">D3-1</f>
        <v>-1.0000000000000009E-2</v>
      </c>
      <c r="F3">
        <v>-17</v>
      </c>
      <c r="G3">
        <v>1727</v>
      </c>
      <c r="K3" s="1">
        <v>1744</v>
      </c>
      <c r="L3" s="1">
        <v>1744</v>
      </c>
      <c r="M3" s="1">
        <v>1744</v>
      </c>
      <c r="N3" s="1">
        <v>1744</v>
      </c>
      <c r="O3" s="1">
        <v>1744</v>
      </c>
      <c r="P3" s="1">
        <v>1744</v>
      </c>
      <c r="Q3" s="1">
        <v>1744</v>
      </c>
      <c r="R3" s="1">
        <v>1744</v>
      </c>
      <c r="S3" s="1">
        <v>1744</v>
      </c>
      <c r="T3" s="1">
        <v>1744</v>
      </c>
      <c r="U3" s="1">
        <v>1744</v>
      </c>
      <c r="V3" s="1">
        <v>1744</v>
      </c>
      <c r="W3" s="1">
        <v>1744</v>
      </c>
      <c r="X3" s="1">
        <v>1744</v>
      </c>
      <c r="Y3" s="1">
        <v>1744</v>
      </c>
      <c r="Z3" s="1">
        <v>1744</v>
      </c>
      <c r="AA3" s="1">
        <v>1744</v>
      </c>
      <c r="AB3" s="1">
        <v>1744</v>
      </c>
      <c r="AC3" s="1">
        <v>1744</v>
      </c>
      <c r="AD3" s="1">
        <v>1744</v>
      </c>
      <c r="AE3" s="1">
        <v>1744</v>
      </c>
      <c r="AF3" s="1">
        <v>1744</v>
      </c>
      <c r="AG3" s="1">
        <v>1744</v>
      </c>
      <c r="AH3" s="1">
        <v>1744</v>
      </c>
      <c r="AI3" s="1">
        <v>1744</v>
      </c>
      <c r="AJ3" s="1">
        <v>1744</v>
      </c>
      <c r="AK3" s="1">
        <v>1744</v>
      </c>
      <c r="AL3" s="1">
        <v>1744</v>
      </c>
      <c r="AM3" s="1">
        <v>1744</v>
      </c>
      <c r="AN3" s="1">
        <v>1744</v>
      </c>
      <c r="AO3" s="1">
        <v>1744</v>
      </c>
      <c r="AP3" s="1">
        <v>1744</v>
      </c>
      <c r="AQ3" s="1">
        <v>1744</v>
      </c>
      <c r="AR3" s="1">
        <v>1744</v>
      </c>
      <c r="AS3" s="1">
        <v>1744</v>
      </c>
      <c r="AT3" s="1">
        <v>1744</v>
      </c>
      <c r="AU3" s="1">
        <v>1744</v>
      </c>
      <c r="AV3" s="1">
        <v>1744</v>
      </c>
      <c r="AW3" s="1">
        <v>1744</v>
      </c>
      <c r="AX3" s="1">
        <v>1744</v>
      </c>
      <c r="AY3" s="1">
        <v>1744</v>
      </c>
      <c r="AZ3" s="1">
        <v>1744</v>
      </c>
      <c r="BA3" s="1">
        <v>1744</v>
      </c>
      <c r="BB3" s="1">
        <v>1744</v>
      </c>
      <c r="BC3" s="1">
        <v>1744</v>
      </c>
      <c r="BD3" s="1">
        <v>1744</v>
      </c>
      <c r="BE3" s="1">
        <v>1744</v>
      </c>
      <c r="BF3" s="1">
        <v>1744</v>
      </c>
      <c r="BG3" s="1">
        <v>1744</v>
      </c>
      <c r="BH3" s="1">
        <v>1744</v>
      </c>
      <c r="BI3" s="1">
        <v>1744</v>
      </c>
      <c r="BJ3" s="1">
        <v>1744</v>
      </c>
      <c r="BK3" s="1">
        <v>1744</v>
      </c>
      <c r="BL3" s="1">
        <v>1744</v>
      </c>
      <c r="BM3" s="1">
        <v>1744</v>
      </c>
      <c r="BN3" s="1">
        <v>1744</v>
      </c>
      <c r="BO3" s="1">
        <v>1744</v>
      </c>
      <c r="BP3" s="1">
        <v>1744</v>
      </c>
      <c r="BQ3" s="1">
        <v>1744</v>
      </c>
      <c r="BR3" s="1">
        <v>1744</v>
      </c>
      <c r="BS3" s="1">
        <v>1744</v>
      </c>
    </row>
    <row r="4" spans="1:71" x14ac:dyDescent="0.2">
      <c r="A4" t="s">
        <v>2</v>
      </c>
      <c r="B4" t="s">
        <v>59</v>
      </c>
      <c r="C4">
        <v>1744</v>
      </c>
      <c r="D4">
        <v>1.03</v>
      </c>
      <c r="E4" s="3">
        <f t="shared" si="0"/>
        <v>3.0000000000000027E-2</v>
      </c>
      <c r="F4">
        <v>58</v>
      </c>
      <c r="G4">
        <v>1802</v>
      </c>
      <c r="K4">
        <v>1.01</v>
      </c>
      <c r="L4">
        <v>0.99</v>
      </c>
      <c r="M4">
        <v>1.03</v>
      </c>
      <c r="N4">
        <v>1.07</v>
      </c>
      <c r="O4">
        <v>1.0900000000000001</v>
      </c>
      <c r="P4">
        <v>1.07</v>
      </c>
      <c r="Q4">
        <v>1.08</v>
      </c>
      <c r="R4">
        <v>1.1100000000000001</v>
      </c>
      <c r="S4">
        <v>0.99</v>
      </c>
      <c r="T4">
        <v>1.05</v>
      </c>
      <c r="U4">
        <v>1.01</v>
      </c>
      <c r="V4">
        <v>1.01</v>
      </c>
      <c r="W4">
        <v>0.99</v>
      </c>
      <c r="X4">
        <v>1</v>
      </c>
      <c r="Y4">
        <v>1.02</v>
      </c>
      <c r="Z4">
        <v>1.02</v>
      </c>
      <c r="AA4">
        <v>1.07</v>
      </c>
      <c r="AB4">
        <v>1.02</v>
      </c>
      <c r="AC4">
        <v>1.01</v>
      </c>
      <c r="AD4">
        <v>1</v>
      </c>
      <c r="AE4">
        <v>1</v>
      </c>
      <c r="AF4">
        <v>1.02</v>
      </c>
      <c r="AG4">
        <v>1.03</v>
      </c>
      <c r="AH4">
        <v>1.01</v>
      </c>
      <c r="AI4">
        <v>1.01</v>
      </c>
      <c r="AJ4">
        <v>1.07</v>
      </c>
      <c r="AK4">
        <v>1.02</v>
      </c>
      <c r="AL4">
        <v>1</v>
      </c>
      <c r="AM4">
        <v>1.01</v>
      </c>
      <c r="AN4">
        <v>0.99</v>
      </c>
      <c r="AO4">
        <v>1.07</v>
      </c>
      <c r="AP4">
        <v>1.01</v>
      </c>
      <c r="AQ4">
        <v>0.99</v>
      </c>
      <c r="AR4">
        <v>1</v>
      </c>
      <c r="AS4">
        <v>1.03</v>
      </c>
      <c r="AT4">
        <v>1.06</v>
      </c>
      <c r="AU4">
        <v>1.03</v>
      </c>
      <c r="AV4">
        <v>1.1200000000000001</v>
      </c>
      <c r="AW4">
        <v>1.02</v>
      </c>
      <c r="AX4">
        <v>1.07</v>
      </c>
      <c r="AY4">
        <v>1</v>
      </c>
      <c r="AZ4">
        <v>0.99</v>
      </c>
      <c r="BA4">
        <v>0.99</v>
      </c>
      <c r="BB4">
        <v>0.99</v>
      </c>
      <c r="BC4">
        <v>1.06</v>
      </c>
      <c r="BD4">
        <v>1.06</v>
      </c>
      <c r="BE4">
        <v>1.01</v>
      </c>
      <c r="BF4">
        <v>1.04</v>
      </c>
      <c r="BG4">
        <v>1.07</v>
      </c>
      <c r="BH4">
        <v>0.98</v>
      </c>
      <c r="BI4">
        <v>1.04</v>
      </c>
      <c r="BJ4">
        <v>0.99</v>
      </c>
      <c r="BK4">
        <v>1.03</v>
      </c>
      <c r="BL4">
        <v>1.08</v>
      </c>
      <c r="BM4">
        <v>1.01</v>
      </c>
      <c r="BN4">
        <v>1</v>
      </c>
      <c r="BO4">
        <v>1.08</v>
      </c>
      <c r="BP4">
        <v>1.03</v>
      </c>
      <c r="BQ4">
        <v>1</v>
      </c>
      <c r="BR4">
        <v>0.99</v>
      </c>
      <c r="BS4">
        <v>0.99</v>
      </c>
    </row>
    <row r="5" spans="1:71" x14ac:dyDescent="0.2">
      <c r="A5" t="s">
        <v>3</v>
      </c>
      <c r="B5" t="s">
        <v>17</v>
      </c>
      <c r="C5">
        <v>1744</v>
      </c>
      <c r="D5">
        <v>1.07</v>
      </c>
      <c r="E5" s="3">
        <f t="shared" si="0"/>
        <v>7.0000000000000062E-2</v>
      </c>
      <c r="F5">
        <v>126</v>
      </c>
      <c r="G5">
        <v>1870</v>
      </c>
      <c r="K5">
        <v>21</v>
      </c>
      <c r="L5">
        <v>-17</v>
      </c>
      <c r="M5">
        <v>58</v>
      </c>
      <c r="N5">
        <v>126</v>
      </c>
      <c r="O5">
        <v>149</v>
      </c>
      <c r="P5">
        <v>130</v>
      </c>
      <c r="Q5">
        <v>136</v>
      </c>
      <c r="R5">
        <v>187</v>
      </c>
      <c r="S5">
        <v>-18</v>
      </c>
      <c r="T5">
        <v>83</v>
      </c>
      <c r="U5">
        <v>22</v>
      </c>
      <c r="V5">
        <v>24</v>
      </c>
      <c r="W5">
        <v>-15</v>
      </c>
      <c r="X5">
        <v>-4</v>
      </c>
      <c r="Y5">
        <v>34</v>
      </c>
      <c r="Z5">
        <v>31</v>
      </c>
      <c r="AA5">
        <v>121</v>
      </c>
      <c r="AB5">
        <v>37</v>
      </c>
      <c r="AC5">
        <v>13</v>
      </c>
      <c r="AD5">
        <v>-5</v>
      </c>
      <c r="AE5">
        <v>-4</v>
      </c>
      <c r="AF5">
        <v>35</v>
      </c>
      <c r="AG5">
        <v>56</v>
      </c>
      <c r="AH5">
        <v>19</v>
      </c>
      <c r="AI5">
        <v>19</v>
      </c>
      <c r="AJ5">
        <v>123</v>
      </c>
      <c r="AK5">
        <v>32</v>
      </c>
      <c r="AL5">
        <v>1</v>
      </c>
      <c r="AM5">
        <v>15</v>
      </c>
      <c r="AN5">
        <v>-17</v>
      </c>
      <c r="AO5">
        <v>121</v>
      </c>
      <c r="AP5">
        <v>25</v>
      </c>
      <c r="AQ5">
        <v>-13</v>
      </c>
      <c r="AR5">
        <v>-4</v>
      </c>
      <c r="AS5">
        <v>60</v>
      </c>
      <c r="AT5">
        <v>112</v>
      </c>
      <c r="AU5">
        <v>61</v>
      </c>
      <c r="AV5">
        <v>204</v>
      </c>
      <c r="AW5">
        <v>34</v>
      </c>
      <c r="AX5">
        <v>116</v>
      </c>
      <c r="AY5">
        <v>-5</v>
      </c>
      <c r="AZ5">
        <v>-22</v>
      </c>
      <c r="BA5">
        <v>-17</v>
      </c>
      <c r="BB5">
        <v>-19</v>
      </c>
      <c r="BC5">
        <v>107</v>
      </c>
      <c r="BD5">
        <v>105</v>
      </c>
      <c r="BE5">
        <v>23</v>
      </c>
      <c r="BF5">
        <v>75</v>
      </c>
      <c r="BG5">
        <v>119</v>
      </c>
      <c r="BH5">
        <v>-35</v>
      </c>
      <c r="BI5">
        <v>66</v>
      </c>
      <c r="BJ5">
        <v>-23</v>
      </c>
      <c r="BK5">
        <v>60</v>
      </c>
      <c r="BL5">
        <v>143</v>
      </c>
      <c r="BM5">
        <v>21</v>
      </c>
      <c r="BN5">
        <v>-8</v>
      </c>
      <c r="BO5">
        <v>138</v>
      </c>
      <c r="BP5">
        <v>44</v>
      </c>
      <c r="BQ5">
        <v>-1</v>
      </c>
      <c r="BR5">
        <v>-8</v>
      </c>
      <c r="BS5">
        <v>-22</v>
      </c>
    </row>
    <row r="6" spans="1:71" x14ac:dyDescent="0.2">
      <c r="A6" t="s">
        <v>3</v>
      </c>
      <c r="B6" t="s">
        <v>60</v>
      </c>
      <c r="C6">
        <v>1744</v>
      </c>
      <c r="D6">
        <v>1.0900000000000001</v>
      </c>
      <c r="E6" s="3">
        <f t="shared" si="0"/>
        <v>9.000000000000008E-2</v>
      </c>
      <c r="F6">
        <v>149</v>
      </c>
      <c r="G6">
        <v>1893</v>
      </c>
      <c r="K6">
        <v>1765</v>
      </c>
      <c r="L6">
        <v>1727</v>
      </c>
      <c r="M6">
        <v>1802</v>
      </c>
      <c r="N6">
        <v>1870</v>
      </c>
      <c r="O6">
        <v>1893</v>
      </c>
      <c r="P6">
        <v>1874</v>
      </c>
      <c r="Q6">
        <v>1880</v>
      </c>
      <c r="R6">
        <v>1931</v>
      </c>
      <c r="S6">
        <v>1726</v>
      </c>
      <c r="T6">
        <v>1827</v>
      </c>
      <c r="U6">
        <v>1766</v>
      </c>
      <c r="V6">
        <v>1768</v>
      </c>
      <c r="W6">
        <v>1729</v>
      </c>
      <c r="X6">
        <v>1740</v>
      </c>
      <c r="Y6">
        <v>1778</v>
      </c>
      <c r="Z6">
        <v>1775</v>
      </c>
      <c r="AA6">
        <v>1865</v>
      </c>
      <c r="AB6">
        <v>1781</v>
      </c>
      <c r="AC6">
        <v>1757</v>
      </c>
      <c r="AD6">
        <v>1739</v>
      </c>
      <c r="AE6">
        <v>1740</v>
      </c>
      <c r="AF6">
        <v>1779</v>
      </c>
      <c r="AG6">
        <v>1800</v>
      </c>
      <c r="AH6">
        <v>1763</v>
      </c>
      <c r="AI6">
        <v>1763</v>
      </c>
      <c r="AJ6">
        <v>1867</v>
      </c>
      <c r="AK6">
        <v>1776</v>
      </c>
      <c r="AL6">
        <v>1745</v>
      </c>
      <c r="AM6">
        <v>1759</v>
      </c>
      <c r="AN6">
        <v>1727</v>
      </c>
      <c r="AO6">
        <v>1865</v>
      </c>
      <c r="AP6">
        <v>1769</v>
      </c>
      <c r="AQ6">
        <v>1731</v>
      </c>
      <c r="AR6">
        <v>1740</v>
      </c>
      <c r="AS6">
        <v>1804</v>
      </c>
      <c r="AT6">
        <v>1856</v>
      </c>
      <c r="AU6">
        <v>1805</v>
      </c>
      <c r="AV6">
        <v>1948</v>
      </c>
      <c r="AW6">
        <v>1778</v>
      </c>
      <c r="AX6">
        <v>1860</v>
      </c>
      <c r="AY6">
        <v>1739</v>
      </c>
      <c r="AZ6">
        <v>1722</v>
      </c>
      <c r="BA6">
        <v>1727</v>
      </c>
      <c r="BB6">
        <v>1725</v>
      </c>
      <c r="BC6">
        <v>1851</v>
      </c>
      <c r="BD6">
        <v>1849</v>
      </c>
      <c r="BE6">
        <v>1767</v>
      </c>
      <c r="BF6">
        <v>1819</v>
      </c>
      <c r="BG6">
        <v>1863</v>
      </c>
      <c r="BH6">
        <v>1709</v>
      </c>
      <c r="BI6">
        <v>1810</v>
      </c>
      <c r="BJ6">
        <v>1721</v>
      </c>
      <c r="BK6">
        <v>1804</v>
      </c>
      <c r="BL6">
        <v>1887</v>
      </c>
      <c r="BM6">
        <v>1765</v>
      </c>
      <c r="BN6">
        <v>1736</v>
      </c>
      <c r="BO6">
        <v>1882</v>
      </c>
      <c r="BP6">
        <v>1788</v>
      </c>
      <c r="BQ6">
        <v>1743</v>
      </c>
      <c r="BR6">
        <v>1736</v>
      </c>
      <c r="BS6">
        <v>1722</v>
      </c>
    </row>
    <row r="7" spans="1:71" x14ac:dyDescent="0.2">
      <c r="A7" t="s">
        <v>3</v>
      </c>
      <c r="B7" t="s">
        <v>18</v>
      </c>
      <c r="C7">
        <v>1744</v>
      </c>
      <c r="D7">
        <v>1.07</v>
      </c>
      <c r="E7" s="3">
        <f t="shared" si="0"/>
        <v>7.0000000000000062E-2</v>
      </c>
      <c r="F7">
        <v>130</v>
      </c>
      <c r="G7">
        <v>1874</v>
      </c>
    </row>
    <row r="8" spans="1:71" x14ac:dyDescent="0.2">
      <c r="A8" t="s">
        <v>3</v>
      </c>
      <c r="B8" t="s">
        <v>19</v>
      </c>
      <c r="C8">
        <v>1744</v>
      </c>
      <c r="D8">
        <v>1.08</v>
      </c>
      <c r="E8" s="3">
        <f t="shared" si="0"/>
        <v>8.0000000000000071E-2</v>
      </c>
      <c r="F8">
        <v>136</v>
      </c>
      <c r="G8">
        <v>1880</v>
      </c>
    </row>
    <row r="9" spans="1:71" x14ac:dyDescent="0.2">
      <c r="A9" t="s">
        <v>3</v>
      </c>
      <c r="B9" t="s">
        <v>61</v>
      </c>
      <c r="C9">
        <v>1744</v>
      </c>
      <c r="D9">
        <v>1.1100000000000001</v>
      </c>
      <c r="E9" s="3">
        <f t="shared" si="0"/>
        <v>0.1100000000000001</v>
      </c>
      <c r="F9">
        <v>187</v>
      </c>
      <c r="G9">
        <v>1931</v>
      </c>
    </row>
    <row r="10" spans="1:71" x14ac:dyDescent="0.2">
      <c r="A10" t="s">
        <v>75</v>
      </c>
      <c r="B10" t="s">
        <v>20</v>
      </c>
      <c r="C10">
        <v>1744</v>
      </c>
      <c r="D10">
        <v>0.99</v>
      </c>
      <c r="E10" s="3">
        <f t="shared" si="0"/>
        <v>-1.0000000000000009E-2</v>
      </c>
      <c r="F10">
        <v>-18</v>
      </c>
      <c r="G10">
        <v>1726</v>
      </c>
    </row>
    <row r="11" spans="1:71" x14ac:dyDescent="0.2">
      <c r="A11" t="s">
        <v>76</v>
      </c>
      <c r="B11" t="s">
        <v>21</v>
      </c>
      <c r="C11">
        <v>1744</v>
      </c>
      <c r="D11">
        <v>1.05</v>
      </c>
      <c r="E11" s="3">
        <f t="shared" si="0"/>
        <v>5.0000000000000044E-2</v>
      </c>
      <c r="F11">
        <v>83</v>
      </c>
      <c r="G11">
        <v>1827</v>
      </c>
    </row>
    <row r="12" spans="1:71" x14ac:dyDescent="0.2">
      <c r="A12" t="s">
        <v>77</v>
      </c>
      <c r="B12" t="s">
        <v>22</v>
      </c>
      <c r="C12">
        <v>1744</v>
      </c>
      <c r="D12">
        <v>1.01</v>
      </c>
      <c r="E12" s="3">
        <f t="shared" si="0"/>
        <v>1.0000000000000009E-2</v>
      </c>
      <c r="F12">
        <v>22</v>
      </c>
      <c r="G12">
        <v>1766</v>
      </c>
    </row>
    <row r="13" spans="1:71" x14ac:dyDescent="0.2">
      <c r="A13" t="s">
        <v>78</v>
      </c>
      <c r="B13" t="s">
        <v>23</v>
      </c>
      <c r="C13">
        <v>1744</v>
      </c>
      <c r="D13">
        <v>1.01</v>
      </c>
      <c r="E13" s="3">
        <f t="shared" si="0"/>
        <v>1.0000000000000009E-2</v>
      </c>
      <c r="F13">
        <v>24</v>
      </c>
      <c r="G13">
        <v>1768</v>
      </c>
    </row>
    <row r="14" spans="1:71" x14ac:dyDescent="0.2">
      <c r="A14" t="s">
        <v>79</v>
      </c>
      <c r="B14" t="s">
        <v>24</v>
      </c>
      <c r="C14">
        <v>1744</v>
      </c>
      <c r="D14">
        <v>0.99</v>
      </c>
      <c r="E14" s="3">
        <f t="shared" si="0"/>
        <v>-1.0000000000000009E-2</v>
      </c>
      <c r="F14">
        <v>-15</v>
      </c>
      <c r="G14">
        <v>1729</v>
      </c>
    </row>
    <row r="15" spans="1:71" x14ac:dyDescent="0.2">
      <c r="A15" t="s">
        <v>79</v>
      </c>
      <c r="B15" t="s">
        <v>25</v>
      </c>
      <c r="C15">
        <v>1744</v>
      </c>
      <c r="D15">
        <v>1</v>
      </c>
      <c r="E15" s="3">
        <f t="shared" si="0"/>
        <v>0</v>
      </c>
      <c r="F15">
        <v>-4</v>
      </c>
      <c r="G15">
        <v>1740</v>
      </c>
    </row>
    <row r="16" spans="1:71" x14ac:dyDescent="0.2">
      <c r="A16" t="s">
        <v>80</v>
      </c>
      <c r="B16" t="s">
        <v>26</v>
      </c>
      <c r="C16">
        <v>1744</v>
      </c>
      <c r="D16">
        <v>1.02</v>
      </c>
      <c r="E16" s="3">
        <f t="shared" si="0"/>
        <v>2.0000000000000018E-2</v>
      </c>
      <c r="F16">
        <v>34</v>
      </c>
      <c r="G16">
        <v>1778</v>
      </c>
    </row>
    <row r="17" spans="1:7" x14ac:dyDescent="0.2">
      <c r="A17" t="s">
        <v>4</v>
      </c>
      <c r="B17" t="s">
        <v>27</v>
      </c>
      <c r="C17">
        <v>1744</v>
      </c>
      <c r="D17">
        <v>1.02</v>
      </c>
      <c r="E17" s="3">
        <f t="shared" si="0"/>
        <v>2.0000000000000018E-2</v>
      </c>
      <c r="F17">
        <v>31</v>
      </c>
      <c r="G17">
        <v>1775</v>
      </c>
    </row>
    <row r="18" spans="1:7" x14ac:dyDescent="0.2">
      <c r="A18" t="s">
        <v>5</v>
      </c>
      <c r="B18" t="s">
        <v>28</v>
      </c>
      <c r="C18">
        <v>1744</v>
      </c>
      <c r="D18">
        <v>1.07</v>
      </c>
      <c r="E18" s="3">
        <f t="shared" si="0"/>
        <v>7.0000000000000062E-2</v>
      </c>
      <c r="F18">
        <v>121</v>
      </c>
      <c r="G18">
        <v>1865</v>
      </c>
    </row>
    <row r="19" spans="1:7" x14ac:dyDescent="0.2">
      <c r="A19" t="s">
        <v>6</v>
      </c>
      <c r="B19" t="s">
        <v>29</v>
      </c>
      <c r="C19">
        <v>1744</v>
      </c>
      <c r="D19">
        <v>1.02</v>
      </c>
      <c r="E19" s="3">
        <f t="shared" si="0"/>
        <v>2.0000000000000018E-2</v>
      </c>
      <c r="F19">
        <v>37</v>
      </c>
      <c r="G19">
        <v>1781</v>
      </c>
    </row>
    <row r="20" spans="1:7" x14ac:dyDescent="0.2">
      <c r="A20" t="s">
        <v>7</v>
      </c>
      <c r="B20" t="s">
        <v>30</v>
      </c>
      <c r="C20">
        <v>1744</v>
      </c>
      <c r="D20">
        <v>1.01</v>
      </c>
      <c r="E20" s="3">
        <f t="shared" si="0"/>
        <v>1.0000000000000009E-2</v>
      </c>
      <c r="F20">
        <v>13</v>
      </c>
      <c r="G20">
        <v>1757</v>
      </c>
    </row>
    <row r="21" spans="1:7" x14ac:dyDescent="0.2">
      <c r="A21" t="s">
        <v>7</v>
      </c>
      <c r="B21" t="s">
        <v>31</v>
      </c>
      <c r="C21">
        <v>1744</v>
      </c>
      <c r="D21">
        <v>1</v>
      </c>
      <c r="E21" s="3">
        <f t="shared" si="0"/>
        <v>0</v>
      </c>
      <c r="F21">
        <v>-5</v>
      </c>
      <c r="G21">
        <v>1739</v>
      </c>
    </row>
    <row r="22" spans="1:7" x14ac:dyDescent="0.2">
      <c r="A22" t="s">
        <v>38</v>
      </c>
      <c r="B22" t="s">
        <v>32</v>
      </c>
      <c r="C22">
        <v>1744</v>
      </c>
      <c r="D22">
        <v>1</v>
      </c>
      <c r="E22" s="3">
        <f t="shared" si="0"/>
        <v>0</v>
      </c>
      <c r="F22">
        <v>-4</v>
      </c>
      <c r="G22">
        <v>1740</v>
      </c>
    </row>
    <row r="23" spans="1:7" x14ac:dyDescent="0.2">
      <c r="A23" t="s">
        <v>81</v>
      </c>
      <c r="B23" t="s">
        <v>33</v>
      </c>
      <c r="C23">
        <v>1744</v>
      </c>
      <c r="D23">
        <v>1.02</v>
      </c>
      <c r="E23" s="3">
        <f t="shared" si="0"/>
        <v>2.0000000000000018E-2</v>
      </c>
      <c r="F23">
        <v>35</v>
      </c>
      <c r="G23">
        <v>1779</v>
      </c>
    </row>
    <row r="24" spans="1:7" x14ac:dyDescent="0.2">
      <c r="A24" t="s">
        <v>82</v>
      </c>
      <c r="B24" t="s">
        <v>62</v>
      </c>
      <c r="C24">
        <v>1744</v>
      </c>
      <c r="D24">
        <v>1.03</v>
      </c>
      <c r="E24" s="3">
        <f t="shared" si="0"/>
        <v>3.0000000000000027E-2</v>
      </c>
      <c r="F24">
        <v>56</v>
      </c>
      <c r="G24">
        <v>1800</v>
      </c>
    </row>
    <row r="25" spans="1:7" x14ac:dyDescent="0.2">
      <c r="A25" t="s">
        <v>83</v>
      </c>
      <c r="B25" t="s">
        <v>34</v>
      </c>
      <c r="C25">
        <v>1744</v>
      </c>
      <c r="D25">
        <v>1.01</v>
      </c>
      <c r="E25" s="3">
        <f t="shared" si="0"/>
        <v>1.0000000000000009E-2</v>
      </c>
      <c r="F25">
        <v>19</v>
      </c>
      <c r="G25">
        <v>1763</v>
      </c>
    </row>
    <row r="26" spans="1:7" x14ac:dyDescent="0.2">
      <c r="A26" t="s">
        <v>84</v>
      </c>
      <c r="B26" t="s">
        <v>35</v>
      </c>
      <c r="C26">
        <v>1744</v>
      </c>
      <c r="D26">
        <v>1.01</v>
      </c>
      <c r="E26" s="3">
        <f t="shared" si="0"/>
        <v>1.0000000000000009E-2</v>
      </c>
      <c r="F26">
        <v>19</v>
      </c>
      <c r="G26">
        <v>1763</v>
      </c>
    </row>
    <row r="27" spans="1:7" x14ac:dyDescent="0.2">
      <c r="A27" t="s">
        <v>85</v>
      </c>
      <c r="B27" t="s">
        <v>36</v>
      </c>
      <c r="C27">
        <v>1744</v>
      </c>
      <c r="D27">
        <v>1.07</v>
      </c>
      <c r="E27" s="3">
        <f t="shared" si="0"/>
        <v>7.0000000000000062E-2</v>
      </c>
      <c r="F27">
        <v>123</v>
      </c>
      <c r="G27">
        <v>1867</v>
      </c>
    </row>
    <row r="28" spans="1:7" x14ac:dyDescent="0.2">
      <c r="A28" t="s">
        <v>86</v>
      </c>
      <c r="B28" t="s">
        <v>14</v>
      </c>
      <c r="C28">
        <v>1744</v>
      </c>
      <c r="D28">
        <v>1.02</v>
      </c>
      <c r="E28" s="3">
        <f t="shared" si="0"/>
        <v>2.0000000000000018E-2</v>
      </c>
      <c r="F28">
        <v>32</v>
      </c>
      <c r="G28">
        <v>1776</v>
      </c>
    </row>
    <row r="29" spans="1:7" x14ac:dyDescent="0.2">
      <c r="A29" t="s">
        <v>86</v>
      </c>
      <c r="B29" t="s">
        <v>63</v>
      </c>
      <c r="C29">
        <v>1744</v>
      </c>
      <c r="D29">
        <v>1</v>
      </c>
      <c r="E29" s="3">
        <f t="shared" si="0"/>
        <v>0</v>
      </c>
      <c r="F29">
        <v>1</v>
      </c>
      <c r="G29">
        <v>1745</v>
      </c>
    </row>
    <row r="30" spans="1:7" x14ac:dyDescent="0.2">
      <c r="A30" t="s">
        <v>87</v>
      </c>
      <c r="B30" t="s">
        <v>64</v>
      </c>
      <c r="C30">
        <v>1744</v>
      </c>
      <c r="D30">
        <v>1.01</v>
      </c>
      <c r="E30" s="3">
        <f t="shared" si="0"/>
        <v>1.0000000000000009E-2</v>
      </c>
      <c r="F30">
        <v>15</v>
      </c>
      <c r="G30">
        <v>1759</v>
      </c>
    </row>
    <row r="31" spans="1:7" x14ac:dyDescent="0.2">
      <c r="A31" t="s">
        <v>88</v>
      </c>
      <c r="B31" t="s">
        <v>37</v>
      </c>
      <c r="C31">
        <v>1744</v>
      </c>
      <c r="D31">
        <v>0.99</v>
      </c>
      <c r="E31" s="3">
        <f t="shared" si="0"/>
        <v>-1.0000000000000009E-2</v>
      </c>
      <c r="F31">
        <v>-17</v>
      </c>
      <c r="G31">
        <v>1727</v>
      </c>
    </row>
    <row r="32" spans="1:7" x14ac:dyDescent="0.2">
      <c r="A32" t="s">
        <v>89</v>
      </c>
      <c r="B32" t="s">
        <v>65</v>
      </c>
      <c r="C32">
        <v>1744</v>
      </c>
      <c r="D32">
        <v>1.07</v>
      </c>
      <c r="E32" s="3">
        <f t="shared" si="0"/>
        <v>7.0000000000000062E-2</v>
      </c>
      <c r="F32">
        <v>121</v>
      </c>
      <c r="G32">
        <v>1865</v>
      </c>
    </row>
    <row r="33" spans="1:7" x14ac:dyDescent="0.2">
      <c r="A33" t="s">
        <v>89</v>
      </c>
      <c r="B33" t="s">
        <v>66</v>
      </c>
      <c r="C33">
        <v>1744</v>
      </c>
      <c r="D33">
        <v>1.01</v>
      </c>
      <c r="E33" s="3">
        <f t="shared" si="0"/>
        <v>1.0000000000000009E-2</v>
      </c>
      <c r="F33">
        <v>25</v>
      </c>
      <c r="G33">
        <v>1769</v>
      </c>
    </row>
    <row r="34" spans="1:7" x14ac:dyDescent="0.2">
      <c r="A34" t="s">
        <v>90</v>
      </c>
      <c r="B34" t="s">
        <v>67</v>
      </c>
      <c r="C34">
        <v>1744</v>
      </c>
      <c r="D34">
        <v>0.99</v>
      </c>
      <c r="E34" s="3">
        <f t="shared" si="0"/>
        <v>-1.0000000000000009E-2</v>
      </c>
      <c r="F34">
        <v>-13</v>
      </c>
      <c r="G34">
        <v>1731</v>
      </c>
    </row>
    <row r="35" spans="1:7" x14ac:dyDescent="0.2">
      <c r="A35" t="s">
        <v>91</v>
      </c>
      <c r="B35" t="s">
        <v>39</v>
      </c>
      <c r="C35">
        <v>1744</v>
      </c>
      <c r="D35">
        <v>1</v>
      </c>
      <c r="E35" s="3">
        <f t="shared" si="0"/>
        <v>0</v>
      </c>
      <c r="F35">
        <v>-4</v>
      </c>
      <c r="G35">
        <v>1740</v>
      </c>
    </row>
    <row r="36" spans="1:7" x14ac:dyDescent="0.2">
      <c r="A36" t="s">
        <v>92</v>
      </c>
      <c r="B36" t="s">
        <v>40</v>
      </c>
      <c r="C36">
        <v>1744</v>
      </c>
      <c r="D36">
        <v>1.03</v>
      </c>
      <c r="E36" s="3">
        <f t="shared" si="0"/>
        <v>3.0000000000000027E-2</v>
      </c>
      <c r="F36">
        <v>60</v>
      </c>
      <c r="G36">
        <v>1804</v>
      </c>
    </row>
    <row r="37" spans="1:7" x14ac:dyDescent="0.2">
      <c r="A37" t="s">
        <v>93</v>
      </c>
      <c r="B37" t="s">
        <v>41</v>
      </c>
      <c r="C37">
        <v>1744</v>
      </c>
      <c r="D37">
        <v>1.06</v>
      </c>
      <c r="E37" s="3">
        <f t="shared" si="0"/>
        <v>6.0000000000000053E-2</v>
      </c>
      <c r="F37">
        <v>112</v>
      </c>
      <c r="G37">
        <v>1856</v>
      </c>
    </row>
    <row r="38" spans="1:7" x14ac:dyDescent="0.2">
      <c r="A38" t="s">
        <v>94</v>
      </c>
      <c r="B38" t="s">
        <v>42</v>
      </c>
      <c r="C38">
        <v>1744</v>
      </c>
      <c r="D38">
        <v>1.03</v>
      </c>
      <c r="E38" s="3">
        <f t="shared" si="0"/>
        <v>3.0000000000000027E-2</v>
      </c>
      <c r="F38">
        <v>61</v>
      </c>
      <c r="G38">
        <v>1805</v>
      </c>
    </row>
    <row r="39" spans="1:7" x14ac:dyDescent="0.2">
      <c r="A39" t="s">
        <v>68</v>
      </c>
      <c r="B39" t="s">
        <v>68</v>
      </c>
      <c r="C39">
        <v>1744</v>
      </c>
      <c r="D39">
        <v>1.1200000000000001</v>
      </c>
      <c r="E39" s="3">
        <f t="shared" si="0"/>
        <v>0.12000000000000011</v>
      </c>
      <c r="F39">
        <v>204</v>
      </c>
      <c r="G39">
        <v>1948</v>
      </c>
    </row>
    <row r="40" spans="1:7" x14ac:dyDescent="0.2">
      <c r="A40" t="s">
        <v>68</v>
      </c>
      <c r="B40" t="s">
        <v>43</v>
      </c>
      <c r="C40">
        <v>1744</v>
      </c>
      <c r="D40">
        <v>1.02</v>
      </c>
      <c r="E40" s="3">
        <f t="shared" si="0"/>
        <v>2.0000000000000018E-2</v>
      </c>
      <c r="F40">
        <v>34</v>
      </c>
      <c r="G40">
        <v>1778</v>
      </c>
    </row>
    <row r="41" spans="1:7" x14ac:dyDescent="0.2">
      <c r="A41" t="s">
        <v>95</v>
      </c>
      <c r="B41" t="s">
        <v>69</v>
      </c>
      <c r="C41">
        <v>1744</v>
      </c>
      <c r="D41">
        <v>1.07</v>
      </c>
      <c r="E41" s="3">
        <f t="shared" si="0"/>
        <v>7.0000000000000062E-2</v>
      </c>
      <c r="F41">
        <v>116</v>
      </c>
      <c r="G41">
        <v>1860</v>
      </c>
    </row>
    <row r="42" spans="1:7" x14ac:dyDescent="0.2">
      <c r="A42" t="s">
        <v>96</v>
      </c>
      <c r="B42" t="s">
        <v>44</v>
      </c>
      <c r="C42">
        <v>1744</v>
      </c>
      <c r="D42">
        <v>1</v>
      </c>
      <c r="E42" s="3">
        <f t="shared" si="0"/>
        <v>0</v>
      </c>
      <c r="F42">
        <v>-5</v>
      </c>
      <c r="G42">
        <v>1739</v>
      </c>
    </row>
    <row r="43" spans="1:7" x14ac:dyDescent="0.2">
      <c r="A43" t="s">
        <v>97</v>
      </c>
      <c r="B43" t="s">
        <v>45</v>
      </c>
      <c r="C43">
        <v>1744</v>
      </c>
      <c r="D43">
        <v>0.99</v>
      </c>
      <c r="E43" s="3">
        <f t="shared" si="0"/>
        <v>-1.0000000000000009E-2</v>
      </c>
      <c r="F43">
        <v>-22</v>
      </c>
      <c r="G43">
        <v>1722</v>
      </c>
    </row>
    <row r="44" spans="1:7" x14ac:dyDescent="0.2">
      <c r="A44" t="s">
        <v>98</v>
      </c>
      <c r="B44" t="s">
        <v>46</v>
      </c>
      <c r="C44">
        <v>1744</v>
      </c>
      <c r="D44">
        <v>0.99</v>
      </c>
      <c r="E44" s="3">
        <f t="shared" si="0"/>
        <v>-1.0000000000000009E-2</v>
      </c>
      <c r="F44">
        <v>-17</v>
      </c>
      <c r="G44">
        <v>1727</v>
      </c>
    </row>
    <row r="45" spans="1:7" x14ac:dyDescent="0.2">
      <c r="A45" t="s">
        <v>47</v>
      </c>
      <c r="B45" t="s">
        <v>70</v>
      </c>
      <c r="C45">
        <v>1744</v>
      </c>
      <c r="D45">
        <v>0.99</v>
      </c>
      <c r="E45" s="3">
        <f t="shared" si="0"/>
        <v>-1.0000000000000009E-2</v>
      </c>
      <c r="F45">
        <v>-19</v>
      </c>
      <c r="G45">
        <v>1725</v>
      </c>
    </row>
    <row r="46" spans="1:7" x14ac:dyDescent="0.2">
      <c r="A46" t="s">
        <v>99</v>
      </c>
      <c r="B46" t="s">
        <v>34</v>
      </c>
      <c r="C46">
        <v>1744</v>
      </c>
      <c r="D46">
        <v>1.06</v>
      </c>
      <c r="E46" s="3">
        <f t="shared" si="0"/>
        <v>6.0000000000000053E-2</v>
      </c>
      <c r="F46">
        <v>107</v>
      </c>
      <c r="G46">
        <v>1851</v>
      </c>
    </row>
    <row r="47" spans="1:7" x14ac:dyDescent="0.2">
      <c r="A47" t="s">
        <v>100</v>
      </c>
      <c r="B47" t="s">
        <v>71</v>
      </c>
      <c r="C47">
        <v>1744</v>
      </c>
      <c r="D47">
        <v>1.06</v>
      </c>
      <c r="E47" s="3">
        <f t="shared" si="0"/>
        <v>6.0000000000000053E-2</v>
      </c>
      <c r="F47">
        <v>105</v>
      </c>
      <c r="G47">
        <v>1849</v>
      </c>
    </row>
    <row r="48" spans="1:7" x14ac:dyDescent="0.2">
      <c r="A48" t="s">
        <v>100</v>
      </c>
      <c r="B48" t="s">
        <v>48</v>
      </c>
      <c r="C48">
        <v>1744</v>
      </c>
      <c r="D48">
        <v>1.01</v>
      </c>
      <c r="E48" s="3">
        <f t="shared" si="0"/>
        <v>1.0000000000000009E-2</v>
      </c>
      <c r="F48">
        <v>23</v>
      </c>
      <c r="G48">
        <v>1767</v>
      </c>
    </row>
    <row r="49" spans="1:7" x14ac:dyDescent="0.2">
      <c r="A49" t="s">
        <v>101</v>
      </c>
      <c r="B49" t="s">
        <v>49</v>
      </c>
      <c r="C49">
        <v>1744</v>
      </c>
      <c r="D49">
        <v>1.04</v>
      </c>
      <c r="E49" s="3">
        <f t="shared" si="0"/>
        <v>4.0000000000000036E-2</v>
      </c>
      <c r="F49">
        <v>75</v>
      </c>
      <c r="G49">
        <v>1819</v>
      </c>
    </row>
    <row r="50" spans="1:7" x14ac:dyDescent="0.2">
      <c r="A50" t="s">
        <v>102</v>
      </c>
      <c r="B50" t="s">
        <v>50</v>
      </c>
      <c r="C50">
        <v>1744</v>
      </c>
      <c r="D50">
        <v>1.07</v>
      </c>
      <c r="E50" s="3">
        <f t="shared" si="0"/>
        <v>7.0000000000000062E-2</v>
      </c>
      <c r="F50">
        <v>119</v>
      </c>
      <c r="G50">
        <v>1863</v>
      </c>
    </row>
    <row r="51" spans="1:7" x14ac:dyDescent="0.2">
      <c r="A51" t="s">
        <v>103</v>
      </c>
      <c r="B51" t="s">
        <v>72</v>
      </c>
      <c r="C51">
        <v>1744</v>
      </c>
      <c r="D51">
        <v>0.98</v>
      </c>
      <c r="E51" s="3">
        <f t="shared" si="0"/>
        <v>-2.0000000000000018E-2</v>
      </c>
      <c r="F51">
        <v>-35</v>
      </c>
      <c r="G51">
        <v>1709</v>
      </c>
    </row>
    <row r="52" spans="1:7" x14ac:dyDescent="0.2">
      <c r="A52" t="s">
        <v>104</v>
      </c>
      <c r="B52" t="s">
        <v>51</v>
      </c>
      <c r="C52">
        <v>1744</v>
      </c>
      <c r="D52">
        <v>1.04</v>
      </c>
      <c r="E52" s="3">
        <f t="shared" si="0"/>
        <v>4.0000000000000036E-2</v>
      </c>
      <c r="F52">
        <v>66</v>
      </c>
      <c r="G52">
        <v>1810</v>
      </c>
    </row>
    <row r="53" spans="1:7" x14ac:dyDescent="0.2">
      <c r="A53" t="s">
        <v>105</v>
      </c>
      <c r="B53" t="s">
        <v>52</v>
      </c>
      <c r="C53">
        <v>1744</v>
      </c>
      <c r="D53">
        <v>0.99</v>
      </c>
      <c r="E53" s="3">
        <f t="shared" si="0"/>
        <v>-1.0000000000000009E-2</v>
      </c>
      <c r="F53">
        <v>-23</v>
      </c>
      <c r="G53">
        <v>1721</v>
      </c>
    </row>
    <row r="54" spans="1:7" x14ac:dyDescent="0.2">
      <c r="A54" t="s">
        <v>106</v>
      </c>
      <c r="B54" t="s">
        <v>73</v>
      </c>
      <c r="C54">
        <v>1744</v>
      </c>
      <c r="D54">
        <v>1.03</v>
      </c>
      <c r="E54" s="3">
        <f t="shared" si="0"/>
        <v>3.0000000000000027E-2</v>
      </c>
      <c r="F54">
        <v>60</v>
      </c>
      <c r="G54">
        <v>1804</v>
      </c>
    </row>
    <row r="55" spans="1:7" x14ac:dyDescent="0.2">
      <c r="A55" t="s">
        <v>107</v>
      </c>
      <c r="B55" t="s">
        <v>53</v>
      </c>
      <c r="C55">
        <v>1744</v>
      </c>
      <c r="D55">
        <v>1.08</v>
      </c>
      <c r="E55" s="3">
        <f t="shared" si="0"/>
        <v>8.0000000000000071E-2</v>
      </c>
      <c r="F55">
        <v>143</v>
      </c>
      <c r="G55">
        <v>1887</v>
      </c>
    </row>
    <row r="56" spans="1:7" x14ac:dyDescent="0.2">
      <c r="A56" t="s">
        <v>108</v>
      </c>
      <c r="B56" t="s">
        <v>54</v>
      </c>
      <c r="C56">
        <v>1744</v>
      </c>
      <c r="D56">
        <v>1.01</v>
      </c>
      <c r="E56" s="3">
        <f t="shared" si="0"/>
        <v>1.0000000000000009E-2</v>
      </c>
      <c r="F56">
        <v>21</v>
      </c>
      <c r="G56">
        <v>1765</v>
      </c>
    </row>
    <row r="57" spans="1:7" x14ac:dyDescent="0.2">
      <c r="A57" t="s">
        <v>108</v>
      </c>
      <c r="B57" t="s">
        <v>55</v>
      </c>
      <c r="C57">
        <v>1744</v>
      </c>
      <c r="D57">
        <v>1</v>
      </c>
      <c r="E57" s="3">
        <f t="shared" si="0"/>
        <v>0</v>
      </c>
      <c r="F57">
        <v>-8</v>
      </c>
      <c r="G57">
        <v>1736</v>
      </c>
    </row>
    <row r="58" spans="1:7" x14ac:dyDescent="0.2">
      <c r="A58" t="s">
        <v>23</v>
      </c>
      <c r="B58" t="s">
        <v>56</v>
      </c>
      <c r="C58">
        <v>1744</v>
      </c>
      <c r="D58">
        <v>1.08</v>
      </c>
      <c r="E58" s="3">
        <f t="shared" si="0"/>
        <v>8.0000000000000071E-2</v>
      </c>
      <c r="F58">
        <v>138</v>
      </c>
      <c r="G58">
        <v>1882</v>
      </c>
    </row>
    <row r="59" spans="1:7" x14ac:dyDescent="0.2">
      <c r="A59" t="s">
        <v>23</v>
      </c>
      <c r="B59" t="s">
        <v>57</v>
      </c>
      <c r="C59">
        <v>1744</v>
      </c>
      <c r="D59">
        <v>1.03</v>
      </c>
      <c r="E59" s="3">
        <f t="shared" si="0"/>
        <v>3.0000000000000027E-2</v>
      </c>
      <c r="F59">
        <v>44</v>
      </c>
      <c r="G59">
        <v>1788</v>
      </c>
    </row>
    <row r="60" spans="1:7" x14ac:dyDescent="0.2">
      <c r="A60" t="s">
        <v>109</v>
      </c>
      <c r="B60" t="s">
        <v>50</v>
      </c>
      <c r="C60">
        <v>1744</v>
      </c>
      <c r="D60">
        <v>1</v>
      </c>
      <c r="E60" s="3">
        <f t="shared" si="0"/>
        <v>0</v>
      </c>
      <c r="F60">
        <v>-1</v>
      </c>
      <c r="G60">
        <v>1743</v>
      </c>
    </row>
    <row r="61" spans="1:7" x14ac:dyDescent="0.2">
      <c r="A61" t="s">
        <v>110</v>
      </c>
      <c r="B61" t="s">
        <v>74</v>
      </c>
      <c r="C61">
        <v>1744</v>
      </c>
      <c r="D61">
        <v>0.99</v>
      </c>
      <c r="E61" s="3">
        <f t="shared" si="0"/>
        <v>-1.0000000000000009E-2</v>
      </c>
      <c r="F61">
        <v>-8</v>
      </c>
      <c r="G61">
        <v>1736</v>
      </c>
    </row>
    <row r="62" spans="1:7" x14ac:dyDescent="0.2">
      <c r="A62" t="s">
        <v>111</v>
      </c>
      <c r="B62" t="s">
        <v>58</v>
      </c>
      <c r="C62">
        <v>1744</v>
      </c>
      <c r="D62">
        <v>0.99</v>
      </c>
      <c r="E62" s="3">
        <f t="shared" si="0"/>
        <v>-1.0000000000000009E-2</v>
      </c>
      <c r="F62">
        <v>-22</v>
      </c>
      <c r="G62">
        <v>1722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2C06-4557-A14D-A782-FAE1EBF1BF06}">
  <dimension ref="A1:BQ62"/>
  <sheetViews>
    <sheetView workbookViewId="0">
      <selection activeCell="E2" sqref="E2:E62"/>
    </sheetView>
  </sheetViews>
  <sheetFormatPr baseColWidth="10" defaultRowHeight="16" x14ac:dyDescent="0.2"/>
  <cols>
    <col min="1" max="1" width="17.5" bestFit="1" customWidth="1"/>
    <col min="2" max="2" width="13.33203125" bestFit="1" customWidth="1"/>
    <col min="3" max="3" width="22.33203125" bestFit="1" customWidth="1"/>
    <col min="4" max="4" width="16.33203125" bestFit="1" customWidth="1"/>
    <col min="5" max="5" width="16.33203125" customWidth="1"/>
    <col min="6" max="6" width="25.5" bestFit="1" customWidth="1"/>
    <col min="7" max="7" width="29.5" bestFit="1" customWidth="1"/>
  </cols>
  <sheetData>
    <row r="1" spans="1:69" x14ac:dyDescent="0.2">
      <c r="A1" s="2" t="s">
        <v>13</v>
      </c>
      <c r="B1" s="2" t="s">
        <v>12</v>
      </c>
      <c r="C1" s="2" t="s">
        <v>11</v>
      </c>
      <c r="D1" s="2" t="s">
        <v>10</v>
      </c>
      <c r="E1" s="2"/>
      <c r="F1" s="2" t="s">
        <v>9</v>
      </c>
      <c r="G1" s="2" t="s">
        <v>8</v>
      </c>
    </row>
    <row r="2" spans="1:69" x14ac:dyDescent="0.2">
      <c r="A2" t="s">
        <v>0</v>
      </c>
      <c r="B2" t="s">
        <v>15</v>
      </c>
      <c r="C2" cm="1">
        <f t="array" ref="C2:C62">TRANSPOSE(I6:BQ6)</f>
        <v>1502</v>
      </c>
      <c r="D2" cm="1">
        <f t="array" ref="D2:D62">TRANSPOSE(I7:BQ7)</f>
        <v>0.98</v>
      </c>
      <c r="E2" s="3">
        <f>D2-1</f>
        <v>-2.0000000000000018E-2</v>
      </c>
      <c r="F2" cm="1">
        <f t="array" ref="F2:F62">TRANSPOSE(I8:BQ8)</f>
        <v>-22</v>
      </c>
      <c r="G2" cm="1">
        <f t="array" ref="G2:G62">TRANSPOSE(I9:BQ9)</f>
        <v>1480</v>
      </c>
    </row>
    <row r="3" spans="1:69" x14ac:dyDescent="0.2">
      <c r="A3" t="s">
        <v>1</v>
      </c>
      <c r="B3" t="s">
        <v>16</v>
      </c>
      <c r="C3">
        <v>1502</v>
      </c>
      <c r="D3">
        <v>1.01</v>
      </c>
      <c r="E3" s="3">
        <f t="shared" ref="E3:E62" si="0">D3-1</f>
        <v>1.0000000000000009E-2</v>
      </c>
      <c r="F3">
        <v>11</v>
      </c>
      <c r="G3">
        <v>1513</v>
      </c>
    </row>
    <row r="4" spans="1:69" x14ac:dyDescent="0.2">
      <c r="A4" t="s">
        <v>2</v>
      </c>
      <c r="B4" t="s">
        <v>59</v>
      </c>
      <c r="C4">
        <v>1502</v>
      </c>
      <c r="D4">
        <v>0.99</v>
      </c>
      <c r="E4" s="3">
        <f t="shared" si="0"/>
        <v>-1.0000000000000009E-2</v>
      </c>
      <c r="F4">
        <v>-20</v>
      </c>
      <c r="G4">
        <v>1482</v>
      </c>
    </row>
    <row r="5" spans="1:69" x14ac:dyDescent="0.2">
      <c r="A5" t="s">
        <v>3</v>
      </c>
      <c r="B5" t="s">
        <v>17</v>
      </c>
      <c r="C5">
        <v>1502</v>
      </c>
      <c r="D5">
        <v>1.0900000000000001</v>
      </c>
      <c r="E5" s="3">
        <f t="shared" si="0"/>
        <v>9.000000000000008E-2</v>
      </c>
      <c r="F5">
        <v>136</v>
      </c>
      <c r="G5">
        <v>1638</v>
      </c>
    </row>
    <row r="6" spans="1:69" x14ac:dyDescent="0.2">
      <c r="A6" t="s">
        <v>3</v>
      </c>
      <c r="B6" t="s">
        <v>60</v>
      </c>
      <c r="C6">
        <v>1502</v>
      </c>
      <c r="D6">
        <v>1.1000000000000001</v>
      </c>
      <c r="E6" s="3">
        <f t="shared" si="0"/>
        <v>0.10000000000000009</v>
      </c>
      <c r="F6">
        <v>150</v>
      </c>
      <c r="G6">
        <v>1652</v>
      </c>
      <c r="I6" s="1">
        <v>1502</v>
      </c>
      <c r="J6" s="1">
        <v>1502</v>
      </c>
      <c r="K6" s="1">
        <v>1502</v>
      </c>
      <c r="L6" s="1">
        <v>1502</v>
      </c>
      <c r="M6" s="1">
        <v>1502</v>
      </c>
      <c r="N6" s="1">
        <v>1502</v>
      </c>
      <c r="O6" s="1">
        <v>1502</v>
      </c>
      <c r="P6" s="1">
        <v>1502</v>
      </c>
      <c r="Q6" s="1">
        <v>1502</v>
      </c>
      <c r="R6" s="1">
        <v>1502</v>
      </c>
      <c r="S6" s="1">
        <v>1502</v>
      </c>
      <c r="T6" s="1">
        <v>1502</v>
      </c>
      <c r="U6" s="1">
        <v>1502</v>
      </c>
      <c r="V6" s="1">
        <v>1502</v>
      </c>
      <c r="W6" s="1">
        <v>1502</v>
      </c>
      <c r="X6" s="1">
        <v>1502</v>
      </c>
      <c r="Y6" s="1">
        <v>1502</v>
      </c>
      <c r="Z6" s="1">
        <v>1502</v>
      </c>
      <c r="AA6" s="1">
        <v>1502</v>
      </c>
      <c r="AB6" s="1">
        <v>1502</v>
      </c>
      <c r="AC6" s="1">
        <v>1502</v>
      </c>
      <c r="AD6" s="1">
        <v>1502</v>
      </c>
      <c r="AE6" s="1">
        <v>1502</v>
      </c>
      <c r="AF6" s="1">
        <v>1502</v>
      </c>
      <c r="AG6" s="1">
        <v>1502</v>
      </c>
      <c r="AH6" s="1">
        <v>1502</v>
      </c>
      <c r="AI6" s="1">
        <v>1502</v>
      </c>
      <c r="AJ6" s="1">
        <v>1502</v>
      </c>
      <c r="AK6" s="1">
        <v>1502</v>
      </c>
      <c r="AL6" s="1">
        <v>1502</v>
      </c>
      <c r="AM6" s="1">
        <v>1502</v>
      </c>
      <c r="AN6" s="1">
        <v>1502</v>
      </c>
      <c r="AO6" s="1">
        <v>1502</v>
      </c>
      <c r="AP6" s="1">
        <v>1502</v>
      </c>
      <c r="AQ6" s="1">
        <v>1502</v>
      </c>
      <c r="AR6" s="1">
        <v>1502</v>
      </c>
      <c r="AS6" s="1">
        <v>1502</v>
      </c>
      <c r="AT6" s="1">
        <v>1502</v>
      </c>
      <c r="AU6" s="1">
        <v>1502</v>
      </c>
      <c r="AV6" s="1">
        <v>1502</v>
      </c>
      <c r="AW6" s="1">
        <v>1502</v>
      </c>
      <c r="AX6" s="1">
        <v>1502</v>
      </c>
      <c r="AY6" s="1">
        <v>1502</v>
      </c>
      <c r="AZ6" s="1">
        <v>1502</v>
      </c>
      <c r="BA6" s="1">
        <v>1502</v>
      </c>
      <c r="BB6" s="1">
        <v>1502</v>
      </c>
      <c r="BC6" s="1">
        <v>1502</v>
      </c>
      <c r="BD6" s="1">
        <v>1502</v>
      </c>
      <c r="BE6" s="1">
        <v>1502</v>
      </c>
      <c r="BF6" s="1">
        <v>1502</v>
      </c>
      <c r="BG6" s="1">
        <v>1502</v>
      </c>
      <c r="BH6" s="1">
        <v>1502</v>
      </c>
      <c r="BI6" s="1">
        <v>1502</v>
      </c>
      <c r="BJ6" s="1">
        <v>1502</v>
      </c>
      <c r="BK6" s="1">
        <v>1502</v>
      </c>
      <c r="BL6" s="1">
        <v>1502</v>
      </c>
      <c r="BM6" s="1">
        <v>1502</v>
      </c>
      <c r="BN6" s="1">
        <v>1502</v>
      </c>
      <c r="BO6" s="1">
        <v>1502</v>
      </c>
      <c r="BP6" s="1">
        <v>1502</v>
      </c>
      <c r="BQ6" s="1">
        <v>1502</v>
      </c>
    </row>
    <row r="7" spans="1:69" x14ac:dyDescent="0.2">
      <c r="A7" t="s">
        <v>3</v>
      </c>
      <c r="B7" t="s">
        <v>18</v>
      </c>
      <c r="C7">
        <v>1502</v>
      </c>
      <c r="D7">
        <v>1.1000000000000001</v>
      </c>
      <c r="E7" s="3">
        <f t="shared" si="0"/>
        <v>0.10000000000000009</v>
      </c>
      <c r="F7">
        <v>155</v>
      </c>
      <c r="G7">
        <v>1657</v>
      </c>
      <c r="I7">
        <v>0.98</v>
      </c>
      <c r="J7">
        <v>1.01</v>
      </c>
      <c r="K7">
        <v>0.99</v>
      </c>
      <c r="L7">
        <v>1.0900000000000001</v>
      </c>
      <c r="M7">
        <v>1.1000000000000001</v>
      </c>
      <c r="N7">
        <v>1.1000000000000001</v>
      </c>
      <c r="O7">
        <v>1.1100000000000001</v>
      </c>
      <c r="P7">
        <v>1.1599999999999999</v>
      </c>
      <c r="Q7">
        <v>0.99</v>
      </c>
      <c r="R7">
        <v>1.07</v>
      </c>
      <c r="S7">
        <v>1.07</v>
      </c>
      <c r="T7">
        <v>1.01</v>
      </c>
      <c r="U7">
        <v>0.97</v>
      </c>
      <c r="V7">
        <v>0.98</v>
      </c>
      <c r="W7">
        <v>1</v>
      </c>
      <c r="X7">
        <v>1.01</v>
      </c>
      <c r="Y7">
        <v>1.1299999999999999</v>
      </c>
      <c r="Z7">
        <v>1</v>
      </c>
      <c r="AA7">
        <v>1.01</v>
      </c>
      <c r="AB7">
        <v>0.99</v>
      </c>
      <c r="AC7">
        <v>0.99</v>
      </c>
      <c r="AD7">
        <v>1</v>
      </c>
      <c r="AE7">
        <v>1</v>
      </c>
      <c r="AF7">
        <v>1.01</v>
      </c>
      <c r="AG7">
        <v>1.01</v>
      </c>
      <c r="AH7">
        <v>1.1100000000000001</v>
      </c>
      <c r="AI7">
        <v>1.04</v>
      </c>
      <c r="AJ7">
        <v>1</v>
      </c>
      <c r="AK7">
        <v>1.05</v>
      </c>
      <c r="AL7">
        <v>0.98</v>
      </c>
      <c r="AM7">
        <v>1.05</v>
      </c>
      <c r="AN7">
        <v>1.03</v>
      </c>
      <c r="AO7">
        <v>0.99</v>
      </c>
      <c r="AP7">
        <v>0.99</v>
      </c>
      <c r="AQ7">
        <v>1.02</v>
      </c>
      <c r="AR7">
        <v>1.1200000000000001</v>
      </c>
      <c r="AS7">
        <v>1.01</v>
      </c>
      <c r="AT7">
        <v>1.23</v>
      </c>
      <c r="AU7">
        <v>1.03</v>
      </c>
      <c r="AV7">
        <v>1.07</v>
      </c>
      <c r="AW7">
        <v>0.99</v>
      </c>
      <c r="AX7">
        <v>1.01</v>
      </c>
      <c r="AY7">
        <v>0.99</v>
      </c>
      <c r="AZ7">
        <v>0.98</v>
      </c>
      <c r="BA7">
        <v>1.06</v>
      </c>
      <c r="BB7">
        <v>1.1100000000000001</v>
      </c>
      <c r="BC7">
        <v>1.02</v>
      </c>
      <c r="BD7">
        <v>1.06</v>
      </c>
      <c r="BE7">
        <v>0.98</v>
      </c>
      <c r="BF7">
        <v>1</v>
      </c>
      <c r="BG7">
        <v>1</v>
      </c>
      <c r="BH7">
        <v>0.96</v>
      </c>
      <c r="BI7">
        <v>1</v>
      </c>
      <c r="BJ7">
        <v>1.03</v>
      </c>
      <c r="BK7">
        <v>1</v>
      </c>
      <c r="BL7">
        <v>0.99</v>
      </c>
      <c r="BM7">
        <v>1.0900000000000001</v>
      </c>
      <c r="BN7">
        <v>1.02</v>
      </c>
      <c r="BO7">
        <v>1.01</v>
      </c>
      <c r="BP7">
        <v>1.04</v>
      </c>
      <c r="BQ7">
        <v>1</v>
      </c>
    </row>
    <row r="8" spans="1:69" x14ac:dyDescent="0.2">
      <c r="A8" t="s">
        <v>3</v>
      </c>
      <c r="B8" t="s">
        <v>19</v>
      </c>
      <c r="C8">
        <v>1502</v>
      </c>
      <c r="D8">
        <v>1.1100000000000001</v>
      </c>
      <c r="E8" s="3">
        <f t="shared" si="0"/>
        <v>0.1100000000000001</v>
      </c>
      <c r="F8">
        <v>165</v>
      </c>
      <c r="G8">
        <v>1667</v>
      </c>
      <c r="I8">
        <v>-22</v>
      </c>
      <c r="J8">
        <v>11</v>
      </c>
      <c r="K8">
        <v>-20</v>
      </c>
      <c r="L8">
        <v>136</v>
      </c>
      <c r="M8">
        <v>150</v>
      </c>
      <c r="N8">
        <v>155</v>
      </c>
      <c r="O8">
        <v>165</v>
      </c>
      <c r="P8">
        <v>247</v>
      </c>
      <c r="Q8">
        <v>-18</v>
      </c>
      <c r="R8">
        <v>112</v>
      </c>
      <c r="S8">
        <v>104</v>
      </c>
      <c r="T8">
        <v>19</v>
      </c>
      <c r="U8">
        <v>-40</v>
      </c>
      <c r="V8">
        <v>-29</v>
      </c>
      <c r="W8">
        <v>7</v>
      </c>
      <c r="X8">
        <v>14</v>
      </c>
      <c r="Y8">
        <v>201</v>
      </c>
      <c r="Z8">
        <v>-2</v>
      </c>
      <c r="AA8">
        <v>23</v>
      </c>
      <c r="AB8">
        <v>-15</v>
      </c>
      <c r="AC8">
        <v>-15</v>
      </c>
      <c r="AD8">
        <v>2</v>
      </c>
      <c r="AE8">
        <v>-3</v>
      </c>
      <c r="AF8">
        <v>14</v>
      </c>
      <c r="AG8">
        <v>11</v>
      </c>
      <c r="AH8">
        <v>171</v>
      </c>
      <c r="AI8">
        <v>65</v>
      </c>
      <c r="AJ8">
        <v>4</v>
      </c>
      <c r="AK8">
        <v>77</v>
      </c>
      <c r="AL8">
        <v>-33</v>
      </c>
      <c r="AM8">
        <v>74</v>
      </c>
      <c r="AN8">
        <v>42</v>
      </c>
      <c r="AO8">
        <v>-12</v>
      </c>
      <c r="AP8">
        <v>-15</v>
      </c>
      <c r="AQ8">
        <v>24</v>
      </c>
      <c r="AR8">
        <v>181</v>
      </c>
      <c r="AS8">
        <v>14</v>
      </c>
      <c r="AT8">
        <v>341</v>
      </c>
      <c r="AU8">
        <v>42</v>
      </c>
      <c r="AV8">
        <v>101</v>
      </c>
      <c r="AW8">
        <v>-12</v>
      </c>
      <c r="AX8">
        <v>21</v>
      </c>
      <c r="AY8">
        <v>-16</v>
      </c>
      <c r="AZ8">
        <v>-32</v>
      </c>
      <c r="BA8">
        <v>87</v>
      </c>
      <c r="BB8">
        <v>165</v>
      </c>
      <c r="BC8">
        <v>32</v>
      </c>
      <c r="BD8">
        <v>89</v>
      </c>
      <c r="BE8">
        <v>-28</v>
      </c>
      <c r="BF8">
        <v>-4</v>
      </c>
      <c r="BG8">
        <v>-3</v>
      </c>
      <c r="BH8">
        <v>-58</v>
      </c>
      <c r="BI8">
        <v>-5</v>
      </c>
      <c r="BJ8">
        <v>41</v>
      </c>
      <c r="BK8">
        <v>7</v>
      </c>
      <c r="BL8">
        <v>-14</v>
      </c>
      <c r="BM8">
        <v>132</v>
      </c>
      <c r="BN8">
        <v>35</v>
      </c>
      <c r="BO8">
        <v>13</v>
      </c>
      <c r="BP8">
        <v>55</v>
      </c>
      <c r="BQ8">
        <v>-6</v>
      </c>
    </row>
    <row r="9" spans="1:69" x14ac:dyDescent="0.2">
      <c r="A9" t="s">
        <v>3</v>
      </c>
      <c r="B9" t="s">
        <v>61</v>
      </c>
      <c r="C9">
        <v>1502</v>
      </c>
      <c r="D9">
        <v>1.1599999999999999</v>
      </c>
      <c r="E9" s="3">
        <f t="shared" si="0"/>
        <v>0.15999999999999992</v>
      </c>
      <c r="F9">
        <v>247</v>
      </c>
      <c r="G9">
        <v>1749</v>
      </c>
      <c r="I9">
        <v>1480</v>
      </c>
      <c r="J9">
        <v>1513</v>
      </c>
      <c r="K9">
        <v>1482</v>
      </c>
      <c r="L9">
        <v>1638</v>
      </c>
      <c r="M9">
        <v>1652</v>
      </c>
      <c r="N9">
        <v>1657</v>
      </c>
      <c r="O9">
        <v>1667</v>
      </c>
      <c r="P9">
        <v>1749</v>
      </c>
      <c r="Q9">
        <v>1484</v>
      </c>
      <c r="R9">
        <v>1614</v>
      </c>
      <c r="S9">
        <v>1606</v>
      </c>
      <c r="T9">
        <v>1521</v>
      </c>
      <c r="U9">
        <v>1462</v>
      </c>
      <c r="V9">
        <v>1473</v>
      </c>
      <c r="W9">
        <v>1509</v>
      </c>
      <c r="X9">
        <v>1516</v>
      </c>
      <c r="Y9">
        <v>1703</v>
      </c>
      <c r="Z9">
        <v>1500</v>
      </c>
      <c r="AA9">
        <v>1525</v>
      </c>
      <c r="AB9">
        <v>1487</v>
      </c>
      <c r="AC9">
        <v>1487</v>
      </c>
      <c r="AD9">
        <v>1504</v>
      </c>
      <c r="AE9">
        <v>1499</v>
      </c>
      <c r="AF9">
        <v>1516</v>
      </c>
      <c r="AG9">
        <v>1513</v>
      </c>
      <c r="AH9">
        <v>1673</v>
      </c>
      <c r="AI9">
        <v>1567</v>
      </c>
      <c r="AJ9">
        <v>1506</v>
      </c>
      <c r="AK9">
        <v>1579</v>
      </c>
      <c r="AL9">
        <v>1469</v>
      </c>
      <c r="AM9">
        <v>1576</v>
      </c>
      <c r="AN9">
        <v>1544</v>
      </c>
      <c r="AO9">
        <v>1490</v>
      </c>
      <c r="AP9">
        <v>1487</v>
      </c>
      <c r="AQ9">
        <v>1526</v>
      </c>
      <c r="AR9">
        <v>1683</v>
      </c>
      <c r="AS9">
        <v>1516</v>
      </c>
      <c r="AT9">
        <v>1843</v>
      </c>
      <c r="AU9">
        <v>1544</v>
      </c>
      <c r="AV9">
        <v>1603</v>
      </c>
      <c r="AW9">
        <v>1490</v>
      </c>
      <c r="AX9">
        <v>1523</v>
      </c>
      <c r="AY9">
        <v>1486</v>
      </c>
      <c r="AZ9">
        <v>1470</v>
      </c>
      <c r="BA9">
        <v>1589</v>
      </c>
      <c r="BB9">
        <v>1667</v>
      </c>
      <c r="BC9">
        <v>1534</v>
      </c>
      <c r="BD9">
        <v>1591</v>
      </c>
      <c r="BE9">
        <v>1474</v>
      </c>
      <c r="BF9">
        <v>1498</v>
      </c>
      <c r="BG9">
        <v>1499</v>
      </c>
      <c r="BH9">
        <v>1444</v>
      </c>
      <c r="BI9">
        <v>1497</v>
      </c>
      <c r="BJ9">
        <v>1543</v>
      </c>
      <c r="BK9">
        <v>1509</v>
      </c>
      <c r="BL9">
        <v>1488</v>
      </c>
      <c r="BM9">
        <v>1634</v>
      </c>
      <c r="BN9">
        <v>1537</v>
      </c>
      <c r="BO9">
        <v>1515</v>
      </c>
      <c r="BP9">
        <v>1557</v>
      </c>
      <c r="BQ9">
        <v>1496</v>
      </c>
    </row>
    <row r="10" spans="1:69" x14ac:dyDescent="0.2">
      <c r="A10" t="s">
        <v>75</v>
      </c>
      <c r="B10" t="s">
        <v>20</v>
      </c>
      <c r="C10">
        <v>1502</v>
      </c>
      <c r="D10">
        <v>0.99</v>
      </c>
      <c r="E10" s="3">
        <f t="shared" si="0"/>
        <v>-1.0000000000000009E-2</v>
      </c>
      <c r="F10">
        <v>-18</v>
      </c>
      <c r="G10">
        <v>1484</v>
      </c>
    </row>
    <row r="11" spans="1:69" x14ac:dyDescent="0.2">
      <c r="A11" t="s">
        <v>76</v>
      </c>
      <c r="B11" t="s">
        <v>21</v>
      </c>
      <c r="C11">
        <v>1502</v>
      </c>
      <c r="D11">
        <v>1.07</v>
      </c>
      <c r="E11" s="3">
        <f t="shared" si="0"/>
        <v>7.0000000000000062E-2</v>
      </c>
      <c r="F11">
        <v>112</v>
      </c>
      <c r="G11">
        <v>1614</v>
      </c>
    </row>
    <row r="12" spans="1:69" x14ac:dyDescent="0.2">
      <c r="A12" t="s">
        <v>77</v>
      </c>
      <c r="B12" t="s">
        <v>22</v>
      </c>
      <c r="C12">
        <v>1502</v>
      </c>
      <c r="D12">
        <v>1.07</v>
      </c>
      <c r="E12" s="3">
        <f t="shared" si="0"/>
        <v>7.0000000000000062E-2</v>
      </c>
      <c r="F12">
        <v>104</v>
      </c>
      <c r="G12">
        <v>1606</v>
      </c>
    </row>
    <row r="13" spans="1:69" x14ac:dyDescent="0.2">
      <c r="A13" t="s">
        <v>78</v>
      </c>
      <c r="B13" t="s">
        <v>23</v>
      </c>
      <c r="C13">
        <v>1502</v>
      </c>
      <c r="D13">
        <v>1.01</v>
      </c>
      <c r="E13" s="3">
        <f t="shared" si="0"/>
        <v>1.0000000000000009E-2</v>
      </c>
      <c r="F13">
        <v>19</v>
      </c>
      <c r="G13">
        <v>1521</v>
      </c>
    </row>
    <row r="14" spans="1:69" x14ac:dyDescent="0.2">
      <c r="A14" t="s">
        <v>79</v>
      </c>
      <c r="B14" t="s">
        <v>24</v>
      </c>
      <c r="C14">
        <v>1502</v>
      </c>
      <c r="D14">
        <v>0.97</v>
      </c>
      <c r="E14" s="3">
        <f t="shared" si="0"/>
        <v>-3.0000000000000027E-2</v>
      </c>
      <c r="F14">
        <v>-40</v>
      </c>
      <c r="G14">
        <v>1462</v>
      </c>
    </row>
    <row r="15" spans="1:69" x14ac:dyDescent="0.2">
      <c r="A15" t="s">
        <v>79</v>
      </c>
      <c r="B15" t="s">
        <v>25</v>
      </c>
      <c r="C15">
        <v>1502</v>
      </c>
      <c r="D15">
        <v>0.98</v>
      </c>
      <c r="E15" s="3">
        <f t="shared" si="0"/>
        <v>-2.0000000000000018E-2</v>
      </c>
      <c r="F15">
        <v>-29</v>
      </c>
      <c r="G15">
        <v>1473</v>
      </c>
    </row>
    <row r="16" spans="1:69" x14ac:dyDescent="0.2">
      <c r="A16" t="s">
        <v>80</v>
      </c>
      <c r="B16" t="s">
        <v>26</v>
      </c>
      <c r="C16">
        <v>1502</v>
      </c>
      <c r="D16">
        <v>1</v>
      </c>
      <c r="E16" s="3">
        <f t="shared" si="0"/>
        <v>0</v>
      </c>
      <c r="F16">
        <v>7</v>
      </c>
      <c r="G16">
        <v>1509</v>
      </c>
    </row>
    <row r="17" spans="1:7" x14ac:dyDescent="0.2">
      <c r="A17" t="s">
        <v>4</v>
      </c>
      <c r="B17" t="s">
        <v>27</v>
      </c>
      <c r="C17">
        <v>1502</v>
      </c>
      <c r="D17">
        <v>1.01</v>
      </c>
      <c r="E17" s="3">
        <f t="shared" si="0"/>
        <v>1.0000000000000009E-2</v>
      </c>
      <c r="F17">
        <v>14</v>
      </c>
      <c r="G17">
        <v>1516</v>
      </c>
    </row>
    <row r="18" spans="1:7" x14ac:dyDescent="0.2">
      <c r="A18" t="s">
        <v>5</v>
      </c>
      <c r="B18" t="s">
        <v>28</v>
      </c>
      <c r="C18">
        <v>1502</v>
      </c>
      <c r="D18">
        <v>1.1299999999999999</v>
      </c>
      <c r="E18" s="3">
        <f t="shared" si="0"/>
        <v>0.12999999999999989</v>
      </c>
      <c r="F18">
        <v>201</v>
      </c>
      <c r="G18">
        <v>1703</v>
      </c>
    </row>
    <row r="19" spans="1:7" x14ac:dyDescent="0.2">
      <c r="A19" t="s">
        <v>6</v>
      </c>
      <c r="B19" t="s">
        <v>29</v>
      </c>
      <c r="C19">
        <v>1502</v>
      </c>
      <c r="D19">
        <v>1</v>
      </c>
      <c r="E19" s="3">
        <f t="shared" si="0"/>
        <v>0</v>
      </c>
      <c r="F19">
        <v>-2</v>
      </c>
      <c r="G19">
        <v>1500</v>
      </c>
    </row>
    <row r="20" spans="1:7" x14ac:dyDescent="0.2">
      <c r="A20" t="s">
        <v>7</v>
      </c>
      <c r="B20" t="s">
        <v>30</v>
      </c>
      <c r="C20">
        <v>1502</v>
      </c>
      <c r="D20">
        <v>1.01</v>
      </c>
      <c r="E20" s="3">
        <f t="shared" si="0"/>
        <v>1.0000000000000009E-2</v>
      </c>
      <c r="F20">
        <v>23</v>
      </c>
      <c r="G20">
        <v>1525</v>
      </c>
    </row>
    <row r="21" spans="1:7" x14ac:dyDescent="0.2">
      <c r="A21" t="s">
        <v>7</v>
      </c>
      <c r="B21" t="s">
        <v>31</v>
      </c>
      <c r="C21">
        <v>1502</v>
      </c>
      <c r="D21">
        <v>0.99</v>
      </c>
      <c r="E21" s="3">
        <f t="shared" si="0"/>
        <v>-1.0000000000000009E-2</v>
      </c>
      <c r="F21">
        <v>-15</v>
      </c>
      <c r="G21">
        <v>1487</v>
      </c>
    </row>
    <row r="22" spans="1:7" x14ac:dyDescent="0.2">
      <c r="A22" t="s">
        <v>38</v>
      </c>
      <c r="B22" t="s">
        <v>32</v>
      </c>
      <c r="C22">
        <v>1502</v>
      </c>
      <c r="D22">
        <v>0.99</v>
      </c>
      <c r="E22" s="3">
        <f t="shared" si="0"/>
        <v>-1.0000000000000009E-2</v>
      </c>
      <c r="F22">
        <v>-15</v>
      </c>
      <c r="G22">
        <v>1487</v>
      </c>
    </row>
    <row r="23" spans="1:7" x14ac:dyDescent="0.2">
      <c r="A23" t="s">
        <v>81</v>
      </c>
      <c r="B23" t="s">
        <v>33</v>
      </c>
      <c r="C23">
        <v>1502</v>
      </c>
      <c r="D23">
        <v>1</v>
      </c>
      <c r="E23" s="3">
        <f t="shared" si="0"/>
        <v>0</v>
      </c>
      <c r="F23">
        <v>2</v>
      </c>
      <c r="G23">
        <v>1504</v>
      </c>
    </row>
    <row r="24" spans="1:7" x14ac:dyDescent="0.2">
      <c r="A24" t="s">
        <v>82</v>
      </c>
      <c r="B24" t="s">
        <v>62</v>
      </c>
      <c r="C24">
        <v>1502</v>
      </c>
      <c r="D24">
        <v>1</v>
      </c>
      <c r="E24" s="3">
        <f t="shared" si="0"/>
        <v>0</v>
      </c>
      <c r="F24">
        <v>-3</v>
      </c>
      <c r="G24">
        <v>1499</v>
      </c>
    </row>
    <row r="25" spans="1:7" x14ac:dyDescent="0.2">
      <c r="A25" t="s">
        <v>83</v>
      </c>
      <c r="B25" t="s">
        <v>34</v>
      </c>
      <c r="C25">
        <v>1502</v>
      </c>
      <c r="D25">
        <v>1.01</v>
      </c>
      <c r="E25" s="3">
        <f t="shared" si="0"/>
        <v>1.0000000000000009E-2</v>
      </c>
      <c r="F25">
        <v>14</v>
      </c>
      <c r="G25">
        <v>1516</v>
      </c>
    </row>
    <row r="26" spans="1:7" x14ac:dyDescent="0.2">
      <c r="A26" t="s">
        <v>84</v>
      </c>
      <c r="B26" t="s">
        <v>35</v>
      </c>
      <c r="C26">
        <v>1502</v>
      </c>
      <c r="D26">
        <v>1.01</v>
      </c>
      <c r="E26" s="3">
        <f t="shared" si="0"/>
        <v>1.0000000000000009E-2</v>
      </c>
      <c r="F26">
        <v>11</v>
      </c>
      <c r="G26">
        <v>1513</v>
      </c>
    </row>
    <row r="27" spans="1:7" x14ac:dyDescent="0.2">
      <c r="A27" t="s">
        <v>85</v>
      </c>
      <c r="B27" t="s">
        <v>36</v>
      </c>
      <c r="C27">
        <v>1502</v>
      </c>
      <c r="D27">
        <v>1.1100000000000001</v>
      </c>
      <c r="E27" s="3">
        <f t="shared" si="0"/>
        <v>0.1100000000000001</v>
      </c>
      <c r="F27">
        <v>171</v>
      </c>
      <c r="G27">
        <v>1673</v>
      </c>
    </row>
    <row r="28" spans="1:7" x14ac:dyDescent="0.2">
      <c r="A28" t="s">
        <v>86</v>
      </c>
      <c r="B28" t="s">
        <v>14</v>
      </c>
      <c r="C28">
        <v>1502</v>
      </c>
      <c r="D28">
        <v>1.04</v>
      </c>
      <c r="E28" s="3">
        <f t="shared" si="0"/>
        <v>4.0000000000000036E-2</v>
      </c>
      <c r="F28">
        <v>65</v>
      </c>
      <c r="G28">
        <v>1567</v>
      </c>
    </row>
    <row r="29" spans="1:7" x14ac:dyDescent="0.2">
      <c r="A29" t="s">
        <v>86</v>
      </c>
      <c r="B29" t="s">
        <v>63</v>
      </c>
      <c r="C29">
        <v>1502</v>
      </c>
      <c r="D29">
        <v>1</v>
      </c>
      <c r="E29" s="3">
        <f t="shared" si="0"/>
        <v>0</v>
      </c>
      <c r="F29">
        <v>4</v>
      </c>
      <c r="G29">
        <v>1506</v>
      </c>
    </row>
    <row r="30" spans="1:7" x14ac:dyDescent="0.2">
      <c r="A30" t="s">
        <v>87</v>
      </c>
      <c r="B30" t="s">
        <v>64</v>
      </c>
      <c r="C30">
        <v>1502</v>
      </c>
      <c r="D30">
        <v>1.05</v>
      </c>
      <c r="E30" s="3">
        <f t="shared" si="0"/>
        <v>5.0000000000000044E-2</v>
      </c>
      <c r="F30">
        <v>77</v>
      </c>
      <c r="G30">
        <v>1579</v>
      </c>
    </row>
    <row r="31" spans="1:7" x14ac:dyDescent="0.2">
      <c r="A31" t="s">
        <v>88</v>
      </c>
      <c r="B31" t="s">
        <v>37</v>
      </c>
      <c r="C31">
        <v>1502</v>
      </c>
      <c r="D31">
        <v>0.98</v>
      </c>
      <c r="E31" s="3">
        <f t="shared" si="0"/>
        <v>-2.0000000000000018E-2</v>
      </c>
      <c r="F31">
        <v>-33</v>
      </c>
      <c r="G31">
        <v>1469</v>
      </c>
    </row>
    <row r="32" spans="1:7" x14ac:dyDescent="0.2">
      <c r="A32" t="s">
        <v>89</v>
      </c>
      <c r="B32" t="s">
        <v>65</v>
      </c>
      <c r="C32">
        <v>1502</v>
      </c>
      <c r="D32">
        <v>1.05</v>
      </c>
      <c r="E32" s="3">
        <f t="shared" si="0"/>
        <v>5.0000000000000044E-2</v>
      </c>
      <c r="F32">
        <v>74</v>
      </c>
      <c r="G32">
        <v>1576</v>
      </c>
    </row>
    <row r="33" spans="1:7" x14ac:dyDescent="0.2">
      <c r="A33" t="s">
        <v>89</v>
      </c>
      <c r="B33" t="s">
        <v>66</v>
      </c>
      <c r="C33">
        <v>1502</v>
      </c>
      <c r="D33">
        <v>1.03</v>
      </c>
      <c r="E33" s="3">
        <f t="shared" si="0"/>
        <v>3.0000000000000027E-2</v>
      </c>
      <c r="F33">
        <v>42</v>
      </c>
      <c r="G33">
        <v>1544</v>
      </c>
    </row>
    <row r="34" spans="1:7" x14ac:dyDescent="0.2">
      <c r="A34" t="s">
        <v>90</v>
      </c>
      <c r="B34" t="s">
        <v>67</v>
      </c>
      <c r="C34">
        <v>1502</v>
      </c>
      <c r="D34">
        <v>0.99</v>
      </c>
      <c r="E34" s="3">
        <f t="shared" si="0"/>
        <v>-1.0000000000000009E-2</v>
      </c>
      <c r="F34">
        <v>-12</v>
      </c>
      <c r="G34">
        <v>1490</v>
      </c>
    </row>
    <row r="35" spans="1:7" x14ac:dyDescent="0.2">
      <c r="A35" t="s">
        <v>91</v>
      </c>
      <c r="B35" t="s">
        <v>39</v>
      </c>
      <c r="C35">
        <v>1502</v>
      </c>
      <c r="D35">
        <v>0.99</v>
      </c>
      <c r="E35" s="3">
        <f t="shared" si="0"/>
        <v>-1.0000000000000009E-2</v>
      </c>
      <c r="F35">
        <v>-15</v>
      </c>
      <c r="G35">
        <v>1487</v>
      </c>
    </row>
    <row r="36" spans="1:7" x14ac:dyDescent="0.2">
      <c r="A36" t="s">
        <v>92</v>
      </c>
      <c r="B36" t="s">
        <v>40</v>
      </c>
      <c r="C36">
        <v>1502</v>
      </c>
      <c r="D36">
        <v>1.02</v>
      </c>
      <c r="E36" s="3">
        <f t="shared" si="0"/>
        <v>2.0000000000000018E-2</v>
      </c>
      <c r="F36">
        <v>24</v>
      </c>
      <c r="G36">
        <v>1526</v>
      </c>
    </row>
    <row r="37" spans="1:7" x14ac:dyDescent="0.2">
      <c r="A37" t="s">
        <v>93</v>
      </c>
      <c r="B37" t="s">
        <v>41</v>
      </c>
      <c r="C37">
        <v>1502</v>
      </c>
      <c r="D37">
        <v>1.1200000000000001</v>
      </c>
      <c r="E37" s="3">
        <f t="shared" si="0"/>
        <v>0.12000000000000011</v>
      </c>
      <c r="F37">
        <v>181</v>
      </c>
      <c r="G37">
        <v>1683</v>
      </c>
    </row>
    <row r="38" spans="1:7" x14ac:dyDescent="0.2">
      <c r="A38" t="s">
        <v>94</v>
      </c>
      <c r="B38" t="s">
        <v>42</v>
      </c>
      <c r="C38">
        <v>1502</v>
      </c>
      <c r="D38">
        <v>1.01</v>
      </c>
      <c r="E38" s="3">
        <f t="shared" si="0"/>
        <v>1.0000000000000009E-2</v>
      </c>
      <c r="F38">
        <v>14</v>
      </c>
      <c r="G38">
        <v>1516</v>
      </c>
    </row>
    <row r="39" spans="1:7" x14ac:dyDescent="0.2">
      <c r="A39" t="s">
        <v>68</v>
      </c>
      <c r="B39" t="s">
        <v>68</v>
      </c>
      <c r="C39">
        <v>1502</v>
      </c>
      <c r="D39">
        <v>1.23</v>
      </c>
      <c r="E39" s="3">
        <f t="shared" si="0"/>
        <v>0.22999999999999998</v>
      </c>
      <c r="F39">
        <v>341</v>
      </c>
      <c r="G39">
        <v>1843</v>
      </c>
    </row>
    <row r="40" spans="1:7" x14ac:dyDescent="0.2">
      <c r="A40" t="s">
        <v>68</v>
      </c>
      <c r="B40" t="s">
        <v>43</v>
      </c>
      <c r="C40">
        <v>1502</v>
      </c>
      <c r="D40">
        <v>1.03</v>
      </c>
      <c r="E40" s="3">
        <f t="shared" si="0"/>
        <v>3.0000000000000027E-2</v>
      </c>
      <c r="F40">
        <v>42</v>
      </c>
      <c r="G40">
        <v>1544</v>
      </c>
    </row>
    <row r="41" spans="1:7" x14ac:dyDescent="0.2">
      <c r="A41" t="s">
        <v>95</v>
      </c>
      <c r="B41" t="s">
        <v>69</v>
      </c>
      <c r="C41">
        <v>1502</v>
      </c>
      <c r="D41">
        <v>1.07</v>
      </c>
      <c r="E41" s="3">
        <f t="shared" si="0"/>
        <v>7.0000000000000062E-2</v>
      </c>
      <c r="F41">
        <v>101</v>
      </c>
      <c r="G41">
        <v>1603</v>
      </c>
    </row>
    <row r="42" spans="1:7" x14ac:dyDescent="0.2">
      <c r="A42" t="s">
        <v>96</v>
      </c>
      <c r="B42" t="s">
        <v>44</v>
      </c>
      <c r="C42">
        <v>1502</v>
      </c>
      <c r="D42">
        <v>0.99</v>
      </c>
      <c r="E42" s="3">
        <f t="shared" si="0"/>
        <v>-1.0000000000000009E-2</v>
      </c>
      <c r="F42">
        <v>-12</v>
      </c>
      <c r="G42">
        <v>1490</v>
      </c>
    </row>
    <row r="43" spans="1:7" x14ac:dyDescent="0.2">
      <c r="A43" t="s">
        <v>97</v>
      </c>
      <c r="B43" t="s">
        <v>45</v>
      </c>
      <c r="C43">
        <v>1502</v>
      </c>
      <c r="D43">
        <v>1.01</v>
      </c>
      <c r="E43" s="3">
        <f t="shared" si="0"/>
        <v>1.0000000000000009E-2</v>
      </c>
      <c r="F43">
        <v>21</v>
      </c>
      <c r="G43">
        <v>1523</v>
      </c>
    </row>
    <row r="44" spans="1:7" x14ac:dyDescent="0.2">
      <c r="A44" t="s">
        <v>98</v>
      </c>
      <c r="B44" t="s">
        <v>46</v>
      </c>
      <c r="C44">
        <v>1502</v>
      </c>
      <c r="D44">
        <v>0.99</v>
      </c>
      <c r="E44" s="3">
        <f t="shared" si="0"/>
        <v>-1.0000000000000009E-2</v>
      </c>
      <c r="F44">
        <v>-16</v>
      </c>
      <c r="G44">
        <v>1486</v>
      </c>
    </row>
    <row r="45" spans="1:7" x14ac:dyDescent="0.2">
      <c r="A45" t="s">
        <v>47</v>
      </c>
      <c r="B45" t="s">
        <v>70</v>
      </c>
      <c r="C45">
        <v>1502</v>
      </c>
      <c r="D45">
        <v>0.98</v>
      </c>
      <c r="E45" s="3">
        <f t="shared" si="0"/>
        <v>-2.0000000000000018E-2</v>
      </c>
      <c r="F45">
        <v>-32</v>
      </c>
      <c r="G45">
        <v>1470</v>
      </c>
    </row>
    <row r="46" spans="1:7" x14ac:dyDescent="0.2">
      <c r="A46" t="s">
        <v>99</v>
      </c>
      <c r="B46" t="s">
        <v>34</v>
      </c>
      <c r="C46">
        <v>1502</v>
      </c>
      <c r="D46">
        <v>1.06</v>
      </c>
      <c r="E46" s="3">
        <f t="shared" si="0"/>
        <v>6.0000000000000053E-2</v>
      </c>
      <c r="F46">
        <v>87</v>
      </c>
      <c r="G46">
        <v>1589</v>
      </c>
    </row>
    <row r="47" spans="1:7" x14ac:dyDescent="0.2">
      <c r="A47" t="s">
        <v>100</v>
      </c>
      <c r="B47" t="s">
        <v>71</v>
      </c>
      <c r="C47">
        <v>1502</v>
      </c>
      <c r="D47">
        <v>1.1100000000000001</v>
      </c>
      <c r="E47" s="3">
        <f t="shared" si="0"/>
        <v>0.1100000000000001</v>
      </c>
      <c r="F47">
        <v>165</v>
      </c>
      <c r="G47">
        <v>1667</v>
      </c>
    </row>
    <row r="48" spans="1:7" x14ac:dyDescent="0.2">
      <c r="A48" t="s">
        <v>100</v>
      </c>
      <c r="B48" t="s">
        <v>48</v>
      </c>
      <c r="C48">
        <v>1502</v>
      </c>
      <c r="D48">
        <v>1.02</v>
      </c>
      <c r="E48" s="3">
        <f t="shared" si="0"/>
        <v>2.0000000000000018E-2</v>
      </c>
      <c r="F48">
        <v>32</v>
      </c>
      <c r="G48">
        <v>1534</v>
      </c>
    </row>
    <row r="49" spans="1:7" x14ac:dyDescent="0.2">
      <c r="A49" t="s">
        <v>101</v>
      </c>
      <c r="B49" t="s">
        <v>49</v>
      </c>
      <c r="C49">
        <v>1502</v>
      </c>
      <c r="D49">
        <v>1.06</v>
      </c>
      <c r="E49" s="3">
        <f t="shared" si="0"/>
        <v>6.0000000000000053E-2</v>
      </c>
      <c r="F49">
        <v>89</v>
      </c>
      <c r="G49">
        <v>1591</v>
      </c>
    </row>
    <row r="50" spans="1:7" x14ac:dyDescent="0.2">
      <c r="A50" t="s">
        <v>102</v>
      </c>
      <c r="B50" t="s">
        <v>50</v>
      </c>
      <c r="C50">
        <v>1502</v>
      </c>
      <c r="D50">
        <v>0.98</v>
      </c>
      <c r="E50" s="3">
        <f t="shared" si="0"/>
        <v>-2.0000000000000018E-2</v>
      </c>
      <c r="F50">
        <v>-28</v>
      </c>
      <c r="G50">
        <v>1474</v>
      </c>
    </row>
    <row r="51" spans="1:7" x14ac:dyDescent="0.2">
      <c r="A51" t="s">
        <v>103</v>
      </c>
      <c r="B51" t="s">
        <v>72</v>
      </c>
      <c r="C51">
        <v>1502</v>
      </c>
      <c r="D51">
        <v>1</v>
      </c>
      <c r="E51" s="3">
        <f t="shared" si="0"/>
        <v>0</v>
      </c>
      <c r="F51">
        <v>-4</v>
      </c>
      <c r="G51">
        <v>1498</v>
      </c>
    </row>
    <row r="52" spans="1:7" x14ac:dyDescent="0.2">
      <c r="A52" t="s">
        <v>104</v>
      </c>
      <c r="B52" t="s">
        <v>51</v>
      </c>
      <c r="C52">
        <v>1502</v>
      </c>
      <c r="D52">
        <v>1</v>
      </c>
      <c r="E52" s="3">
        <f t="shared" si="0"/>
        <v>0</v>
      </c>
      <c r="F52">
        <v>-3</v>
      </c>
      <c r="G52">
        <v>1499</v>
      </c>
    </row>
    <row r="53" spans="1:7" x14ac:dyDescent="0.2">
      <c r="A53" t="s">
        <v>105</v>
      </c>
      <c r="B53" t="s">
        <v>52</v>
      </c>
      <c r="C53">
        <v>1502</v>
      </c>
      <c r="D53">
        <v>0.96</v>
      </c>
      <c r="E53" s="3">
        <f t="shared" si="0"/>
        <v>-4.0000000000000036E-2</v>
      </c>
      <c r="F53">
        <v>-58</v>
      </c>
      <c r="G53">
        <v>1444</v>
      </c>
    </row>
    <row r="54" spans="1:7" x14ac:dyDescent="0.2">
      <c r="A54" t="s">
        <v>106</v>
      </c>
      <c r="B54" t="s">
        <v>73</v>
      </c>
      <c r="C54">
        <v>1502</v>
      </c>
      <c r="D54">
        <v>1</v>
      </c>
      <c r="E54" s="3">
        <f t="shared" si="0"/>
        <v>0</v>
      </c>
      <c r="F54">
        <v>-5</v>
      </c>
      <c r="G54">
        <v>1497</v>
      </c>
    </row>
    <row r="55" spans="1:7" x14ac:dyDescent="0.2">
      <c r="A55" t="s">
        <v>107</v>
      </c>
      <c r="B55" t="s">
        <v>53</v>
      </c>
      <c r="C55">
        <v>1502</v>
      </c>
      <c r="D55">
        <v>1.03</v>
      </c>
      <c r="E55" s="3">
        <f t="shared" si="0"/>
        <v>3.0000000000000027E-2</v>
      </c>
      <c r="F55">
        <v>41</v>
      </c>
      <c r="G55">
        <v>1543</v>
      </c>
    </row>
    <row r="56" spans="1:7" x14ac:dyDescent="0.2">
      <c r="A56" t="s">
        <v>108</v>
      </c>
      <c r="B56" t="s">
        <v>54</v>
      </c>
      <c r="C56">
        <v>1502</v>
      </c>
      <c r="D56">
        <v>1</v>
      </c>
      <c r="E56" s="3">
        <f t="shared" si="0"/>
        <v>0</v>
      </c>
      <c r="F56">
        <v>7</v>
      </c>
      <c r="G56">
        <v>1509</v>
      </c>
    </row>
    <row r="57" spans="1:7" x14ac:dyDescent="0.2">
      <c r="A57" t="s">
        <v>108</v>
      </c>
      <c r="B57" t="s">
        <v>55</v>
      </c>
      <c r="C57">
        <v>1502</v>
      </c>
      <c r="D57">
        <v>0.99</v>
      </c>
      <c r="E57" s="3">
        <f t="shared" si="0"/>
        <v>-1.0000000000000009E-2</v>
      </c>
      <c r="F57">
        <v>-14</v>
      </c>
      <c r="G57">
        <v>1488</v>
      </c>
    </row>
    <row r="58" spans="1:7" x14ac:dyDescent="0.2">
      <c r="A58" t="s">
        <v>23</v>
      </c>
      <c r="B58" t="s">
        <v>56</v>
      </c>
      <c r="C58">
        <v>1502</v>
      </c>
      <c r="D58">
        <v>1.0900000000000001</v>
      </c>
      <c r="E58" s="3">
        <f t="shared" si="0"/>
        <v>9.000000000000008E-2</v>
      </c>
      <c r="F58">
        <v>132</v>
      </c>
      <c r="G58">
        <v>1634</v>
      </c>
    </row>
    <row r="59" spans="1:7" x14ac:dyDescent="0.2">
      <c r="A59" t="s">
        <v>23</v>
      </c>
      <c r="B59" t="s">
        <v>57</v>
      </c>
      <c r="C59">
        <v>1502</v>
      </c>
      <c r="D59">
        <v>1.02</v>
      </c>
      <c r="E59" s="3">
        <f t="shared" si="0"/>
        <v>2.0000000000000018E-2</v>
      </c>
      <c r="F59">
        <v>35</v>
      </c>
      <c r="G59">
        <v>1537</v>
      </c>
    </row>
    <row r="60" spans="1:7" x14ac:dyDescent="0.2">
      <c r="A60" t="s">
        <v>109</v>
      </c>
      <c r="B60" t="s">
        <v>50</v>
      </c>
      <c r="C60">
        <v>1502</v>
      </c>
      <c r="D60">
        <v>1.01</v>
      </c>
      <c r="E60" s="3">
        <f t="shared" si="0"/>
        <v>1.0000000000000009E-2</v>
      </c>
      <c r="F60">
        <v>13</v>
      </c>
      <c r="G60">
        <v>1515</v>
      </c>
    </row>
    <row r="61" spans="1:7" x14ac:dyDescent="0.2">
      <c r="A61" t="s">
        <v>110</v>
      </c>
      <c r="B61" t="s">
        <v>74</v>
      </c>
      <c r="C61">
        <v>1502</v>
      </c>
      <c r="D61">
        <v>1.04</v>
      </c>
      <c r="E61" s="3">
        <f t="shared" si="0"/>
        <v>4.0000000000000036E-2</v>
      </c>
      <c r="F61">
        <v>55</v>
      </c>
      <c r="G61">
        <v>1557</v>
      </c>
    </row>
    <row r="62" spans="1:7" x14ac:dyDescent="0.2">
      <c r="A62" t="s">
        <v>111</v>
      </c>
      <c r="B62" t="s">
        <v>58</v>
      </c>
      <c r="C62">
        <v>1502</v>
      </c>
      <c r="D62">
        <v>1</v>
      </c>
      <c r="E62" s="3">
        <f t="shared" si="0"/>
        <v>0</v>
      </c>
      <c r="F62">
        <v>-6</v>
      </c>
      <c r="G62">
        <v>1496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11D7-060D-7A41-85F3-8F707ABAA19A}">
  <dimension ref="A1:BQ62"/>
  <sheetViews>
    <sheetView workbookViewId="0">
      <selection activeCell="E2" sqref="E2:E62"/>
    </sheetView>
  </sheetViews>
  <sheetFormatPr baseColWidth="10" defaultRowHeight="16" x14ac:dyDescent="0.2"/>
  <cols>
    <col min="1" max="1" width="17.5" bestFit="1" customWidth="1"/>
    <col min="2" max="2" width="13.33203125" bestFit="1" customWidth="1"/>
    <col min="3" max="3" width="22.33203125" bestFit="1" customWidth="1"/>
    <col min="4" max="4" width="16.33203125" bestFit="1" customWidth="1"/>
    <col min="5" max="5" width="16.33203125" customWidth="1"/>
    <col min="6" max="6" width="25.5" bestFit="1" customWidth="1"/>
    <col min="7" max="7" width="29.5" bestFit="1" customWidth="1"/>
  </cols>
  <sheetData>
    <row r="1" spans="1:69" x14ac:dyDescent="0.2">
      <c r="A1" s="2" t="s">
        <v>13</v>
      </c>
      <c r="B1" s="2" t="s">
        <v>12</v>
      </c>
      <c r="C1" s="2" t="s">
        <v>11</v>
      </c>
      <c r="D1" s="2" t="s">
        <v>10</v>
      </c>
      <c r="E1" s="2"/>
      <c r="F1" s="2" t="s">
        <v>9</v>
      </c>
      <c r="G1" s="2" t="s">
        <v>8</v>
      </c>
    </row>
    <row r="2" spans="1:69" x14ac:dyDescent="0.2">
      <c r="A2" t="s">
        <v>0</v>
      </c>
      <c r="B2" t="s">
        <v>15</v>
      </c>
      <c r="C2" cm="1">
        <f t="array" ref="C2:C62">TRANSPOSE(I4:BQ4)</f>
        <v>836</v>
      </c>
      <c r="D2" cm="1">
        <f t="array" ref="D2:D62">TRANSPOSE(I5:BQ5)</f>
        <v>0.97</v>
      </c>
      <c r="E2" s="3">
        <f>D2-1</f>
        <v>-3.0000000000000027E-2</v>
      </c>
      <c r="F2" cm="1">
        <f t="array" ref="F2:F62">TRANSPOSE(I6:BQ6)</f>
        <v>-22</v>
      </c>
      <c r="G2" cm="1">
        <f t="array" ref="G2:G62">TRANSPOSE(I7:BQ7)</f>
        <v>814</v>
      </c>
    </row>
    <row r="3" spans="1:69" x14ac:dyDescent="0.2">
      <c r="A3" t="s">
        <v>1</v>
      </c>
      <c r="B3" t="s">
        <v>16</v>
      </c>
      <c r="C3">
        <v>836</v>
      </c>
      <c r="D3">
        <v>1.01</v>
      </c>
      <c r="E3" s="3">
        <f t="shared" ref="E3:E62" si="0">D3-1</f>
        <v>1.0000000000000009E-2</v>
      </c>
      <c r="F3">
        <v>6</v>
      </c>
      <c r="G3">
        <v>842</v>
      </c>
    </row>
    <row r="4" spans="1:69" x14ac:dyDescent="0.2">
      <c r="A4" t="s">
        <v>2</v>
      </c>
      <c r="B4" t="s">
        <v>59</v>
      </c>
      <c r="C4">
        <v>836</v>
      </c>
      <c r="D4">
        <v>0.98</v>
      </c>
      <c r="E4" s="3">
        <f t="shared" si="0"/>
        <v>-2.0000000000000018E-2</v>
      </c>
      <c r="F4">
        <v>-18</v>
      </c>
      <c r="G4">
        <v>818</v>
      </c>
      <c r="I4">
        <v>836</v>
      </c>
      <c r="J4">
        <v>836</v>
      </c>
      <c r="K4">
        <v>836</v>
      </c>
      <c r="L4">
        <v>836</v>
      </c>
      <c r="M4">
        <v>836</v>
      </c>
      <c r="N4">
        <v>836</v>
      </c>
      <c r="O4">
        <v>836</v>
      </c>
      <c r="P4">
        <v>836</v>
      </c>
      <c r="Q4">
        <v>836</v>
      </c>
      <c r="R4">
        <v>836</v>
      </c>
      <c r="S4">
        <v>836</v>
      </c>
      <c r="T4">
        <v>836</v>
      </c>
      <c r="U4">
        <v>836</v>
      </c>
      <c r="V4">
        <v>836</v>
      </c>
      <c r="W4">
        <v>836</v>
      </c>
      <c r="X4">
        <v>836</v>
      </c>
      <c r="Y4">
        <v>836</v>
      </c>
      <c r="Z4">
        <v>836</v>
      </c>
      <c r="AA4">
        <v>836</v>
      </c>
      <c r="AB4">
        <v>836</v>
      </c>
      <c r="AC4">
        <v>836</v>
      </c>
      <c r="AD4">
        <v>836</v>
      </c>
      <c r="AE4">
        <v>836</v>
      </c>
      <c r="AF4">
        <v>836</v>
      </c>
      <c r="AG4">
        <v>836</v>
      </c>
      <c r="AH4">
        <v>836</v>
      </c>
      <c r="AI4">
        <v>836</v>
      </c>
      <c r="AJ4">
        <v>836</v>
      </c>
      <c r="AK4">
        <v>836</v>
      </c>
      <c r="AL4">
        <v>836</v>
      </c>
      <c r="AM4">
        <v>836</v>
      </c>
      <c r="AN4">
        <v>836</v>
      </c>
      <c r="AO4">
        <v>836</v>
      </c>
      <c r="AP4">
        <v>836</v>
      </c>
      <c r="AQ4">
        <v>836</v>
      </c>
      <c r="AR4">
        <v>836</v>
      </c>
      <c r="AS4">
        <v>836</v>
      </c>
      <c r="AT4">
        <v>836</v>
      </c>
      <c r="AU4">
        <v>836</v>
      </c>
      <c r="AV4">
        <v>836</v>
      </c>
      <c r="AW4">
        <v>836</v>
      </c>
      <c r="AX4">
        <v>836</v>
      </c>
      <c r="AY4">
        <v>836</v>
      </c>
      <c r="AZ4">
        <v>836</v>
      </c>
      <c r="BA4">
        <v>836</v>
      </c>
      <c r="BB4">
        <v>836</v>
      </c>
      <c r="BC4">
        <v>836</v>
      </c>
      <c r="BD4">
        <v>836</v>
      </c>
      <c r="BE4">
        <v>836</v>
      </c>
      <c r="BF4">
        <v>836</v>
      </c>
      <c r="BG4">
        <v>836</v>
      </c>
      <c r="BH4">
        <v>836</v>
      </c>
      <c r="BI4">
        <v>836</v>
      </c>
      <c r="BJ4">
        <v>836</v>
      </c>
      <c r="BK4">
        <v>836</v>
      </c>
      <c r="BL4">
        <v>836</v>
      </c>
      <c r="BM4">
        <v>836</v>
      </c>
      <c r="BN4">
        <v>836</v>
      </c>
      <c r="BO4">
        <v>836</v>
      </c>
      <c r="BP4">
        <v>836</v>
      </c>
      <c r="BQ4">
        <v>836</v>
      </c>
    </row>
    <row r="5" spans="1:69" x14ac:dyDescent="0.2">
      <c r="A5" t="s">
        <v>3</v>
      </c>
      <c r="B5" t="s">
        <v>17</v>
      </c>
      <c r="C5">
        <v>836</v>
      </c>
      <c r="D5">
        <v>1.1399999999999999</v>
      </c>
      <c r="E5" s="3">
        <f t="shared" si="0"/>
        <v>0.1399999999999999</v>
      </c>
      <c r="F5">
        <v>115</v>
      </c>
      <c r="G5">
        <v>951</v>
      </c>
      <c r="I5">
        <v>0.97</v>
      </c>
      <c r="J5">
        <v>1.01</v>
      </c>
      <c r="K5">
        <v>0.98</v>
      </c>
      <c r="L5">
        <v>1.1399999999999999</v>
      </c>
      <c r="M5">
        <v>1.1599999999999999</v>
      </c>
      <c r="N5">
        <v>1.1599999999999999</v>
      </c>
      <c r="O5">
        <v>1.17</v>
      </c>
      <c r="P5">
        <v>1.28</v>
      </c>
      <c r="Q5">
        <v>0.98</v>
      </c>
      <c r="R5">
        <v>1.1100000000000001</v>
      </c>
      <c r="S5">
        <v>1.1100000000000001</v>
      </c>
      <c r="T5">
        <v>1.02</v>
      </c>
      <c r="U5">
        <v>0.96</v>
      </c>
      <c r="V5">
        <v>0.97</v>
      </c>
      <c r="W5">
        <v>1</v>
      </c>
      <c r="X5">
        <v>1.01</v>
      </c>
      <c r="Y5">
        <v>1.2</v>
      </c>
      <c r="Z5">
        <v>1</v>
      </c>
      <c r="AA5">
        <v>1.02</v>
      </c>
      <c r="AB5">
        <v>0.98</v>
      </c>
      <c r="AC5">
        <v>0.98</v>
      </c>
      <c r="AD5">
        <v>1</v>
      </c>
      <c r="AE5">
        <v>0.99</v>
      </c>
      <c r="AF5">
        <v>1.01</v>
      </c>
      <c r="AG5">
        <v>1.01</v>
      </c>
      <c r="AH5">
        <v>1.18</v>
      </c>
      <c r="AI5">
        <v>1.07</v>
      </c>
      <c r="AJ5">
        <v>1</v>
      </c>
      <c r="AK5">
        <v>1.08</v>
      </c>
      <c r="AL5">
        <v>0.96</v>
      </c>
      <c r="AM5">
        <v>1.08</v>
      </c>
      <c r="AN5">
        <v>1.04</v>
      </c>
      <c r="AO5">
        <v>0.98</v>
      </c>
      <c r="AP5">
        <v>0.98</v>
      </c>
      <c r="AQ5">
        <v>1.02</v>
      </c>
      <c r="AR5">
        <v>1.19</v>
      </c>
      <c r="AS5">
        <v>1.01</v>
      </c>
      <c r="AT5">
        <v>1.36</v>
      </c>
      <c r="AU5">
        <v>1.04</v>
      </c>
      <c r="AV5">
        <v>1.1000000000000001</v>
      </c>
      <c r="AW5">
        <v>0.99</v>
      </c>
      <c r="AX5">
        <v>1.02</v>
      </c>
      <c r="AY5">
        <v>0.98</v>
      </c>
      <c r="AZ5">
        <v>0.96</v>
      </c>
      <c r="BA5">
        <v>1.1000000000000001</v>
      </c>
      <c r="BB5">
        <v>1.18</v>
      </c>
      <c r="BC5">
        <v>1.03</v>
      </c>
      <c r="BD5">
        <v>1.0900000000000001</v>
      </c>
      <c r="BE5">
        <v>0.97</v>
      </c>
      <c r="BF5">
        <v>0.99</v>
      </c>
      <c r="BG5">
        <v>1</v>
      </c>
      <c r="BH5">
        <v>0.94</v>
      </c>
      <c r="BI5">
        <v>0.99</v>
      </c>
      <c r="BJ5">
        <v>1.04</v>
      </c>
      <c r="BK5">
        <v>1.01</v>
      </c>
      <c r="BL5">
        <v>0.98</v>
      </c>
      <c r="BM5">
        <v>1.1499999999999999</v>
      </c>
      <c r="BN5">
        <v>1.03</v>
      </c>
      <c r="BO5">
        <v>1.01</v>
      </c>
      <c r="BP5">
        <v>1.06</v>
      </c>
      <c r="BQ5">
        <v>0.99</v>
      </c>
    </row>
    <row r="6" spans="1:69" x14ac:dyDescent="0.2">
      <c r="A6" t="s">
        <v>3</v>
      </c>
      <c r="B6" t="s">
        <v>60</v>
      </c>
      <c r="C6">
        <v>836</v>
      </c>
      <c r="D6">
        <v>1.1599999999999999</v>
      </c>
      <c r="E6" s="3">
        <f t="shared" si="0"/>
        <v>0.15999999999999992</v>
      </c>
      <c r="F6">
        <v>133</v>
      </c>
      <c r="G6">
        <v>969</v>
      </c>
      <c r="I6">
        <v>-22</v>
      </c>
      <c r="J6">
        <v>6</v>
      </c>
      <c r="K6">
        <v>-18</v>
      </c>
      <c r="L6">
        <v>115</v>
      </c>
      <c r="M6">
        <v>133</v>
      </c>
      <c r="N6">
        <v>132</v>
      </c>
      <c r="O6">
        <v>144</v>
      </c>
      <c r="P6">
        <v>234</v>
      </c>
      <c r="Q6">
        <v>-17</v>
      </c>
      <c r="R6">
        <v>95</v>
      </c>
      <c r="S6">
        <v>90</v>
      </c>
      <c r="T6">
        <v>20</v>
      </c>
      <c r="U6">
        <v>-37</v>
      </c>
      <c r="V6">
        <v>-28</v>
      </c>
      <c r="W6">
        <v>3</v>
      </c>
      <c r="X6">
        <v>11</v>
      </c>
      <c r="Y6">
        <v>169</v>
      </c>
      <c r="Z6">
        <v>-3</v>
      </c>
      <c r="AA6">
        <v>14</v>
      </c>
      <c r="AB6">
        <v>-16</v>
      </c>
      <c r="AC6">
        <v>-17</v>
      </c>
      <c r="AD6">
        <v>-2</v>
      </c>
      <c r="AE6">
        <v>-5</v>
      </c>
      <c r="AF6">
        <v>9</v>
      </c>
      <c r="AG6">
        <v>8</v>
      </c>
      <c r="AH6">
        <v>151</v>
      </c>
      <c r="AI6">
        <v>57</v>
      </c>
      <c r="AJ6">
        <v>1</v>
      </c>
      <c r="AK6">
        <v>65</v>
      </c>
      <c r="AL6">
        <v>-32</v>
      </c>
      <c r="AM6">
        <v>65</v>
      </c>
      <c r="AN6">
        <v>35</v>
      </c>
      <c r="AO6">
        <v>-13</v>
      </c>
      <c r="AP6">
        <v>-16</v>
      </c>
      <c r="AQ6">
        <v>20</v>
      </c>
      <c r="AR6">
        <v>160</v>
      </c>
      <c r="AS6">
        <v>9</v>
      </c>
      <c r="AT6">
        <v>297</v>
      </c>
      <c r="AU6">
        <v>37</v>
      </c>
      <c r="AV6">
        <v>86</v>
      </c>
      <c r="AW6">
        <v>-12</v>
      </c>
      <c r="AX6">
        <v>13</v>
      </c>
      <c r="AY6">
        <v>-17</v>
      </c>
      <c r="AZ6">
        <v>-30</v>
      </c>
      <c r="BA6">
        <v>79</v>
      </c>
      <c r="BB6">
        <v>152</v>
      </c>
      <c r="BC6">
        <v>26</v>
      </c>
      <c r="BD6">
        <v>75</v>
      </c>
      <c r="BE6">
        <v>-25</v>
      </c>
      <c r="BF6">
        <v>-6</v>
      </c>
      <c r="BG6">
        <v>-3</v>
      </c>
      <c r="BH6">
        <v>-53</v>
      </c>
      <c r="BI6">
        <v>-7</v>
      </c>
      <c r="BJ6">
        <v>35</v>
      </c>
      <c r="BK6">
        <v>9</v>
      </c>
      <c r="BL6">
        <v>-14</v>
      </c>
      <c r="BM6">
        <v>121</v>
      </c>
      <c r="BN6">
        <v>27</v>
      </c>
      <c r="BO6">
        <v>9</v>
      </c>
      <c r="BP6">
        <v>48</v>
      </c>
      <c r="BQ6">
        <v>-8</v>
      </c>
    </row>
    <row r="7" spans="1:69" x14ac:dyDescent="0.2">
      <c r="A7" t="s">
        <v>3</v>
      </c>
      <c r="B7" t="s">
        <v>18</v>
      </c>
      <c r="C7">
        <v>836</v>
      </c>
      <c r="D7">
        <v>1.1599999999999999</v>
      </c>
      <c r="E7" s="3">
        <f t="shared" si="0"/>
        <v>0.15999999999999992</v>
      </c>
      <c r="F7">
        <v>132</v>
      </c>
      <c r="G7">
        <v>968</v>
      </c>
      <c r="I7">
        <v>814</v>
      </c>
      <c r="J7">
        <v>842</v>
      </c>
      <c r="K7">
        <v>818</v>
      </c>
      <c r="L7">
        <v>951</v>
      </c>
      <c r="M7">
        <v>969</v>
      </c>
      <c r="N7">
        <v>968</v>
      </c>
      <c r="O7">
        <v>980</v>
      </c>
      <c r="P7">
        <v>1070</v>
      </c>
      <c r="Q7">
        <v>819</v>
      </c>
      <c r="R7">
        <v>931</v>
      </c>
      <c r="S7">
        <v>926</v>
      </c>
      <c r="T7">
        <v>856</v>
      </c>
      <c r="U7">
        <v>799</v>
      </c>
      <c r="V7">
        <v>808</v>
      </c>
      <c r="W7">
        <v>839</v>
      </c>
      <c r="X7">
        <v>847</v>
      </c>
      <c r="Y7">
        <v>1005</v>
      </c>
      <c r="Z7">
        <v>833</v>
      </c>
      <c r="AA7">
        <v>850</v>
      </c>
      <c r="AB7">
        <v>820</v>
      </c>
      <c r="AC7">
        <v>819</v>
      </c>
      <c r="AD7">
        <v>834</v>
      </c>
      <c r="AE7">
        <v>831</v>
      </c>
      <c r="AF7">
        <v>845</v>
      </c>
      <c r="AG7">
        <v>844</v>
      </c>
      <c r="AH7">
        <v>987</v>
      </c>
      <c r="AI7">
        <v>893</v>
      </c>
      <c r="AJ7">
        <v>837</v>
      </c>
      <c r="AK7">
        <v>901</v>
      </c>
      <c r="AL7">
        <v>804</v>
      </c>
      <c r="AM7">
        <v>901</v>
      </c>
      <c r="AN7">
        <v>871</v>
      </c>
      <c r="AO7">
        <v>823</v>
      </c>
      <c r="AP7">
        <v>820</v>
      </c>
      <c r="AQ7">
        <v>856</v>
      </c>
      <c r="AR7">
        <v>996</v>
      </c>
      <c r="AS7">
        <v>845</v>
      </c>
      <c r="AT7">
        <v>1133</v>
      </c>
      <c r="AU7">
        <v>873</v>
      </c>
      <c r="AV7">
        <v>922</v>
      </c>
      <c r="AW7">
        <v>824</v>
      </c>
      <c r="AX7">
        <v>849</v>
      </c>
      <c r="AY7">
        <v>819</v>
      </c>
      <c r="AZ7">
        <v>806</v>
      </c>
      <c r="BA7">
        <v>915</v>
      </c>
      <c r="BB7">
        <v>988</v>
      </c>
      <c r="BC7">
        <v>862</v>
      </c>
      <c r="BD7">
        <v>911</v>
      </c>
      <c r="BE7">
        <v>811</v>
      </c>
      <c r="BF7">
        <v>830</v>
      </c>
      <c r="BG7">
        <v>833</v>
      </c>
      <c r="BH7">
        <v>783</v>
      </c>
      <c r="BI7">
        <v>829</v>
      </c>
      <c r="BJ7">
        <v>871</v>
      </c>
      <c r="BK7">
        <v>845</v>
      </c>
      <c r="BL7">
        <v>822</v>
      </c>
      <c r="BM7">
        <v>957</v>
      </c>
      <c r="BN7">
        <v>863</v>
      </c>
      <c r="BO7">
        <v>845</v>
      </c>
      <c r="BP7">
        <v>884</v>
      </c>
      <c r="BQ7">
        <v>828</v>
      </c>
    </row>
    <row r="8" spans="1:69" x14ac:dyDescent="0.2">
      <c r="A8" t="s">
        <v>3</v>
      </c>
      <c r="B8" t="s">
        <v>19</v>
      </c>
      <c r="C8">
        <v>836</v>
      </c>
      <c r="D8">
        <v>1.17</v>
      </c>
      <c r="E8" s="3">
        <f t="shared" si="0"/>
        <v>0.16999999999999993</v>
      </c>
      <c r="F8">
        <v>144</v>
      </c>
      <c r="G8">
        <v>980</v>
      </c>
    </row>
    <row r="9" spans="1:69" x14ac:dyDescent="0.2">
      <c r="A9" t="s">
        <v>3</v>
      </c>
      <c r="B9" t="s">
        <v>61</v>
      </c>
      <c r="C9">
        <v>836</v>
      </c>
      <c r="D9">
        <v>1.28</v>
      </c>
      <c r="E9" s="3">
        <f t="shared" si="0"/>
        <v>0.28000000000000003</v>
      </c>
      <c r="F9">
        <v>234</v>
      </c>
      <c r="G9">
        <v>1070</v>
      </c>
    </row>
    <row r="10" spans="1:69" x14ac:dyDescent="0.2">
      <c r="A10" t="s">
        <v>75</v>
      </c>
      <c r="B10" t="s">
        <v>20</v>
      </c>
      <c r="C10">
        <v>836</v>
      </c>
      <c r="D10">
        <v>0.98</v>
      </c>
      <c r="E10" s="3">
        <f t="shared" si="0"/>
        <v>-2.0000000000000018E-2</v>
      </c>
      <c r="F10">
        <v>-17</v>
      </c>
      <c r="G10">
        <v>819</v>
      </c>
    </row>
    <row r="11" spans="1:69" x14ac:dyDescent="0.2">
      <c r="A11" t="s">
        <v>76</v>
      </c>
      <c r="B11" t="s">
        <v>21</v>
      </c>
      <c r="C11">
        <v>836</v>
      </c>
      <c r="D11">
        <v>1.1100000000000001</v>
      </c>
      <c r="E11" s="3">
        <f t="shared" si="0"/>
        <v>0.1100000000000001</v>
      </c>
      <c r="F11">
        <v>95</v>
      </c>
      <c r="G11">
        <v>931</v>
      </c>
    </row>
    <row r="12" spans="1:69" x14ac:dyDescent="0.2">
      <c r="A12" t="s">
        <v>77</v>
      </c>
      <c r="B12" t="s">
        <v>22</v>
      </c>
      <c r="C12">
        <v>836</v>
      </c>
      <c r="D12">
        <v>1.1100000000000001</v>
      </c>
      <c r="E12" s="3">
        <f t="shared" si="0"/>
        <v>0.1100000000000001</v>
      </c>
      <c r="F12">
        <v>90</v>
      </c>
      <c r="G12">
        <v>926</v>
      </c>
    </row>
    <row r="13" spans="1:69" x14ac:dyDescent="0.2">
      <c r="A13" t="s">
        <v>78</v>
      </c>
      <c r="B13" t="s">
        <v>23</v>
      </c>
      <c r="C13">
        <v>836</v>
      </c>
      <c r="D13">
        <v>1.02</v>
      </c>
      <c r="E13" s="3">
        <f t="shared" si="0"/>
        <v>2.0000000000000018E-2</v>
      </c>
      <c r="F13">
        <v>20</v>
      </c>
      <c r="G13">
        <v>856</v>
      </c>
    </row>
    <row r="14" spans="1:69" x14ac:dyDescent="0.2">
      <c r="A14" t="s">
        <v>79</v>
      </c>
      <c r="B14" t="s">
        <v>24</v>
      </c>
      <c r="C14">
        <v>836</v>
      </c>
      <c r="D14">
        <v>0.96</v>
      </c>
      <c r="E14" s="3">
        <f t="shared" si="0"/>
        <v>-4.0000000000000036E-2</v>
      </c>
      <c r="F14">
        <v>-37</v>
      </c>
      <c r="G14">
        <v>799</v>
      </c>
    </row>
    <row r="15" spans="1:69" x14ac:dyDescent="0.2">
      <c r="A15" t="s">
        <v>79</v>
      </c>
      <c r="B15" t="s">
        <v>25</v>
      </c>
      <c r="C15">
        <v>836</v>
      </c>
      <c r="D15">
        <v>0.97</v>
      </c>
      <c r="E15" s="3">
        <f t="shared" si="0"/>
        <v>-3.0000000000000027E-2</v>
      </c>
      <c r="F15">
        <v>-28</v>
      </c>
      <c r="G15">
        <v>808</v>
      </c>
    </row>
    <row r="16" spans="1:69" x14ac:dyDescent="0.2">
      <c r="A16" t="s">
        <v>80</v>
      </c>
      <c r="B16" t="s">
        <v>26</v>
      </c>
      <c r="C16">
        <v>836</v>
      </c>
      <c r="D16">
        <v>1</v>
      </c>
      <c r="E16" s="3">
        <f t="shared" si="0"/>
        <v>0</v>
      </c>
      <c r="F16">
        <v>3</v>
      </c>
      <c r="G16">
        <v>839</v>
      </c>
    </row>
    <row r="17" spans="1:7" x14ac:dyDescent="0.2">
      <c r="A17" t="s">
        <v>4</v>
      </c>
      <c r="B17" t="s">
        <v>27</v>
      </c>
      <c r="C17">
        <v>836</v>
      </c>
      <c r="D17">
        <v>1.01</v>
      </c>
      <c r="E17" s="3">
        <f t="shared" si="0"/>
        <v>1.0000000000000009E-2</v>
      </c>
      <c r="F17">
        <v>11</v>
      </c>
      <c r="G17">
        <v>847</v>
      </c>
    </row>
    <row r="18" spans="1:7" x14ac:dyDescent="0.2">
      <c r="A18" t="s">
        <v>5</v>
      </c>
      <c r="B18" t="s">
        <v>28</v>
      </c>
      <c r="C18">
        <v>836</v>
      </c>
      <c r="D18">
        <v>1.2</v>
      </c>
      <c r="E18" s="3">
        <f t="shared" si="0"/>
        <v>0.19999999999999996</v>
      </c>
      <c r="F18">
        <v>169</v>
      </c>
      <c r="G18">
        <v>1005</v>
      </c>
    </row>
    <row r="19" spans="1:7" x14ac:dyDescent="0.2">
      <c r="A19" t="s">
        <v>6</v>
      </c>
      <c r="B19" t="s">
        <v>29</v>
      </c>
      <c r="C19">
        <v>836</v>
      </c>
      <c r="D19">
        <v>1</v>
      </c>
      <c r="E19" s="3">
        <f t="shared" si="0"/>
        <v>0</v>
      </c>
      <c r="F19">
        <v>-3</v>
      </c>
      <c r="G19">
        <v>833</v>
      </c>
    </row>
    <row r="20" spans="1:7" x14ac:dyDescent="0.2">
      <c r="A20" t="s">
        <v>7</v>
      </c>
      <c r="B20" t="s">
        <v>30</v>
      </c>
      <c r="C20">
        <v>836</v>
      </c>
      <c r="D20">
        <v>1.02</v>
      </c>
      <c r="E20" s="3">
        <f t="shared" si="0"/>
        <v>2.0000000000000018E-2</v>
      </c>
      <c r="F20">
        <v>14</v>
      </c>
      <c r="G20">
        <v>850</v>
      </c>
    </row>
    <row r="21" spans="1:7" x14ac:dyDescent="0.2">
      <c r="A21" t="s">
        <v>7</v>
      </c>
      <c r="B21" t="s">
        <v>31</v>
      </c>
      <c r="C21">
        <v>836</v>
      </c>
      <c r="D21">
        <v>0.98</v>
      </c>
      <c r="E21" s="3">
        <f t="shared" si="0"/>
        <v>-2.0000000000000018E-2</v>
      </c>
      <c r="F21">
        <v>-16</v>
      </c>
      <c r="G21">
        <v>820</v>
      </c>
    </row>
    <row r="22" spans="1:7" x14ac:dyDescent="0.2">
      <c r="A22" t="s">
        <v>38</v>
      </c>
      <c r="B22" t="s">
        <v>32</v>
      </c>
      <c r="C22">
        <v>836</v>
      </c>
      <c r="D22">
        <v>0.98</v>
      </c>
      <c r="E22" s="3">
        <f t="shared" si="0"/>
        <v>-2.0000000000000018E-2</v>
      </c>
      <c r="F22">
        <v>-17</v>
      </c>
      <c r="G22">
        <v>819</v>
      </c>
    </row>
    <row r="23" spans="1:7" x14ac:dyDescent="0.2">
      <c r="A23" t="s">
        <v>81</v>
      </c>
      <c r="B23" t="s">
        <v>33</v>
      </c>
      <c r="C23">
        <v>836</v>
      </c>
      <c r="D23">
        <v>1</v>
      </c>
      <c r="E23" s="3">
        <f t="shared" si="0"/>
        <v>0</v>
      </c>
      <c r="F23">
        <v>-2</v>
      </c>
      <c r="G23">
        <v>834</v>
      </c>
    </row>
    <row r="24" spans="1:7" x14ac:dyDescent="0.2">
      <c r="A24" t="s">
        <v>82</v>
      </c>
      <c r="B24" t="s">
        <v>62</v>
      </c>
      <c r="C24">
        <v>836</v>
      </c>
      <c r="D24">
        <v>0.99</v>
      </c>
      <c r="E24" s="3">
        <f t="shared" si="0"/>
        <v>-1.0000000000000009E-2</v>
      </c>
      <c r="F24">
        <v>-5</v>
      </c>
      <c r="G24">
        <v>831</v>
      </c>
    </row>
    <row r="25" spans="1:7" x14ac:dyDescent="0.2">
      <c r="A25" t="s">
        <v>83</v>
      </c>
      <c r="B25" t="s">
        <v>34</v>
      </c>
      <c r="C25">
        <v>836</v>
      </c>
      <c r="D25">
        <v>1.01</v>
      </c>
      <c r="E25" s="3">
        <f t="shared" si="0"/>
        <v>1.0000000000000009E-2</v>
      </c>
      <c r="F25">
        <v>9</v>
      </c>
      <c r="G25">
        <v>845</v>
      </c>
    </row>
    <row r="26" spans="1:7" x14ac:dyDescent="0.2">
      <c r="A26" t="s">
        <v>84</v>
      </c>
      <c r="B26" t="s">
        <v>35</v>
      </c>
      <c r="C26">
        <v>836</v>
      </c>
      <c r="D26">
        <v>1.01</v>
      </c>
      <c r="E26" s="3">
        <f t="shared" si="0"/>
        <v>1.0000000000000009E-2</v>
      </c>
      <c r="F26">
        <v>8</v>
      </c>
      <c r="G26">
        <v>844</v>
      </c>
    </row>
    <row r="27" spans="1:7" x14ac:dyDescent="0.2">
      <c r="A27" t="s">
        <v>85</v>
      </c>
      <c r="B27" t="s">
        <v>36</v>
      </c>
      <c r="C27">
        <v>836</v>
      </c>
      <c r="D27">
        <v>1.18</v>
      </c>
      <c r="E27" s="3">
        <f t="shared" si="0"/>
        <v>0.17999999999999994</v>
      </c>
      <c r="F27">
        <v>151</v>
      </c>
      <c r="G27">
        <v>987</v>
      </c>
    </row>
    <row r="28" spans="1:7" x14ac:dyDescent="0.2">
      <c r="A28" t="s">
        <v>86</v>
      </c>
      <c r="B28" t="s">
        <v>14</v>
      </c>
      <c r="C28">
        <v>836</v>
      </c>
      <c r="D28">
        <v>1.07</v>
      </c>
      <c r="E28" s="3">
        <f t="shared" si="0"/>
        <v>7.0000000000000062E-2</v>
      </c>
      <c r="F28">
        <v>57</v>
      </c>
      <c r="G28">
        <v>893</v>
      </c>
    </row>
    <row r="29" spans="1:7" x14ac:dyDescent="0.2">
      <c r="A29" t="s">
        <v>86</v>
      </c>
      <c r="B29" t="s">
        <v>63</v>
      </c>
      <c r="C29">
        <v>836</v>
      </c>
      <c r="D29">
        <v>1</v>
      </c>
      <c r="E29" s="3">
        <f t="shared" si="0"/>
        <v>0</v>
      </c>
      <c r="F29">
        <v>1</v>
      </c>
      <c r="G29">
        <v>837</v>
      </c>
    </row>
    <row r="30" spans="1:7" x14ac:dyDescent="0.2">
      <c r="A30" t="s">
        <v>87</v>
      </c>
      <c r="B30" t="s">
        <v>64</v>
      </c>
      <c r="C30">
        <v>836</v>
      </c>
      <c r="D30">
        <v>1.08</v>
      </c>
      <c r="E30" s="3">
        <f t="shared" si="0"/>
        <v>8.0000000000000071E-2</v>
      </c>
      <c r="F30">
        <v>65</v>
      </c>
      <c r="G30">
        <v>901</v>
      </c>
    </row>
    <row r="31" spans="1:7" x14ac:dyDescent="0.2">
      <c r="A31" t="s">
        <v>88</v>
      </c>
      <c r="B31" t="s">
        <v>37</v>
      </c>
      <c r="C31">
        <v>836</v>
      </c>
      <c r="D31">
        <v>0.96</v>
      </c>
      <c r="E31" s="3">
        <f t="shared" si="0"/>
        <v>-4.0000000000000036E-2</v>
      </c>
      <c r="F31">
        <v>-32</v>
      </c>
      <c r="G31">
        <v>804</v>
      </c>
    </row>
    <row r="32" spans="1:7" x14ac:dyDescent="0.2">
      <c r="A32" t="s">
        <v>89</v>
      </c>
      <c r="B32" t="s">
        <v>65</v>
      </c>
      <c r="C32">
        <v>836</v>
      </c>
      <c r="D32">
        <v>1.08</v>
      </c>
      <c r="E32" s="3">
        <f t="shared" si="0"/>
        <v>8.0000000000000071E-2</v>
      </c>
      <c r="F32">
        <v>65</v>
      </c>
      <c r="G32">
        <v>901</v>
      </c>
    </row>
    <row r="33" spans="1:7" x14ac:dyDescent="0.2">
      <c r="A33" t="s">
        <v>89</v>
      </c>
      <c r="B33" t="s">
        <v>66</v>
      </c>
      <c r="C33">
        <v>836</v>
      </c>
      <c r="D33">
        <v>1.04</v>
      </c>
      <c r="E33" s="3">
        <f t="shared" si="0"/>
        <v>4.0000000000000036E-2</v>
      </c>
      <c r="F33">
        <v>35</v>
      </c>
      <c r="G33">
        <v>871</v>
      </c>
    </row>
    <row r="34" spans="1:7" x14ac:dyDescent="0.2">
      <c r="A34" t="s">
        <v>90</v>
      </c>
      <c r="B34" t="s">
        <v>67</v>
      </c>
      <c r="C34">
        <v>836</v>
      </c>
      <c r="D34">
        <v>0.98</v>
      </c>
      <c r="E34" s="3">
        <f t="shared" si="0"/>
        <v>-2.0000000000000018E-2</v>
      </c>
      <c r="F34">
        <v>-13</v>
      </c>
      <c r="G34">
        <v>823</v>
      </c>
    </row>
    <row r="35" spans="1:7" x14ac:dyDescent="0.2">
      <c r="A35" t="s">
        <v>91</v>
      </c>
      <c r="B35" t="s">
        <v>39</v>
      </c>
      <c r="C35">
        <v>836</v>
      </c>
      <c r="D35">
        <v>0.98</v>
      </c>
      <c r="E35" s="3">
        <f t="shared" si="0"/>
        <v>-2.0000000000000018E-2</v>
      </c>
      <c r="F35">
        <v>-16</v>
      </c>
      <c r="G35">
        <v>820</v>
      </c>
    </row>
    <row r="36" spans="1:7" x14ac:dyDescent="0.2">
      <c r="A36" t="s">
        <v>92</v>
      </c>
      <c r="B36" t="s">
        <v>40</v>
      </c>
      <c r="C36">
        <v>836</v>
      </c>
      <c r="D36">
        <v>1.02</v>
      </c>
      <c r="E36" s="3">
        <f t="shared" si="0"/>
        <v>2.0000000000000018E-2</v>
      </c>
      <c r="F36">
        <v>20</v>
      </c>
      <c r="G36">
        <v>856</v>
      </c>
    </row>
    <row r="37" spans="1:7" x14ac:dyDescent="0.2">
      <c r="A37" t="s">
        <v>93</v>
      </c>
      <c r="B37" t="s">
        <v>41</v>
      </c>
      <c r="C37">
        <v>836</v>
      </c>
      <c r="D37">
        <v>1.19</v>
      </c>
      <c r="E37" s="3">
        <f t="shared" si="0"/>
        <v>0.18999999999999995</v>
      </c>
      <c r="F37">
        <v>160</v>
      </c>
      <c r="G37">
        <v>996</v>
      </c>
    </row>
    <row r="38" spans="1:7" x14ac:dyDescent="0.2">
      <c r="A38" t="s">
        <v>94</v>
      </c>
      <c r="B38" t="s">
        <v>42</v>
      </c>
      <c r="C38">
        <v>836</v>
      </c>
      <c r="D38">
        <v>1.01</v>
      </c>
      <c r="E38" s="3">
        <f t="shared" si="0"/>
        <v>1.0000000000000009E-2</v>
      </c>
      <c r="F38">
        <v>9</v>
      </c>
      <c r="G38">
        <v>845</v>
      </c>
    </row>
    <row r="39" spans="1:7" x14ac:dyDescent="0.2">
      <c r="A39" t="s">
        <v>68</v>
      </c>
      <c r="B39" t="s">
        <v>68</v>
      </c>
      <c r="C39">
        <v>836</v>
      </c>
      <c r="D39">
        <v>1.36</v>
      </c>
      <c r="E39" s="3">
        <f t="shared" si="0"/>
        <v>0.3600000000000001</v>
      </c>
      <c r="F39">
        <v>297</v>
      </c>
      <c r="G39">
        <v>1133</v>
      </c>
    </row>
    <row r="40" spans="1:7" x14ac:dyDescent="0.2">
      <c r="A40" t="s">
        <v>68</v>
      </c>
      <c r="B40" t="s">
        <v>43</v>
      </c>
      <c r="C40">
        <v>836</v>
      </c>
      <c r="D40">
        <v>1.04</v>
      </c>
      <c r="E40" s="3">
        <f t="shared" si="0"/>
        <v>4.0000000000000036E-2</v>
      </c>
      <c r="F40">
        <v>37</v>
      </c>
      <c r="G40">
        <v>873</v>
      </c>
    </row>
    <row r="41" spans="1:7" x14ac:dyDescent="0.2">
      <c r="A41" t="s">
        <v>95</v>
      </c>
      <c r="B41" t="s">
        <v>69</v>
      </c>
      <c r="C41">
        <v>836</v>
      </c>
      <c r="D41">
        <v>1.1000000000000001</v>
      </c>
      <c r="E41" s="3">
        <f t="shared" si="0"/>
        <v>0.10000000000000009</v>
      </c>
      <c r="F41">
        <v>86</v>
      </c>
      <c r="G41">
        <v>922</v>
      </c>
    </row>
    <row r="42" spans="1:7" x14ac:dyDescent="0.2">
      <c r="A42" t="s">
        <v>96</v>
      </c>
      <c r="B42" t="s">
        <v>44</v>
      </c>
      <c r="C42">
        <v>836</v>
      </c>
      <c r="D42">
        <v>0.99</v>
      </c>
      <c r="E42" s="3">
        <f t="shared" si="0"/>
        <v>-1.0000000000000009E-2</v>
      </c>
      <c r="F42">
        <v>-12</v>
      </c>
      <c r="G42">
        <v>824</v>
      </c>
    </row>
    <row r="43" spans="1:7" x14ac:dyDescent="0.2">
      <c r="A43" t="s">
        <v>97</v>
      </c>
      <c r="B43" t="s">
        <v>45</v>
      </c>
      <c r="C43">
        <v>836</v>
      </c>
      <c r="D43">
        <v>1.02</v>
      </c>
      <c r="E43" s="3">
        <f t="shared" si="0"/>
        <v>2.0000000000000018E-2</v>
      </c>
      <c r="F43">
        <v>13</v>
      </c>
      <c r="G43">
        <v>849</v>
      </c>
    </row>
    <row r="44" spans="1:7" x14ac:dyDescent="0.2">
      <c r="A44" t="s">
        <v>98</v>
      </c>
      <c r="B44" t="s">
        <v>46</v>
      </c>
      <c r="C44">
        <v>836</v>
      </c>
      <c r="D44">
        <v>0.98</v>
      </c>
      <c r="E44" s="3">
        <f t="shared" si="0"/>
        <v>-2.0000000000000018E-2</v>
      </c>
      <c r="F44">
        <v>-17</v>
      </c>
      <c r="G44">
        <v>819</v>
      </c>
    </row>
    <row r="45" spans="1:7" x14ac:dyDescent="0.2">
      <c r="A45" t="s">
        <v>47</v>
      </c>
      <c r="B45" t="s">
        <v>70</v>
      </c>
      <c r="C45">
        <v>836</v>
      </c>
      <c r="D45">
        <v>0.96</v>
      </c>
      <c r="E45" s="3">
        <f t="shared" si="0"/>
        <v>-4.0000000000000036E-2</v>
      </c>
      <c r="F45">
        <v>-30</v>
      </c>
      <c r="G45">
        <v>806</v>
      </c>
    </row>
    <row r="46" spans="1:7" x14ac:dyDescent="0.2">
      <c r="A46" t="s">
        <v>99</v>
      </c>
      <c r="B46" t="s">
        <v>34</v>
      </c>
      <c r="C46">
        <v>836</v>
      </c>
      <c r="D46">
        <v>1.1000000000000001</v>
      </c>
      <c r="E46" s="3">
        <f t="shared" si="0"/>
        <v>0.10000000000000009</v>
      </c>
      <c r="F46">
        <v>79</v>
      </c>
      <c r="G46">
        <v>915</v>
      </c>
    </row>
    <row r="47" spans="1:7" x14ac:dyDescent="0.2">
      <c r="A47" t="s">
        <v>100</v>
      </c>
      <c r="B47" t="s">
        <v>71</v>
      </c>
      <c r="C47">
        <v>836</v>
      </c>
      <c r="D47">
        <v>1.18</v>
      </c>
      <c r="E47" s="3">
        <f t="shared" si="0"/>
        <v>0.17999999999999994</v>
      </c>
      <c r="F47">
        <v>152</v>
      </c>
      <c r="G47">
        <v>988</v>
      </c>
    </row>
    <row r="48" spans="1:7" x14ac:dyDescent="0.2">
      <c r="A48" t="s">
        <v>100</v>
      </c>
      <c r="B48" t="s">
        <v>48</v>
      </c>
      <c r="C48">
        <v>836</v>
      </c>
      <c r="D48">
        <v>1.03</v>
      </c>
      <c r="E48" s="3">
        <f t="shared" si="0"/>
        <v>3.0000000000000027E-2</v>
      </c>
      <c r="F48">
        <v>26</v>
      </c>
      <c r="G48">
        <v>862</v>
      </c>
    </row>
    <row r="49" spans="1:7" x14ac:dyDescent="0.2">
      <c r="A49" t="s">
        <v>101</v>
      </c>
      <c r="B49" t="s">
        <v>49</v>
      </c>
      <c r="C49">
        <v>836</v>
      </c>
      <c r="D49">
        <v>1.0900000000000001</v>
      </c>
      <c r="E49" s="3">
        <f t="shared" si="0"/>
        <v>9.000000000000008E-2</v>
      </c>
      <c r="F49">
        <v>75</v>
      </c>
      <c r="G49">
        <v>911</v>
      </c>
    </row>
    <row r="50" spans="1:7" x14ac:dyDescent="0.2">
      <c r="A50" t="s">
        <v>102</v>
      </c>
      <c r="B50" t="s">
        <v>50</v>
      </c>
      <c r="C50">
        <v>836</v>
      </c>
      <c r="D50">
        <v>0.97</v>
      </c>
      <c r="E50" s="3">
        <f t="shared" si="0"/>
        <v>-3.0000000000000027E-2</v>
      </c>
      <c r="F50">
        <v>-25</v>
      </c>
      <c r="G50">
        <v>811</v>
      </c>
    </row>
    <row r="51" spans="1:7" x14ac:dyDescent="0.2">
      <c r="A51" t="s">
        <v>103</v>
      </c>
      <c r="B51" t="s">
        <v>72</v>
      </c>
      <c r="C51">
        <v>836</v>
      </c>
      <c r="D51">
        <v>0.99</v>
      </c>
      <c r="E51" s="3">
        <f t="shared" si="0"/>
        <v>-1.0000000000000009E-2</v>
      </c>
      <c r="F51">
        <v>-6</v>
      </c>
      <c r="G51">
        <v>830</v>
      </c>
    </row>
    <row r="52" spans="1:7" x14ac:dyDescent="0.2">
      <c r="A52" t="s">
        <v>104</v>
      </c>
      <c r="B52" t="s">
        <v>51</v>
      </c>
      <c r="C52">
        <v>836</v>
      </c>
      <c r="D52">
        <v>1</v>
      </c>
      <c r="E52" s="3">
        <f t="shared" si="0"/>
        <v>0</v>
      </c>
      <c r="F52">
        <v>-3</v>
      </c>
      <c r="G52">
        <v>833</v>
      </c>
    </row>
    <row r="53" spans="1:7" x14ac:dyDescent="0.2">
      <c r="A53" t="s">
        <v>105</v>
      </c>
      <c r="B53" t="s">
        <v>52</v>
      </c>
      <c r="C53">
        <v>836</v>
      </c>
      <c r="D53">
        <v>0.94</v>
      </c>
      <c r="E53" s="3">
        <f t="shared" si="0"/>
        <v>-6.0000000000000053E-2</v>
      </c>
      <c r="F53">
        <v>-53</v>
      </c>
      <c r="G53">
        <v>783</v>
      </c>
    </row>
    <row r="54" spans="1:7" x14ac:dyDescent="0.2">
      <c r="A54" t="s">
        <v>106</v>
      </c>
      <c r="B54" t="s">
        <v>73</v>
      </c>
      <c r="C54">
        <v>836</v>
      </c>
      <c r="D54">
        <v>0.99</v>
      </c>
      <c r="E54" s="3">
        <f t="shared" si="0"/>
        <v>-1.0000000000000009E-2</v>
      </c>
      <c r="F54">
        <v>-7</v>
      </c>
      <c r="G54">
        <v>829</v>
      </c>
    </row>
    <row r="55" spans="1:7" x14ac:dyDescent="0.2">
      <c r="A55" t="s">
        <v>107</v>
      </c>
      <c r="B55" t="s">
        <v>53</v>
      </c>
      <c r="C55">
        <v>836</v>
      </c>
      <c r="D55">
        <v>1.04</v>
      </c>
      <c r="E55" s="3">
        <f t="shared" si="0"/>
        <v>4.0000000000000036E-2</v>
      </c>
      <c r="F55">
        <v>35</v>
      </c>
      <c r="G55">
        <v>871</v>
      </c>
    </row>
    <row r="56" spans="1:7" x14ac:dyDescent="0.2">
      <c r="A56" t="s">
        <v>108</v>
      </c>
      <c r="B56" t="s">
        <v>54</v>
      </c>
      <c r="C56">
        <v>836</v>
      </c>
      <c r="D56">
        <v>1.01</v>
      </c>
      <c r="E56" s="3">
        <f t="shared" si="0"/>
        <v>1.0000000000000009E-2</v>
      </c>
      <c r="F56">
        <v>9</v>
      </c>
      <c r="G56">
        <v>845</v>
      </c>
    </row>
    <row r="57" spans="1:7" x14ac:dyDescent="0.2">
      <c r="A57" t="s">
        <v>108</v>
      </c>
      <c r="B57" t="s">
        <v>55</v>
      </c>
      <c r="C57">
        <v>836</v>
      </c>
      <c r="D57">
        <v>0.98</v>
      </c>
      <c r="E57" s="3">
        <f t="shared" si="0"/>
        <v>-2.0000000000000018E-2</v>
      </c>
      <c r="F57">
        <v>-14</v>
      </c>
      <c r="G57">
        <v>822</v>
      </c>
    </row>
    <row r="58" spans="1:7" x14ac:dyDescent="0.2">
      <c r="A58" t="s">
        <v>23</v>
      </c>
      <c r="B58" t="s">
        <v>56</v>
      </c>
      <c r="C58">
        <v>836</v>
      </c>
      <c r="D58">
        <v>1.1499999999999999</v>
      </c>
      <c r="E58" s="3">
        <f t="shared" si="0"/>
        <v>0.14999999999999991</v>
      </c>
      <c r="F58">
        <v>121</v>
      </c>
      <c r="G58">
        <v>957</v>
      </c>
    </row>
    <row r="59" spans="1:7" x14ac:dyDescent="0.2">
      <c r="A59" t="s">
        <v>23</v>
      </c>
      <c r="B59" t="s">
        <v>57</v>
      </c>
      <c r="C59">
        <v>836</v>
      </c>
      <c r="D59">
        <v>1.03</v>
      </c>
      <c r="E59" s="3">
        <f t="shared" si="0"/>
        <v>3.0000000000000027E-2</v>
      </c>
      <c r="F59">
        <v>27</v>
      </c>
      <c r="G59">
        <v>863</v>
      </c>
    </row>
    <row r="60" spans="1:7" x14ac:dyDescent="0.2">
      <c r="A60" t="s">
        <v>109</v>
      </c>
      <c r="B60" t="s">
        <v>50</v>
      </c>
      <c r="C60">
        <v>836</v>
      </c>
      <c r="D60">
        <v>1.01</v>
      </c>
      <c r="E60" s="3">
        <f t="shared" si="0"/>
        <v>1.0000000000000009E-2</v>
      </c>
      <c r="F60">
        <v>9</v>
      </c>
      <c r="G60">
        <v>845</v>
      </c>
    </row>
    <row r="61" spans="1:7" x14ac:dyDescent="0.2">
      <c r="A61" t="s">
        <v>110</v>
      </c>
      <c r="B61" t="s">
        <v>74</v>
      </c>
      <c r="C61">
        <v>836</v>
      </c>
      <c r="D61">
        <v>1.06</v>
      </c>
      <c r="E61" s="3">
        <f t="shared" si="0"/>
        <v>6.0000000000000053E-2</v>
      </c>
      <c r="F61">
        <v>48</v>
      </c>
      <c r="G61">
        <v>884</v>
      </c>
    </row>
    <row r="62" spans="1:7" x14ac:dyDescent="0.2">
      <c r="A62" t="s">
        <v>111</v>
      </c>
      <c r="B62" t="s">
        <v>58</v>
      </c>
      <c r="C62">
        <v>836</v>
      </c>
      <c r="D62">
        <v>0.99</v>
      </c>
      <c r="E62" s="3">
        <f t="shared" si="0"/>
        <v>-1.0000000000000009E-2</v>
      </c>
      <c r="F62">
        <v>-8</v>
      </c>
      <c r="G62">
        <v>828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15C2-EF0A-7547-AEE6-1E3DC1853739}">
  <dimension ref="A1:BQ62"/>
  <sheetViews>
    <sheetView workbookViewId="0">
      <selection activeCell="E2" sqref="E2"/>
    </sheetView>
  </sheetViews>
  <sheetFormatPr baseColWidth="10" defaultRowHeight="16" x14ac:dyDescent="0.2"/>
  <cols>
    <col min="1" max="1" width="17.5" bestFit="1" customWidth="1"/>
    <col min="2" max="2" width="13.33203125" bestFit="1" customWidth="1"/>
    <col min="3" max="3" width="22.33203125" bestFit="1" customWidth="1"/>
    <col min="4" max="4" width="16.33203125" bestFit="1" customWidth="1"/>
    <col min="5" max="5" width="16.33203125" customWidth="1"/>
    <col min="6" max="6" width="25.5" bestFit="1" customWidth="1"/>
    <col min="7" max="7" width="29.5" bestFit="1" customWidth="1"/>
  </cols>
  <sheetData>
    <row r="1" spans="1:69" x14ac:dyDescent="0.2">
      <c r="A1" s="2" t="s">
        <v>13</v>
      </c>
      <c r="B1" s="2" t="s">
        <v>12</v>
      </c>
      <c r="C1" s="2" t="s">
        <v>11</v>
      </c>
      <c r="D1" s="2" t="s">
        <v>10</v>
      </c>
      <c r="E1" s="2"/>
      <c r="F1" s="2" t="s">
        <v>9</v>
      </c>
      <c r="G1" s="2" t="s">
        <v>8</v>
      </c>
    </row>
    <row r="2" spans="1:69" x14ac:dyDescent="0.2">
      <c r="A2" t="s">
        <v>0</v>
      </c>
      <c r="B2" t="s">
        <v>15</v>
      </c>
      <c r="C2" cm="1">
        <f t="array" ref="C2:C62">TRANSPOSE(I3:BQ3)</f>
        <v>1489</v>
      </c>
      <c r="D2" cm="1">
        <f t="array" ref="D2:D62">TRANSPOSE(I4:BQ4)</f>
        <v>0.99</v>
      </c>
      <c r="E2" s="3">
        <f>D2-1</f>
        <v>-1.0000000000000009E-2</v>
      </c>
      <c r="F2" cm="1">
        <f t="array" ref="F2:F62">TRANSPOSE(I5:BQ5)</f>
        <v>-18</v>
      </c>
      <c r="G2" cm="1">
        <f t="array" ref="G2:G62">TRANSPOSE(I6:BQ6)</f>
        <v>1471</v>
      </c>
    </row>
    <row r="3" spans="1:69" x14ac:dyDescent="0.2">
      <c r="A3" t="s">
        <v>1</v>
      </c>
      <c r="B3" t="s">
        <v>16</v>
      </c>
      <c r="C3">
        <v>1489</v>
      </c>
      <c r="D3">
        <v>1</v>
      </c>
      <c r="E3" s="3">
        <f t="shared" ref="E3:E62" si="0">D3-1</f>
        <v>0</v>
      </c>
      <c r="F3">
        <v>-8</v>
      </c>
      <c r="G3">
        <v>1481</v>
      </c>
      <c r="I3" s="1">
        <v>1489</v>
      </c>
      <c r="J3" s="1">
        <v>1489</v>
      </c>
      <c r="K3" s="1">
        <v>1489</v>
      </c>
      <c r="L3" s="1">
        <v>1489</v>
      </c>
      <c r="M3" s="1">
        <v>1489</v>
      </c>
      <c r="N3" s="1">
        <v>1489</v>
      </c>
      <c r="O3" s="1">
        <v>1489</v>
      </c>
      <c r="P3" s="1">
        <v>1489</v>
      </c>
      <c r="Q3" s="1">
        <v>1489</v>
      </c>
      <c r="R3" s="1">
        <v>1489</v>
      </c>
      <c r="S3" s="1">
        <v>1489</v>
      </c>
      <c r="T3" s="1">
        <v>1489</v>
      </c>
      <c r="U3" s="1">
        <v>1489</v>
      </c>
      <c r="V3" s="1">
        <v>1489</v>
      </c>
      <c r="W3" s="1">
        <v>1489</v>
      </c>
      <c r="X3" s="1">
        <v>1489</v>
      </c>
      <c r="Y3" s="1">
        <v>1489</v>
      </c>
      <c r="Z3" s="1">
        <v>1489</v>
      </c>
      <c r="AA3" s="1">
        <v>1489</v>
      </c>
      <c r="AB3" s="1">
        <v>1489</v>
      </c>
      <c r="AC3" s="1">
        <v>1489</v>
      </c>
      <c r="AD3" s="1">
        <v>1489</v>
      </c>
      <c r="AE3" s="1">
        <v>1489</v>
      </c>
      <c r="AF3" s="1">
        <v>1489</v>
      </c>
      <c r="AG3" s="1">
        <v>1489</v>
      </c>
      <c r="AH3" s="1">
        <v>1489</v>
      </c>
      <c r="AI3" s="1">
        <v>1489</v>
      </c>
      <c r="AJ3" s="1">
        <v>1489</v>
      </c>
      <c r="AK3" s="1">
        <v>1489</v>
      </c>
      <c r="AL3" s="1">
        <v>1489</v>
      </c>
      <c r="AM3" s="1">
        <v>1489</v>
      </c>
      <c r="AN3" s="1">
        <v>1489</v>
      </c>
      <c r="AO3" s="1">
        <v>1489</v>
      </c>
      <c r="AP3" s="1">
        <v>1489</v>
      </c>
      <c r="AQ3" s="1">
        <v>1489</v>
      </c>
      <c r="AR3" s="1">
        <v>1489</v>
      </c>
      <c r="AS3" s="1">
        <v>1489</v>
      </c>
      <c r="AT3" s="1">
        <v>1489</v>
      </c>
      <c r="AU3" s="1">
        <v>1489</v>
      </c>
      <c r="AV3" s="1">
        <v>1489</v>
      </c>
      <c r="AW3" s="1">
        <v>1489</v>
      </c>
      <c r="AX3" s="1">
        <v>1489</v>
      </c>
      <c r="AY3" s="1">
        <v>1489</v>
      </c>
      <c r="AZ3" s="1">
        <v>1489</v>
      </c>
      <c r="BA3" s="1">
        <v>1489</v>
      </c>
      <c r="BB3" s="1">
        <v>1489</v>
      </c>
      <c r="BC3" s="1">
        <v>1489</v>
      </c>
      <c r="BD3" s="1">
        <v>1489</v>
      </c>
      <c r="BE3" s="1">
        <v>1489</v>
      </c>
      <c r="BF3" s="1">
        <v>1489</v>
      </c>
      <c r="BG3" s="1">
        <v>1489</v>
      </c>
      <c r="BH3" s="1">
        <v>1489</v>
      </c>
      <c r="BI3" s="1">
        <v>1489</v>
      </c>
      <c r="BJ3" s="1">
        <v>1489</v>
      </c>
      <c r="BK3" s="1">
        <v>1489</v>
      </c>
      <c r="BL3" s="1">
        <v>1489</v>
      </c>
      <c r="BM3" s="1">
        <v>1489</v>
      </c>
      <c r="BN3" s="1">
        <v>1489</v>
      </c>
      <c r="BO3" s="1">
        <v>1489</v>
      </c>
      <c r="BP3" s="1">
        <v>1489</v>
      </c>
      <c r="BQ3" s="1">
        <v>1489</v>
      </c>
    </row>
    <row r="4" spans="1:69" x14ac:dyDescent="0.2">
      <c r="A4" t="s">
        <v>2</v>
      </c>
      <c r="B4" t="s">
        <v>59</v>
      </c>
      <c r="C4">
        <v>1489</v>
      </c>
      <c r="D4">
        <v>1</v>
      </c>
      <c r="E4" s="3">
        <f t="shared" si="0"/>
        <v>0</v>
      </c>
      <c r="F4">
        <v>5</v>
      </c>
      <c r="G4">
        <v>1494</v>
      </c>
      <c r="I4">
        <v>0.99</v>
      </c>
      <c r="J4">
        <v>1</v>
      </c>
      <c r="K4">
        <v>1</v>
      </c>
      <c r="L4">
        <v>1.1499999999999999</v>
      </c>
      <c r="M4">
        <v>1.18</v>
      </c>
      <c r="N4">
        <v>1.1599999999999999</v>
      </c>
      <c r="O4">
        <v>1.18</v>
      </c>
      <c r="P4">
        <v>1.28</v>
      </c>
      <c r="Q4">
        <v>0.98</v>
      </c>
      <c r="R4">
        <v>1.1100000000000001</v>
      </c>
      <c r="S4">
        <v>1.07</v>
      </c>
      <c r="T4">
        <v>1.03</v>
      </c>
      <c r="U4">
        <v>0.96</v>
      </c>
      <c r="V4">
        <v>0.97</v>
      </c>
      <c r="W4">
        <v>1.01</v>
      </c>
      <c r="X4">
        <v>1.02</v>
      </c>
      <c r="Y4">
        <v>1.2</v>
      </c>
      <c r="Z4">
        <v>1.02</v>
      </c>
      <c r="AA4">
        <v>1.02</v>
      </c>
      <c r="AB4">
        <v>0.98</v>
      </c>
      <c r="AC4">
        <v>0.98</v>
      </c>
      <c r="AD4">
        <v>1.01</v>
      </c>
      <c r="AE4">
        <v>1.02</v>
      </c>
      <c r="AF4">
        <v>1.01</v>
      </c>
      <c r="AG4">
        <v>1.01</v>
      </c>
      <c r="AH4">
        <v>1.18</v>
      </c>
      <c r="AI4">
        <v>1.06</v>
      </c>
      <c r="AJ4">
        <v>1</v>
      </c>
      <c r="AK4">
        <v>1.07</v>
      </c>
      <c r="AL4">
        <v>0.97</v>
      </c>
      <c r="AM4">
        <v>1.1000000000000001</v>
      </c>
      <c r="AN4">
        <v>1.04</v>
      </c>
      <c r="AO4">
        <v>0.98</v>
      </c>
      <c r="AP4">
        <v>0.98</v>
      </c>
      <c r="AQ4">
        <v>1.04</v>
      </c>
      <c r="AR4">
        <v>1.19</v>
      </c>
      <c r="AS4">
        <v>1.02</v>
      </c>
      <c r="AT4">
        <v>1.34</v>
      </c>
      <c r="AU4">
        <v>1.05</v>
      </c>
      <c r="AV4">
        <v>1.1200000000000001</v>
      </c>
      <c r="AW4">
        <v>0.99</v>
      </c>
      <c r="AX4">
        <v>1</v>
      </c>
      <c r="AY4">
        <v>0.98</v>
      </c>
      <c r="AZ4">
        <v>0.97</v>
      </c>
      <c r="BA4">
        <v>1.1100000000000001</v>
      </c>
      <c r="BB4">
        <v>1.18</v>
      </c>
      <c r="BC4">
        <v>1.03</v>
      </c>
      <c r="BD4">
        <v>1.0900000000000001</v>
      </c>
      <c r="BE4">
        <v>1.01</v>
      </c>
      <c r="BF4">
        <v>0.99</v>
      </c>
      <c r="BG4">
        <v>1.02</v>
      </c>
      <c r="BH4">
        <v>0.95</v>
      </c>
      <c r="BI4">
        <v>1.01</v>
      </c>
      <c r="BJ4">
        <v>1.07</v>
      </c>
      <c r="BK4">
        <v>1.02</v>
      </c>
      <c r="BL4">
        <v>0.98</v>
      </c>
      <c r="BM4">
        <v>1.1599999999999999</v>
      </c>
      <c r="BN4">
        <v>1.04</v>
      </c>
      <c r="BO4">
        <v>1</v>
      </c>
      <c r="BP4">
        <v>1.05</v>
      </c>
      <c r="BQ4">
        <v>0.98</v>
      </c>
    </row>
    <row r="5" spans="1:69" x14ac:dyDescent="0.2">
      <c r="A5" t="s">
        <v>3</v>
      </c>
      <c r="B5" t="s">
        <v>17</v>
      </c>
      <c r="C5">
        <v>1489</v>
      </c>
      <c r="D5">
        <v>1.1499999999999999</v>
      </c>
      <c r="E5" s="3">
        <f t="shared" si="0"/>
        <v>0.14999999999999991</v>
      </c>
      <c r="F5">
        <v>218</v>
      </c>
      <c r="G5">
        <v>1707</v>
      </c>
      <c r="I5">
        <v>-18</v>
      </c>
      <c r="J5">
        <v>-8</v>
      </c>
      <c r="K5">
        <v>5</v>
      </c>
      <c r="L5">
        <v>218</v>
      </c>
      <c r="M5">
        <v>274</v>
      </c>
      <c r="N5">
        <v>244</v>
      </c>
      <c r="O5">
        <v>268</v>
      </c>
      <c r="P5">
        <v>420</v>
      </c>
      <c r="Q5">
        <v>-31</v>
      </c>
      <c r="R5">
        <v>167</v>
      </c>
      <c r="S5">
        <v>102</v>
      </c>
      <c r="T5">
        <v>38</v>
      </c>
      <c r="U5">
        <v>-54</v>
      </c>
      <c r="V5">
        <v>-38</v>
      </c>
      <c r="W5">
        <v>16</v>
      </c>
      <c r="X5">
        <v>34</v>
      </c>
      <c r="Y5">
        <v>304</v>
      </c>
      <c r="Z5">
        <v>26</v>
      </c>
      <c r="AA5">
        <v>24</v>
      </c>
      <c r="AB5">
        <v>-24</v>
      </c>
      <c r="AC5">
        <v>-27</v>
      </c>
      <c r="AD5">
        <v>12</v>
      </c>
      <c r="AE5">
        <v>23</v>
      </c>
      <c r="AF5">
        <v>17</v>
      </c>
      <c r="AG5">
        <v>15</v>
      </c>
      <c r="AH5">
        <v>273</v>
      </c>
      <c r="AI5">
        <v>92</v>
      </c>
      <c r="AJ5">
        <v>1</v>
      </c>
      <c r="AK5">
        <v>104</v>
      </c>
      <c r="AL5">
        <v>-51</v>
      </c>
      <c r="AM5">
        <v>152</v>
      </c>
      <c r="AN5">
        <v>60</v>
      </c>
      <c r="AO5">
        <v>-25</v>
      </c>
      <c r="AP5">
        <v>-26</v>
      </c>
      <c r="AQ5">
        <v>54</v>
      </c>
      <c r="AR5">
        <v>284</v>
      </c>
      <c r="AS5">
        <v>33</v>
      </c>
      <c r="AT5">
        <v>501</v>
      </c>
      <c r="AU5">
        <v>78</v>
      </c>
      <c r="AV5">
        <v>181</v>
      </c>
      <c r="AW5">
        <v>-21</v>
      </c>
      <c r="AX5">
        <v>2</v>
      </c>
      <c r="AY5">
        <v>-34</v>
      </c>
      <c r="AZ5">
        <v>-47</v>
      </c>
      <c r="BA5">
        <v>161</v>
      </c>
      <c r="BB5">
        <v>265</v>
      </c>
      <c r="BC5">
        <v>41</v>
      </c>
      <c r="BD5">
        <v>140</v>
      </c>
      <c r="BE5">
        <v>20</v>
      </c>
      <c r="BF5">
        <v>-21</v>
      </c>
      <c r="BG5">
        <v>23</v>
      </c>
      <c r="BH5">
        <v>-81</v>
      </c>
      <c r="BI5">
        <v>14</v>
      </c>
      <c r="BJ5">
        <v>105</v>
      </c>
      <c r="BK5">
        <v>25</v>
      </c>
      <c r="BL5">
        <v>-24</v>
      </c>
      <c r="BM5">
        <v>238</v>
      </c>
      <c r="BN5">
        <v>56</v>
      </c>
      <c r="BO5">
        <v>6</v>
      </c>
      <c r="BP5">
        <v>76</v>
      </c>
      <c r="BQ5">
        <v>-26</v>
      </c>
    </row>
    <row r="6" spans="1:69" x14ac:dyDescent="0.2">
      <c r="A6" t="s">
        <v>3</v>
      </c>
      <c r="B6" t="s">
        <v>60</v>
      </c>
      <c r="C6">
        <v>1489</v>
      </c>
      <c r="D6">
        <v>1.18</v>
      </c>
      <c r="E6" s="3">
        <f t="shared" si="0"/>
        <v>0.17999999999999994</v>
      </c>
      <c r="F6">
        <v>274</v>
      </c>
      <c r="G6">
        <v>1763</v>
      </c>
      <c r="I6">
        <v>1471</v>
      </c>
      <c r="J6">
        <v>1481</v>
      </c>
      <c r="K6">
        <v>1494</v>
      </c>
      <c r="L6">
        <v>1707</v>
      </c>
      <c r="M6">
        <v>1763</v>
      </c>
      <c r="N6">
        <v>1733</v>
      </c>
      <c r="O6">
        <v>1757</v>
      </c>
      <c r="P6">
        <v>1909</v>
      </c>
      <c r="Q6">
        <v>1458</v>
      </c>
      <c r="R6">
        <v>1656</v>
      </c>
      <c r="S6">
        <v>1591</v>
      </c>
      <c r="T6">
        <v>1527</v>
      </c>
      <c r="U6">
        <v>1435</v>
      </c>
      <c r="V6">
        <v>1451</v>
      </c>
      <c r="W6">
        <v>1505</v>
      </c>
      <c r="X6">
        <v>1523</v>
      </c>
      <c r="Y6">
        <v>1793</v>
      </c>
      <c r="Z6">
        <v>1515</v>
      </c>
      <c r="AA6">
        <v>1513</v>
      </c>
      <c r="AB6">
        <v>1465</v>
      </c>
      <c r="AC6">
        <v>1462</v>
      </c>
      <c r="AD6">
        <v>1501</v>
      </c>
      <c r="AE6">
        <v>1512</v>
      </c>
      <c r="AF6">
        <v>1506</v>
      </c>
      <c r="AG6">
        <v>1504</v>
      </c>
      <c r="AH6">
        <v>1762</v>
      </c>
      <c r="AI6">
        <v>1581</v>
      </c>
      <c r="AJ6">
        <v>1490</v>
      </c>
      <c r="AK6">
        <v>1593</v>
      </c>
      <c r="AL6">
        <v>1438</v>
      </c>
      <c r="AM6">
        <v>1641</v>
      </c>
      <c r="AN6">
        <v>1549</v>
      </c>
      <c r="AO6">
        <v>1464</v>
      </c>
      <c r="AP6">
        <v>1463</v>
      </c>
      <c r="AQ6">
        <v>1543</v>
      </c>
      <c r="AR6">
        <v>1773</v>
      </c>
      <c r="AS6">
        <v>1522</v>
      </c>
      <c r="AT6">
        <v>1990</v>
      </c>
      <c r="AU6">
        <v>1567</v>
      </c>
      <c r="AV6">
        <v>1670</v>
      </c>
      <c r="AW6">
        <v>1468</v>
      </c>
      <c r="AX6">
        <v>1491</v>
      </c>
      <c r="AY6">
        <v>1455</v>
      </c>
      <c r="AZ6">
        <v>1442</v>
      </c>
      <c r="BA6">
        <v>1650</v>
      </c>
      <c r="BB6">
        <v>1754</v>
      </c>
      <c r="BC6">
        <v>1530</v>
      </c>
      <c r="BD6">
        <v>1629</v>
      </c>
      <c r="BE6">
        <v>1509</v>
      </c>
      <c r="BF6">
        <v>1468</v>
      </c>
      <c r="BG6">
        <v>1512</v>
      </c>
      <c r="BH6">
        <v>1408</v>
      </c>
      <c r="BI6">
        <v>1503</v>
      </c>
      <c r="BJ6">
        <v>1594</v>
      </c>
      <c r="BK6">
        <v>1514</v>
      </c>
      <c r="BL6">
        <v>1465</v>
      </c>
      <c r="BM6">
        <v>1727</v>
      </c>
      <c r="BN6">
        <v>1545</v>
      </c>
      <c r="BO6">
        <v>1495</v>
      </c>
      <c r="BP6">
        <v>1565</v>
      </c>
      <c r="BQ6">
        <v>1463</v>
      </c>
    </row>
    <row r="7" spans="1:69" x14ac:dyDescent="0.2">
      <c r="A7" t="s">
        <v>3</v>
      </c>
      <c r="B7" t="s">
        <v>18</v>
      </c>
      <c r="C7">
        <v>1489</v>
      </c>
      <c r="D7">
        <v>1.1599999999999999</v>
      </c>
      <c r="E7" s="3">
        <f t="shared" si="0"/>
        <v>0.15999999999999992</v>
      </c>
      <c r="F7">
        <v>244</v>
      </c>
      <c r="G7">
        <v>1733</v>
      </c>
    </row>
    <row r="8" spans="1:69" x14ac:dyDescent="0.2">
      <c r="A8" t="s">
        <v>3</v>
      </c>
      <c r="B8" t="s">
        <v>19</v>
      </c>
      <c r="C8">
        <v>1489</v>
      </c>
      <c r="D8">
        <v>1.18</v>
      </c>
      <c r="E8" s="3">
        <f t="shared" si="0"/>
        <v>0.17999999999999994</v>
      </c>
      <c r="F8">
        <v>268</v>
      </c>
      <c r="G8">
        <v>1757</v>
      </c>
    </row>
    <row r="9" spans="1:69" x14ac:dyDescent="0.2">
      <c r="A9" t="s">
        <v>3</v>
      </c>
      <c r="B9" t="s">
        <v>61</v>
      </c>
      <c r="C9">
        <v>1489</v>
      </c>
      <c r="D9">
        <v>1.28</v>
      </c>
      <c r="E9" s="3">
        <f t="shared" si="0"/>
        <v>0.28000000000000003</v>
      </c>
      <c r="F9">
        <v>420</v>
      </c>
      <c r="G9">
        <v>1909</v>
      </c>
    </row>
    <row r="10" spans="1:69" x14ac:dyDescent="0.2">
      <c r="A10" t="s">
        <v>75</v>
      </c>
      <c r="B10" t="s">
        <v>20</v>
      </c>
      <c r="C10">
        <v>1489</v>
      </c>
      <c r="D10">
        <v>0.98</v>
      </c>
      <c r="E10" s="3">
        <f t="shared" si="0"/>
        <v>-2.0000000000000018E-2</v>
      </c>
      <c r="F10">
        <v>-31</v>
      </c>
      <c r="G10">
        <v>1458</v>
      </c>
    </row>
    <row r="11" spans="1:69" x14ac:dyDescent="0.2">
      <c r="A11" t="s">
        <v>76</v>
      </c>
      <c r="B11" t="s">
        <v>21</v>
      </c>
      <c r="C11">
        <v>1489</v>
      </c>
      <c r="D11">
        <v>1.1100000000000001</v>
      </c>
      <c r="E11" s="3">
        <f t="shared" si="0"/>
        <v>0.1100000000000001</v>
      </c>
      <c r="F11">
        <v>167</v>
      </c>
      <c r="G11">
        <v>1656</v>
      </c>
    </row>
    <row r="12" spans="1:69" x14ac:dyDescent="0.2">
      <c r="A12" t="s">
        <v>77</v>
      </c>
      <c r="B12" t="s">
        <v>22</v>
      </c>
      <c r="C12">
        <v>1489</v>
      </c>
      <c r="D12">
        <v>1.07</v>
      </c>
      <c r="E12" s="3">
        <f t="shared" si="0"/>
        <v>7.0000000000000062E-2</v>
      </c>
      <c r="F12">
        <v>102</v>
      </c>
      <c r="G12">
        <v>1591</v>
      </c>
    </row>
    <row r="13" spans="1:69" x14ac:dyDescent="0.2">
      <c r="A13" t="s">
        <v>78</v>
      </c>
      <c r="B13" t="s">
        <v>23</v>
      </c>
      <c r="C13">
        <v>1489</v>
      </c>
      <c r="D13">
        <v>1.03</v>
      </c>
      <c r="E13" s="3">
        <f t="shared" si="0"/>
        <v>3.0000000000000027E-2</v>
      </c>
      <c r="F13">
        <v>38</v>
      </c>
      <c r="G13">
        <v>1527</v>
      </c>
    </row>
    <row r="14" spans="1:69" x14ac:dyDescent="0.2">
      <c r="A14" t="s">
        <v>79</v>
      </c>
      <c r="B14" t="s">
        <v>24</v>
      </c>
      <c r="C14">
        <v>1489</v>
      </c>
      <c r="D14">
        <v>0.96</v>
      </c>
      <c r="E14" s="3">
        <f t="shared" si="0"/>
        <v>-4.0000000000000036E-2</v>
      </c>
      <c r="F14">
        <v>-54</v>
      </c>
      <c r="G14">
        <v>1435</v>
      </c>
    </row>
    <row r="15" spans="1:69" x14ac:dyDescent="0.2">
      <c r="A15" t="s">
        <v>79</v>
      </c>
      <c r="B15" t="s">
        <v>25</v>
      </c>
      <c r="C15">
        <v>1489</v>
      </c>
      <c r="D15">
        <v>0.97</v>
      </c>
      <c r="E15" s="3">
        <f t="shared" si="0"/>
        <v>-3.0000000000000027E-2</v>
      </c>
      <c r="F15">
        <v>-38</v>
      </c>
      <c r="G15">
        <v>1451</v>
      </c>
    </row>
    <row r="16" spans="1:69" x14ac:dyDescent="0.2">
      <c r="A16" t="s">
        <v>80</v>
      </c>
      <c r="B16" t="s">
        <v>26</v>
      </c>
      <c r="C16">
        <v>1489</v>
      </c>
      <c r="D16">
        <v>1.01</v>
      </c>
      <c r="E16" s="3">
        <f t="shared" si="0"/>
        <v>1.0000000000000009E-2</v>
      </c>
      <c r="F16">
        <v>16</v>
      </c>
      <c r="G16">
        <v>1505</v>
      </c>
    </row>
    <row r="17" spans="1:7" x14ac:dyDescent="0.2">
      <c r="A17" t="s">
        <v>4</v>
      </c>
      <c r="B17" t="s">
        <v>27</v>
      </c>
      <c r="C17">
        <v>1489</v>
      </c>
      <c r="D17">
        <v>1.02</v>
      </c>
      <c r="E17" s="3">
        <f t="shared" si="0"/>
        <v>2.0000000000000018E-2</v>
      </c>
      <c r="F17">
        <v>34</v>
      </c>
      <c r="G17">
        <v>1523</v>
      </c>
    </row>
    <row r="18" spans="1:7" x14ac:dyDescent="0.2">
      <c r="A18" t="s">
        <v>5</v>
      </c>
      <c r="B18" t="s">
        <v>28</v>
      </c>
      <c r="C18">
        <v>1489</v>
      </c>
      <c r="D18">
        <v>1.2</v>
      </c>
      <c r="E18" s="3">
        <f t="shared" si="0"/>
        <v>0.19999999999999996</v>
      </c>
      <c r="F18">
        <v>304</v>
      </c>
      <c r="G18">
        <v>1793</v>
      </c>
    </row>
    <row r="19" spans="1:7" x14ac:dyDescent="0.2">
      <c r="A19" t="s">
        <v>6</v>
      </c>
      <c r="B19" t="s">
        <v>29</v>
      </c>
      <c r="C19">
        <v>1489</v>
      </c>
      <c r="D19">
        <v>1.02</v>
      </c>
      <c r="E19" s="3">
        <f t="shared" si="0"/>
        <v>2.0000000000000018E-2</v>
      </c>
      <c r="F19">
        <v>26</v>
      </c>
      <c r="G19">
        <v>1515</v>
      </c>
    </row>
    <row r="20" spans="1:7" x14ac:dyDescent="0.2">
      <c r="A20" t="s">
        <v>7</v>
      </c>
      <c r="B20" t="s">
        <v>30</v>
      </c>
      <c r="C20">
        <v>1489</v>
      </c>
      <c r="D20">
        <v>1.02</v>
      </c>
      <c r="E20" s="3">
        <f t="shared" si="0"/>
        <v>2.0000000000000018E-2</v>
      </c>
      <c r="F20">
        <v>24</v>
      </c>
      <c r="G20">
        <v>1513</v>
      </c>
    </row>
    <row r="21" spans="1:7" x14ac:dyDescent="0.2">
      <c r="A21" t="s">
        <v>7</v>
      </c>
      <c r="B21" t="s">
        <v>31</v>
      </c>
      <c r="C21">
        <v>1489</v>
      </c>
      <c r="D21">
        <v>0.98</v>
      </c>
      <c r="E21" s="3">
        <f t="shared" si="0"/>
        <v>-2.0000000000000018E-2</v>
      </c>
      <c r="F21">
        <v>-24</v>
      </c>
      <c r="G21">
        <v>1465</v>
      </c>
    </row>
    <row r="22" spans="1:7" x14ac:dyDescent="0.2">
      <c r="A22" t="s">
        <v>38</v>
      </c>
      <c r="B22" t="s">
        <v>32</v>
      </c>
      <c r="C22">
        <v>1489</v>
      </c>
      <c r="D22">
        <v>0.98</v>
      </c>
      <c r="E22" s="3">
        <f t="shared" si="0"/>
        <v>-2.0000000000000018E-2</v>
      </c>
      <c r="F22">
        <v>-27</v>
      </c>
      <c r="G22">
        <v>1462</v>
      </c>
    </row>
    <row r="23" spans="1:7" x14ac:dyDescent="0.2">
      <c r="A23" t="s">
        <v>81</v>
      </c>
      <c r="B23" t="s">
        <v>33</v>
      </c>
      <c r="C23">
        <v>1489</v>
      </c>
      <c r="D23">
        <v>1.01</v>
      </c>
      <c r="E23" s="3">
        <f t="shared" si="0"/>
        <v>1.0000000000000009E-2</v>
      </c>
      <c r="F23">
        <v>12</v>
      </c>
      <c r="G23">
        <v>1501</v>
      </c>
    </row>
    <row r="24" spans="1:7" x14ac:dyDescent="0.2">
      <c r="A24" t="s">
        <v>82</v>
      </c>
      <c r="B24" t="s">
        <v>62</v>
      </c>
      <c r="C24">
        <v>1489</v>
      </c>
      <c r="D24">
        <v>1.02</v>
      </c>
      <c r="E24" s="3">
        <f t="shared" si="0"/>
        <v>2.0000000000000018E-2</v>
      </c>
      <c r="F24">
        <v>23</v>
      </c>
      <c r="G24">
        <v>1512</v>
      </c>
    </row>
    <row r="25" spans="1:7" x14ac:dyDescent="0.2">
      <c r="A25" t="s">
        <v>83</v>
      </c>
      <c r="B25" t="s">
        <v>34</v>
      </c>
      <c r="C25">
        <v>1489</v>
      </c>
      <c r="D25">
        <v>1.01</v>
      </c>
      <c r="E25" s="3">
        <f t="shared" si="0"/>
        <v>1.0000000000000009E-2</v>
      </c>
      <c r="F25">
        <v>17</v>
      </c>
      <c r="G25">
        <v>1506</v>
      </c>
    </row>
    <row r="26" spans="1:7" x14ac:dyDescent="0.2">
      <c r="A26" t="s">
        <v>84</v>
      </c>
      <c r="B26" t="s">
        <v>35</v>
      </c>
      <c r="C26">
        <v>1489</v>
      </c>
      <c r="D26">
        <v>1.01</v>
      </c>
      <c r="E26" s="3">
        <f t="shared" si="0"/>
        <v>1.0000000000000009E-2</v>
      </c>
      <c r="F26">
        <v>15</v>
      </c>
      <c r="G26">
        <v>1504</v>
      </c>
    </row>
    <row r="27" spans="1:7" x14ac:dyDescent="0.2">
      <c r="A27" t="s">
        <v>85</v>
      </c>
      <c r="B27" t="s">
        <v>36</v>
      </c>
      <c r="C27">
        <v>1489</v>
      </c>
      <c r="D27">
        <v>1.18</v>
      </c>
      <c r="E27" s="3">
        <f t="shared" si="0"/>
        <v>0.17999999999999994</v>
      </c>
      <c r="F27">
        <v>273</v>
      </c>
      <c r="G27">
        <v>1762</v>
      </c>
    </row>
    <row r="28" spans="1:7" x14ac:dyDescent="0.2">
      <c r="A28" t="s">
        <v>86</v>
      </c>
      <c r="B28" t="s">
        <v>14</v>
      </c>
      <c r="C28">
        <v>1489</v>
      </c>
      <c r="D28">
        <v>1.06</v>
      </c>
      <c r="E28" s="3">
        <f t="shared" si="0"/>
        <v>6.0000000000000053E-2</v>
      </c>
      <c r="F28">
        <v>92</v>
      </c>
      <c r="G28">
        <v>1581</v>
      </c>
    </row>
    <row r="29" spans="1:7" x14ac:dyDescent="0.2">
      <c r="A29" t="s">
        <v>86</v>
      </c>
      <c r="B29" t="s">
        <v>63</v>
      </c>
      <c r="C29">
        <v>1489</v>
      </c>
      <c r="D29">
        <v>1</v>
      </c>
      <c r="E29" s="3">
        <f t="shared" si="0"/>
        <v>0</v>
      </c>
      <c r="F29">
        <v>1</v>
      </c>
      <c r="G29">
        <v>1490</v>
      </c>
    </row>
    <row r="30" spans="1:7" x14ac:dyDescent="0.2">
      <c r="A30" t="s">
        <v>87</v>
      </c>
      <c r="B30" t="s">
        <v>64</v>
      </c>
      <c r="C30">
        <v>1489</v>
      </c>
      <c r="D30">
        <v>1.07</v>
      </c>
      <c r="E30" s="3">
        <f t="shared" si="0"/>
        <v>7.0000000000000062E-2</v>
      </c>
      <c r="F30">
        <v>104</v>
      </c>
      <c r="G30">
        <v>1593</v>
      </c>
    </row>
    <row r="31" spans="1:7" x14ac:dyDescent="0.2">
      <c r="A31" t="s">
        <v>88</v>
      </c>
      <c r="B31" t="s">
        <v>37</v>
      </c>
      <c r="C31">
        <v>1489</v>
      </c>
      <c r="D31">
        <v>0.97</v>
      </c>
      <c r="E31" s="3">
        <f t="shared" si="0"/>
        <v>-3.0000000000000027E-2</v>
      </c>
      <c r="F31">
        <v>-51</v>
      </c>
      <c r="G31">
        <v>1438</v>
      </c>
    </row>
    <row r="32" spans="1:7" x14ac:dyDescent="0.2">
      <c r="A32" t="s">
        <v>89</v>
      </c>
      <c r="B32" t="s">
        <v>65</v>
      </c>
      <c r="C32">
        <v>1489</v>
      </c>
      <c r="D32">
        <v>1.1000000000000001</v>
      </c>
      <c r="E32" s="3">
        <f t="shared" si="0"/>
        <v>0.10000000000000009</v>
      </c>
      <c r="F32">
        <v>152</v>
      </c>
      <c r="G32">
        <v>1641</v>
      </c>
    </row>
    <row r="33" spans="1:7" x14ac:dyDescent="0.2">
      <c r="A33" t="s">
        <v>89</v>
      </c>
      <c r="B33" t="s">
        <v>66</v>
      </c>
      <c r="C33">
        <v>1489</v>
      </c>
      <c r="D33">
        <v>1.04</v>
      </c>
      <c r="E33" s="3">
        <f t="shared" si="0"/>
        <v>4.0000000000000036E-2</v>
      </c>
      <c r="F33">
        <v>60</v>
      </c>
      <c r="G33">
        <v>1549</v>
      </c>
    </row>
    <row r="34" spans="1:7" x14ac:dyDescent="0.2">
      <c r="A34" t="s">
        <v>90</v>
      </c>
      <c r="B34" t="s">
        <v>67</v>
      </c>
      <c r="C34">
        <v>1489</v>
      </c>
      <c r="D34">
        <v>0.98</v>
      </c>
      <c r="E34" s="3">
        <f t="shared" si="0"/>
        <v>-2.0000000000000018E-2</v>
      </c>
      <c r="F34">
        <v>-25</v>
      </c>
      <c r="G34">
        <v>1464</v>
      </c>
    </row>
    <row r="35" spans="1:7" x14ac:dyDescent="0.2">
      <c r="A35" t="s">
        <v>91</v>
      </c>
      <c r="B35" t="s">
        <v>39</v>
      </c>
      <c r="C35">
        <v>1489</v>
      </c>
      <c r="D35">
        <v>0.98</v>
      </c>
      <c r="E35" s="3">
        <f t="shared" si="0"/>
        <v>-2.0000000000000018E-2</v>
      </c>
      <c r="F35">
        <v>-26</v>
      </c>
      <c r="G35">
        <v>1463</v>
      </c>
    </row>
    <row r="36" spans="1:7" x14ac:dyDescent="0.2">
      <c r="A36" t="s">
        <v>92</v>
      </c>
      <c r="B36" t="s">
        <v>40</v>
      </c>
      <c r="C36">
        <v>1489</v>
      </c>
      <c r="D36">
        <v>1.04</v>
      </c>
      <c r="E36" s="3">
        <f t="shared" si="0"/>
        <v>4.0000000000000036E-2</v>
      </c>
      <c r="F36">
        <v>54</v>
      </c>
      <c r="G36">
        <v>1543</v>
      </c>
    </row>
    <row r="37" spans="1:7" x14ac:dyDescent="0.2">
      <c r="A37" t="s">
        <v>93</v>
      </c>
      <c r="B37" t="s">
        <v>41</v>
      </c>
      <c r="C37">
        <v>1489</v>
      </c>
      <c r="D37">
        <v>1.19</v>
      </c>
      <c r="E37" s="3">
        <f t="shared" si="0"/>
        <v>0.18999999999999995</v>
      </c>
      <c r="F37">
        <v>284</v>
      </c>
      <c r="G37">
        <v>1773</v>
      </c>
    </row>
    <row r="38" spans="1:7" x14ac:dyDescent="0.2">
      <c r="A38" t="s">
        <v>94</v>
      </c>
      <c r="B38" t="s">
        <v>42</v>
      </c>
      <c r="C38">
        <v>1489</v>
      </c>
      <c r="D38">
        <v>1.02</v>
      </c>
      <c r="E38" s="3">
        <f t="shared" si="0"/>
        <v>2.0000000000000018E-2</v>
      </c>
      <c r="F38">
        <v>33</v>
      </c>
      <c r="G38">
        <v>1522</v>
      </c>
    </row>
    <row r="39" spans="1:7" x14ac:dyDescent="0.2">
      <c r="A39" t="s">
        <v>68</v>
      </c>
      <c r="B39" t="s">
        <v>68</v>
      </c>
      <c r="C39">
        <v>1489</v>
      </c>
      <c r="D39">
        <v>1.34</v>
      </c>
      <c r="E39" s="3">
        <f t="shared" si="0"/>
        <v>0.34000000000000008</v>
      </c>
      <c r="F39">
        <v>501</v>
      </c>
      <c r="G39">
        <v>1990</v>
      </c>
    </row>
    <row r="40" spans="1:7" x14ac:dyDescent="0.2">
      <c r="A40" t="s">
        <v>68</v>
      </c>
      <c r="B40" t="s">
        <v>43</v>
      </c>
      <c r="C40">
        <v>1489</v>
      </c>
      <c r="D40">
        <v>1.05</v>
      </c>
      <c r="E40" s="3">
        <f t="shared" si="0"/>
        <v>5.0000000000000044E-2</v>
      </c>
      <c r="F40">
        <v>78</v>
      </c>
      <c r="G40">
        <v>1567</v>
      </c>
    </row>
    <row r="41" spans="1:7" x14ac:dyDescent="0.2">
      <c r="A41" t="s">
        <v>95</v>
      </c>
      <c r="B41" t="s">
        <v>69</v>
      </c>
      <c r="C41">
        <v>1489</v>
      </c>
      <c r="D41">
        <v>1.1200000000000001</v>
      </c>
      <c r="E41" s="3">
        <f t="shared" si="0"/>
        <v>0.12000000000000011</v>
      </c>
      <c r="F41">
        <v>181</v>
      </c>
      <c r="G41">
        <v>1670</v>
      </c>
    </row>
    <row r="42" spans="1:7" x14ac:dyDescent="0.2">
      <c r="A42" t="s">
        <v>96</v>
      </c>
      <c r="B42" t="s">
        <v>44</v>
      </c>
      <c r="C42">
        <v>1489</v>
      </c>
      <c r="D42">
        <v>0.99</v>
      </c>
      <c r="E42" s="3">
        <f t="shared" si="0"/>
        <v>-1.0000000000000009E-2</v>
      </c>
      <c r="F42">
        <v>-21</v>
      </c>
      <c r="G42">
        <v>1468</v>
      </c>
    </row>
    <row r="43" spans="1:7" x14ac:dyDescent="0.2">
      <c r="A43" t="s">
        <v>97</v>
      </c>
      <c r="B43" t="s">
        <v>45</v>
      </c>
      <c r="C43">
        <v>1489</v>
      </c>
      <c r="D43">
        <v>1</v>
      </c>
      <c r="E43" s="3">
        <f t="shared" si="0"/>
        <v>0</v>
      </c>
      <c r="F43">
        <v>2</v>
      </c>
      <c r="G43">
        <v>1491</v>
      </c>
    </row>
    <row r="44" spans="1:7" x14ac:dyDescent="0.2">
      <c r="A44" t="s">
        <v>98</v>
      </c>
      <c r="B44" t="s">
        <v>46</v>
      </c>
      <c r="C44">
        <v>1489</v>
      </c>
      <c r="D44">
        <v>0.98</v>
      </c>
      <c r="E44" s="3">
        <f t="shared" si="0"/>
        <v>-2.0000000000000018E-2</v>
      </c>
      <c r="F44">
        <v>-34</v>
      </c>
      <c r="G44">
        <v>1455</v>
      </c>
    </row>
    <row r="45" spans="1:7" x14ac:dyDescent="0.2">
      <c r="A45" t="s">
        <v>47</v>
      </c>
      <c r="B45" t="s">
        <v>70</v>
      </c>
      <c r="C45">
        <v>1489</v>
      </c>
      <c r="D45">
        <v>0.97</v>
      </c>
      <c r="E45" s="3">
        <f t="shared" si="0"/>
        <v>-3.0000000000000027E-2</v>
      </c>
      <c r="F45">
        <v>-47</v>
      </c>
      <c r="G45">
        <v>1442</v>
      </c>
    </row>
    <row r="46" spans="1:7" x14ac:dyDescent="0.2">
      <c r="A46" t="s">
        <v>99</v>
      </c>
      <c r="B46" t="s">
        <v>34</v>
      </c>
      <c r="C46">
        <v>1489</v>
      </c>
      <c r="D46">
        <v>1.1100000000000001</v>
      </c>
      <c r="E46" s="3">
        <f t="shared" si="0"/>
        <v>0.1100000000000001</v>
      </c>
      <c r="F46">
        <v>161</v>
      </c>
      <c r="G46">
        <v>1650</v>
      </c>
    </row>
    <row r="47" spans="1:7" x14ac:dyDescent="0.2">
      <c r="A47" t="s">
        <v>100</v>
      </c>
      <c r="B47" t="s">
        <v>71</v>
      </c>
      <c r="C47">
        <v>1489</v>
      </c>
      <c r="D47">
        <v>1.18</v>
      </c>
      <c r="E47" s="3">
        <f t="shared" si="0"/>
        <v>0.17999999999999994</v>
      </c>
      <c r="F47">
        <v>265</v>
      </c>
      <c r="G47">
        <v>1754</v>
      </c>
    </row>
    <row r="48" spans="1:7" x14ac:dyDescent="0.2">
      <c r="A48" t="s">
        <v>100</v>
      </c>
      <c r="B48" t="s">
        <v>48</v>
      </c>
      <c r="C48">
        <v>1489</v>
      </c>
      <c r="D48">
        <v>1.03</v>
      </c>
      <c r="E48" s="3">
        <f t="shared" si="0"/>
        <v>3.0000000000000027E-2</v>
      </c>
      <c r="F48">
        <v>41</v>
      </c>
      <c r="G48">
        <v>1530</v>
      </c>
    </row>
    <row r="49" spans="1:7" x14ac:dyDescent="0.2">
      <c r="A49" t="s">
        <v>101</v>
      </c>
      <c r="B49" t="s">
        <v>49</v>
      </c>
      <c r="C49">
        <v>1489</v>
      </c>
      <c r="D49">
        <v>1.0900000000000001</v>
      </c>
      <c r="E49" s="3">
        <f t="shared" si="0"/>
        <v>9.000000000000008E-2</v>
      </c>
      <c r="F49">
        <v>140</v>
      </c>
      <c r="G49">
        <v>1629</v>
      </c>
    </row>
    <row r="50" spans="1:7" x14ac:dyDescent="0.2">
      <c r="A50" t="s">
        <v>102</v>
      </c>
      <c r="B50" t="s">
        <v>50</v>
      </c>
      <c r="C50">
        <v>1489</v>
      </c>
      <c r="D50">
        <v>1.01</v>
      </c>
      <c r="E50" s="3">
        <f t="shared" si="0"/>
        <v>1.0000000000000009E-2</v>
      </c>
      <c r="F50">
        <v>20</v>
      </c>
      <c r="G50">
        <v>1509</v>
      </c>
    </row>
    <row r="51" spans="1:7" x14ac:dyDescent="0.2">
      <c r="A51" t="s">
        <v>103</v>
      </c>
      <c r="B51" t="s">
        <v>72</v>
      </c>
      <c r="C51">
        <v>1489</v>
      </c>
      <c r="D51">
        <v>0.99</v>
      </c>
      <c r="E51" s="3">
        <f t="shared" si="0"/>
        <v>-1.0000000000000009E-2</v>
      </c>
      <c r="F51">
        <v>-21</v>
      </c>
      <c r="G51">
        <v>1468</v>
      </c>
    </row>
    <row r="52" spans="1:7" x14ac:dyDescent="0.2">
      <c r="A52" t="s">
        <v>104</v>
      </c>
      <c r="B52" t="s">
        <v>51</v>
      </c>
      <c r="C52">
        <v>1489</v>
      </c>
      <c r="D52">
        <v>1.02</v>
      </c>
      <c r="E52" s="3">
        <f t="shared" si="0"/>
        <v>2.0000000000000018E-2</v>
      </c>
      <c r="F52">
        <v>23</v>
      </c>
      <c r="G52">
        <v>1512</v>
      </c>
    </row>
    <row r="53" spans="1:7" x14ac:dyDescent="0.2">
      <c r="A53" t="s">
        <v>105</v>
      </c>
      <c r="B53" t="s">
        <v>52</v>
      </c>
      <c r="C53">
        <v>1489</v>
      </c>
      <c r="D53">
        <v>0.95</v>
      </c>
      <c r="E53" s="3">
        <f t="shared" si="0"/>
        <v>-5.0000000000000044E-2</v>
      </c>
      <c r="F53">
        <v>-81</v>
      </c>
      <c r="G53">
        <v>1408</v>
      </c>
    </row>
    <row r="54" spans="1:7" x14ac:dyDescent="0.2">
      <c r="A54" t="s">
        <v>106</v>
      </c>
      <c r="B54" t="s">
        <v>73</v>
      </c>
      <c r="C54">
        <v>1489</v>
      </c>
      <c r="D54">
        <v>1.01</v>
      </c>
      <c r="E54" s="3">
        <f t="shared" si="0"/>
        <v>1.0000000000000009E-2</v>
      </c>
      <c r="F54">
        <v>14</v>
      </c>
      <c r="G54">
        <v>1503</v>
      </c>
    </row>
    <row r="55" spans="1:7" x14ac:dyDescent="0.2">
      <c r="A55" t="s">
        <v>107</v>
      </c>
      <c r="B55" t="s">
        <v>53</v>
      </c>
      <c r="C55">
        <v>1489</v>
      </c>
      <c r="D55">
        <v>1.07</v>
      </c>
      <c r="E55" s="3">
        <f t="shared" si="0"/>
        <v>7.0000000000000062E-2</v>
      </c>
      <c r="F55">
        <v>105</v>
      </c>
      <c r="G55">
        <v>1594</v>
      </c>
    </row>
    <row r="56" spans="1:7" x14ac:dyDescent="0.2">
      <c r="A56" t="s">
        <v>108</v>
      </c>
      <c r="B56" t="s">
        <v>54</v>
      </c>
      <c r="C56">
        <v>1489</v>
      </c>
      <c r="D56">
        <v>1.02</v>
      </c>
      <c r="E56" s="3">
        <f t="shared" si="0"/>
        <v>2.0000000000000018E-2</v>
      </c>
      <c r="F56">
        <v>25</v>
      </c>
      <c r="G56">
        <v>1514</v>
      </c>
    </row>
    <row r="57" spans="1:7" x14ac:dyDescent="0.2">
      <c r="A57" t="s">
        <v>108</v>
      </c>
      <c r="B57" t="s">
        <v>55</v>
      </c>
      <c r="C57">
        <v>1489</v>
      </c>
      <c r="D57">
        <v>0.98</v>
      </c>
      <c r="E57" s="3">
        <f t="shared" si="0"/>
        <v>-2.0000000000000018E-2</v>
      </c>
      <c r="F57">
        <v>-24</v>
      </c>
      <c r="G57">
        <v>1465</v>
      </c>
    </row>
    <row r="58" spans="1:7" x14ac:dyDescent="0.2">
      <c r="A58" t="s">
        <v>23</v>
      </c>
      <c r="B58" t="s">
        <v>56</v>
      </c>
      <c r="C58">
        <v>1489</v>
      </c>
      <c r="D58">
        <v>1.1599999999999999</v>
      </c>
      <c r="E58" s="3">
        <f t="shared" si="0"/>
        <v>0.15999999999999992</v>
      </c>
      <c r="F58">
        <v>238</v>
      </c>
      <c r="G58">
        <v>1727</v>
      </c>
    </row>
    <row r="59" spans="1:7" x14ac:dyDescent="0.2">
      <c r="A59" t="s">
        <v>23</v>
      </c>
      <c r="B59" t="s">
        <v>57</v>
      </c>
      <c r="C59">
        <v>1489</v>
      </c>
      <c r="D59">
        <v>1.04</v>
      </c>
      <c r="E59" s="3">
        <f t="shared" si="0"/>
        <v>4.0000000000000036E-2</v>
      </c>
      <c r="F59">
        <v>56</v>
      </c>
      <c r="G59">
        <v>1545</v>
      </c>
    </row>
    <row r="60" spans="1:7" x14ac:dyDescent="0.2">
      <c r="A60" t="s">
        <v>109</v>
      </c>
      <c r="B60" t="s">
        <v>50</v>
      </c>
      <c r="C60">
        <v>1489</v>
      </c>
      <c r="D60">
        <v>1</v>
      </c>
      <c r="E60" s="3">
        <f t="shared" si="0"/>
        <v>0</v>
      </c>
      <c r="F60">
        <v>6</v>
      </c>
      <c r="G60">
        <v>1495</v>
      </c>
    </row>
    <row r="61" spans="1:7" x14ac:dyDescent="0.2">
      <c r="A61" t="s">
        <v>110</v>
      </c>
      <c r="B61" t="s">
        <v>74</v>
      </c>
      <c r="C61">
        <v>1489</v>
      </c>
      <c r="D61">
        <v>1.05</v>
      </c>
      <c r="E61" s="3">
        <f t="shared" si="0"/>
        <v>5.0000000000000044E-2</v>
      </c>
      <c r="F61">
        <v>76</v>
      </c>
      <c r="G61">
        <v>1565</v>
      </c>
    </row>
    <row r="62" spans="1:7" x14ac:dyDescent="0.2">
      <c r="A62" t="s">
        <v>111</v>
      </c>
      <c r="B62" t="s">
        <v>58</v>
      </c>
      <c r="C62">
        <v>1489</v>
      </c>
      <c r="D62">
        <v>0.98</v>
      </c>
      <c r="E62" s="3">
        <f t="shared" si="0"/>
        <v>-2.0000000000000018E-2</v>
      </c>
      <c r="F62">
        <v>-26</v>
      </c>
      <c r="G62">
        <v>1463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D540-8F7F-3C4C-90A9-80E2F7B6B2DE}">
  <dimension ref="A1:BS62"/>
  <sheetViews>
    <sheetView workbookViewId="0">
      <selection activeCell="E2" sqref="E2"/>
    </sheetView>
  </sheetViews>
  <sheetFormatPr baseColWidth="10" defaultRowHeight="16" x14ac:dyDescent="0.2"/>
  <cols>
    <col min="3" max="3" width="22.33203125" bestFit="1" customWidth="1"/>
    <col min="4" max="4" width="16.33203125" bestFit="1" customWidth="1"/>
    <col min="5" max="5" width="16.33203125" customWidth="1"/>
    <col min="6" max="6" width="25.5" bestFit="1" customWidth="1"/>
    <col min="7" max="7" width="29.5" bestFit="1" customWidth="1"/>
  </cols>
  <sheetData>
    <row r="1" spans="1:71" x14ac:dyDescent="0.2">
      <c r="A1" s="2" t="s">
        <v>13</v>
      </c>
      <c r="B1" s="2" t="s">
        <v>12</v>
      </c>
      <c r="C1" s="2" t="s">
        <v>11</v>
      </c>
      <c r="D1" s="2" t="s">
        <v>10</v>
      </c>
      <c r="E1" s="2"/>
      <c r="F1" s="2" t="s">
        <v>9</v>
      </c>
      <c r="G1" s="2" t="s">
        <v>8</v>
      </c>
    </row>
    <row r="2" spans="1:71" x14ac:dyDescent="0.2">
      <c r="A2" t="s">
        <v>0</v>
      </c>
      <c r="B2" t="s">
        <v>15</v>
      </c>
      <c r="C2" cm="1">
        <f t="array" ref="C2:C62">TRANSPOSE(K2:BS2)</f>
        <v>868</v>
      </c>
      <c r="D2" cm="1">
        <f t="array" ref="D2:D62">TRANSPOSE(K3:BS3)</f>
        <v>0.97</v>
      </c>
      <c r="E2" s="3">
        <f>D2-1</f>
        <v>-3.0000000000000027E-2</v>
      </c>
      <c r="F2" cm="1">
        <f t="array" ref="F2:F62">TRANSPOSE(K4:BS4)</f>
        <v>-26</v>
      </c>
      <c r="G2" cm="1">
        <f t="array" ref="G2:G62">TRANSPOSE(K5:BS5)</f>
        <v>842</v>
      </c>
      <c r="K2">
        <v>868</v>
      </c>
      <c r="L2">
        <v>868</v>
      </c>
      <c r="M2">
        <v>868</v>
      </c>
      <c r="N2">
        <v>868</v>
      </c>
      <c r="O2">
        <v>868</v>
      </c>
      <c r="P2">
        <v>868</v>
      </c>
      <c r="Q2">
        <v>868</v>
      </c>
      <c r="R2">
        <v>868</v>
      </c>
      <c r="S2">
        <v>868</v>
      </c>
      <c r="T2">
        <v>868</v>
      </c>
      <c r="U2">
        <v>868</v>
      </c>
      <c r="V2">
        <v>868</v>
      </c>
      <c r="W2">
        <v>868</v>
      </c>
      <c r="X2">
        <v>868</v>
      </c>
      <c r="Y2">
        <v>868</v>
      </c>
      <c r="Z2">
        <v>868</v>
      </c>
      <c r="AA2">
        <v>868</v>
      </c>
      <c r="AB2">
        <v>868</v>
      </c>
      <c r="AC2">
        <v>868</v>
      </c>
      <c r="AD2">
        <v>868</v>
      </c>
      <c r="AE2">
        <v>868</v>
      </c>
      <c r="AF2">
        <v>868</v>
      </c>
      <c r="AG2">
        <v>868</v>
      </c>
      <c r="AH2">
        <v>868</v>
      </c>
      <c r="AI2">
        <v>868</v>
      </c>
      <c r="AJ2">
        <v>868</v>
      </c>
      <c r="AK2">
        <v>868</v>
      </c>
      <c r="AL2">
        <v>868</v>
      </c>
      <c r="AM2">
        <v>868</v>
      </c>
      <c r="AN2">
        <v>868</v>
      </c>
      <c r="AO2">
        <v>868</v>
      </c>
      <c r="AP2">
        <v>868</v>
      </c>
      <c r="AQ2">
        <v>868</v>
      </c>
      <c r="AR2">
        <v>868</v>
      </c>
      <c r="AS2">
        <v>868</v>
      </c>
      <c r="AT2">
        <v>868</v>
      </c>
      <c r="AU2">
        <v>868</v>
      </c>
      <c r="AV2">
        <v>868</v>
      </c>
      <c r="AW2">
        <v>868</v>
      </c>
      <c r="AX2">
        <v>868</v>
      </c>
      <c r="AY2">
        <v>868</v>
      </c>
      <c r="AZ2">
        <v>868</v>
      </c>
      <c r="BA2">
        <v>868</v>
      </c>
      <c r="BB2">
        <v>868</v>
      </c>
      <c r="BC2">
        <v>868</v>
      </c>
      <c r="BD2">
        <v>868</v>
      </c>
      <c r="BE2">
        <v>868</v>
      </c>
      <c r="BF2">
        <v>868</v>
      </c>
      <c r="BG2">
        <v>868</v>
      </c>
      <c r="BH2">
        <v>868</v>
      </c>
      <c r="BI2">
        <v>868</v>
      </c>
      <c r="BJ2">
        <v>868</v>
      </c>
      <c r="BK2">
        <v>868</v>
      </c>
      <c r="BL2">
        <v>868</v>
      </c>
      <c r="BM2">
        <v>868</v>
      </c>
      <c r="BN2">
        <v>868</v>
      </c>
      <c r="BO2">
        <v>868</v>
      </c>
      <c r="BP2">
        <v>868</v>
      </c>
      <c r="BQ2">
        <v>868</v>
      </c>
      <c r="BR2">
        <v>868</v>
      </c>
      <c r="BS2">
        <v>868</v>
      </c>
    </row>
    <row r="3" spans="1:71" x14ac:dyDescent="0.2">
      <c r="A3" t="s">
        <v>1</v>
      </c>
      <c r="B3" t="s">
        <v>16</v>
      </c>
      <c r="C3">
        <v>868</v>
      </c>
      <c r="D3">
        <v>1.01</v>
      </c>
      <c r="E3" s="3">
        <f t="shared" ref="E3:E62" si="0">D3-1</f>
        <v>1.0000000000000009E-2</v>
      </c>
      <c r="F3">
        <v>8</v>
      </c>
      <c r="G3">
        <v>876</v>
      </c>
      <c r="K3">
        <v>0.97</v>
      </c>
      <c r="L3">
        <v>1.01</v>
      </c>
      <c r="M3">
        <v>0.97</v>
      </c>
      <c r="N3">
        <v>1.1499999999999999</v>
      </c>
      <c r="O3">
        <v>1.18</v>
      </c>
      <c r="P3">
        <v>1.17</v>
      </c>
      <c r="Q3">
        <v>1.19</v>
      </c>
      <c r="R3">
        <v>1.31</v>
      </c>
      <c r="S3">
        <v>0.98</v>
      </c>
      <c r="T3">
        <v>1.1299999999999999</v>
      </c>
      <c r="U3">
        <v>1.1200000000000001</v>
      </c>
      <c r="V3">
        <v>1.03</v>
      </c>
      <c r="W3">
        <v>0.95</v>
      </c>
      <c r="X3">
        <v>0.96</v>
      </c>
      <c r="Y3">
        <v>1</v>
      </c>
      <c r="Z3">
        <v>1.01</v>
      </c>
      <c r="AA3">
        <v>1.22</v>
      </c>
      <c r="AB3">
        <v>1</v>
      </c>
      <c r="AC3">
        <v>1.02</v>
      </c>
      <c r="AD3">
        <v>0.98</v>
      </c>
      <c r="AE3">
        <v>0.98</v>
      </c>
      <c r="AF3">
        <v>1</v>
      </c>
      <c r="AG3">
        <v>0.99</v>
      </c>
      <c r="AH3">
        <v>1.01</v>
      </c>
      <c r="AI3">
        <v>1.01</v>
      </c>
      <c r="AJ3">
        <v>1.2</v>
      </c>
      <c r="AK3">
        <v>1.08</v>
      </c>
      <c r="AL3">
        <v>1</v>
      </c>
      <c r="AM3">
        <v>1.0900000000000001</v>
      </c>
      <c r="AN3">
        <v>0.96</v>
      </c>
      <c r="AO3">
        <v>1.08</v>
      </c>
      <c r="AP3">
        <v>1.05</v>
      </c>
      <c r="AQ3">
        <v>0.98</v>
      </c>
      <c r="AR3">
        <v>0.98</v>
      </c>
      <c r="AS3">
        <v>1.03</v>
      </c>
      <c r="AT3">
        <v>1.21</v>
      </c>
      <c r="AU3">
        <v>1.01</v>
      </c>
      <c r="AV3">
        <v>1.39</v>
      </c>
      <c r="AW3">
        <v>1.05</v>
      </c>
      <c r="AX3">
        <v>1.1100000000000001</v>
      </c>
      <c r="AY3">
        <v>0.98</v>
      </c>
      <c r="AZ3">
        <v>1.02</v>
      </c>
      <c r="BA3">
        <v>0.98</v>
      </c>
      <c r="BB3">
        <v>0.96</v>
      </c>
      <c r="BC3">
        <v>1.1000000000000001</v>
      </c>
      <c r="BD3">
        <v>1.2</v>
      </c>
      <c r="BE3">
        <v>1.04</v>
      </c>
      <c r="BF3">
        <v>1.1000000000000001</v>
      </c>
      <c r="BG3">
        <v>0.96</v>
      </c>
      <c r="BH3">
        <v>0.99</v>
      </c>
      <c r="BI3">
        <v>0.99</v>
      </c>
      <c r="BJ3">
        <v>0.93</v>
      </c>
      <c r="BK3">
        <v>0.99</v>
      </c>
      <c r="BL3">
        <v>1.04</v>
      </c>
      <c r="BM3">
        <v>1.01</v>
      </c>
      <c r="BN3">
        <v>0.98</v>
      </c>
      <c r="BO3">
        <v>1.1599999999999999</v>
      </c>
      <c r="BP3">
        <v>1.04</v>
      </c>
      <c r="BQ3">
        <v>1.01</v>
      </c>
      <c r="BR3">
        <v>1.07</v>
      </c>
      <c r="BS3">
        <v>0.99</v>
      </c>
    </row>
    <row r="4" spans="1:71" x14ac:dyDescent="0.2">
      <c r="A4" t="s">
        <v>2</v>
      </c>
      <c r="B4" t="s">
        <v>59</v>
      </c>
      <c r="C4">
        <v>868</v>
      </c>
      <c r="D4">
        <v>0.97</v>
      </c>
      <c r="E4" s="3">
        <f t="shared" si="0"/>
        <v>-3.0000000000000027E-2</v>
      </c>
      <c r="F4">
        <v>-22</v>
      </c>
      <c r="G4">
        <v>846</v>
      </c>
      <c r="K4">
        <v>-26</v>
      </c>
      <c r="L4">
        <v>8</v>
      </c>
      <c r="M4">
        <v>-22</v>
      </c>
      <c r="N4">
        <v>131</v>
      </c>
      <c r="O4">
        <v>152</v>
      </c>
      <c r="P4">
        <v>151</v>
      </c>
      <c r="Q4">
        <v>164</v>
      </c>
      <c r="R4">
        <v>268</v>
      </c>
      <c r="S4">
        <v>-20</v>
      </c>
      <c r="T4">
        <v>109</v>
      </c>
      <c r="U4">
        <v>104</v>
      </c>
      <c r="V4">
        <v>23</v>
      </c>
      <c r="W4">
        <v>-42</v>
      </c>
      <c r="X4">
        <v>-32</v>
      </c>
      <c r="Y4">
        <v>3</v>
      </c>
      <c r="Z4">
        <v>12</v>
      </c>
      <c r="AA4">
        <v>194</v>
      </c>
      <c r="AB4">
        <v>-4</v>
      </c>
      <c r="AC4">
        <v>16</v>
      </c>
      <c r="AD4">
        <v>-18</v>
      </c>
      <c r="AE4">
        <v>-19</v>
      </c>
      <c r="AF4">
        <v>-3</v>
      </c>
      <c r="AG4">
        <v>-7</v>
      </c>
      <c r="AH4">
        <v>10</v>
      </c>
      <c r="AI4">
        <v>10</v>
      </c>
      <c r="AJ4">
        <v>173</v>
      </c>
      <c r="AK4">
        <v>66</v>
      </c>
      <c r="AL4">
        <v>2</v>
      </c>
      <c r="AM4">
        <v>76</v>
      </c>
      <c r="AN4">
        <v>-36</v>
      </c>
      <c r="AO4">
        <v>73</v>
      </c>
      <c r="AP4">
        <v>40</v>
      </c>
      <c r="AQ4">
        <v>-15</v>
      </c>
      <c r="AR4">
        <v>-18</v>
      </c>
      <c r="AS4">
        <v>22</v>
      </c>
      <c r="AT4">
        <v>184</v>
      </c>
      <c r="AU4">
        <v>10</v>
      </c>
      <c r="AV4">
        <v>341</v>
      </c>
      <c r="AW4">
        <v>42</v>
      </c>
      <c r="AX4">
        <v>97</v>
      </c>
      <c r="AY4">
        <v>-14</v>
      </c>
      <c r="AZ4">
        <v>16</v>
      </c>
      <c r="BA4">
        <v>-20</v>
      </c>
      <c r="BB4">
        <v>-34</v>
      </c>
      <c r="BC4">
        <v>90</v>
      </c>
      <c r="BD4">
        <v>174</v>
      </c>
      <c r="BE4">
        <v>30</v>
      </c>
      <c r="BF4">
        <v>85</v>
      </c>
      <c r="BG4">
        <v>-32</v>
      </c>
      <c r="BH4">
        <v>-6</v>
      </c>
      <c r="BI4">
        <v>-5</v>
      </c>
      <c r="BJ4">
        <v>-61</v>
      </c>
      <c r="BK4">
        <v>-9</v>
      </c>
      <c r="BL4">
        <v>37</v>
      </c>
      <c r="BM4">
        <v>10</v>
      </c>
      <c r="BN4">
        <v>-16</v>
      </c>
      <c r="BO4">
        <v>138</v>
      </c>
      <c r="BP4">
        <v>31</v>
      </c>
      <c r="BQ4">
        <v>10</v>
      </c>
      <c r="BR4">
        <v>56</v>
      </c>
      <c r="BS4">
        <v>-9</v>
      </c>
    </row>
    <row r="5" spans="1:71" x14ac:dyDescent="0.2">
      <c r="A5" t="s">
        <v>3</v>
      </c>
      <c r="B5" t="s">
        <v>17</v>
      </c>
      <c r="C5">
        <v>868</v>
      </c>
      <c r="D5">
        <v>1.1499999999999999</v>
      </c>
      <c r="E5" s="3">
        <f t="shared" si="0"/>
        <v>0.14999999999999991</v>
      </c>
      <c r="F5">
        <v>131</v>
      </c>
      <c r="G5">
        <v>999</v>
      </c>
      <c r="K5">
        <v>842</v>
      </c>
      <c r="L5">
        <v>876</v>
      </c>
      <c r="M5">
        <v>846</v>
      </c>
      <c r="N5">
        <v>999</v>
      </c>
      <c r="O5">
        <v>1020</v>
      </c>
      <c r="P5">
        <v>1019</v>
      </c>
      <c r="Q5">
        <v>1032</v>
      </c>
      <c r="R5">
        <v>1136</v>
      </c>
      <c r="S5">
        <v>848</v>
      </c>
      <c r="T5">
        <v>977</v>
      </c>
      <c r="U5">
        <v>972</v>
      </c>
      <c r="V5">
        <v>891</v>
      </c>
      <c r="W5">
        <v>826</v>
      </c>
      <c r="X5">
        <v>836</v>
      </c>
      <c r="Y5">
        <v>871</v>
      </c>
      <c r="Z5">
        <v>880</v>
      </c>
      <c r="AA5">
        <v>1062</v>
      </c>
      <c r="AB5">
        <v>864</v>
      </c>
      <c r="AC5">
        <v>884</v>
      </c>
      <c r="AD5">
        <v>850</v>
      </c>
      <c r="AE5">
        <v>849</v>
      </c>
      <c r="AF5">
        <v>865</v>
      </c>
      <c r="AG5">
        <v>861</v>
      </c>
      <c r="AH5">
        <v>878</v>
      </c>
      <c r="AI5">
        <v>878</v>
      </c>
      <c r="AJ5">
        <v>1041</v>
      </c>
      <c r="AK5">
        <v>934</v>
      </c>
      <c r="AL5">
        <v>870</v>
      </c>
      <c r="AM5">
        <v>944</v>
      </c>
      <c r="AN5">
        <v>832</v>
      </c>
      <c r="AO5">
        <v>941</v>
      </c>
      <c r="AP5">
        <v>908</v>
      </c>
      <c r="AQ5">
        <v>853</v>
      </c>
      <c r="AR5">
        <v>850</v>
      </c>
      <c r="AS5">
        <v>890</v>
      </c>
      <c r="AT5">
        <v>1052</v>
      </c>
      <c r="AU5">
        <v>878</v>
      </c>
      <c r="AV5">
        <v>1209</v>
      </c>
      <c r="AW5">
        <v>910</v>
      </c>
      <c r="AX5">
        <v>965</v>
      </c>
      <c r="AY5">
        <v>854</v>
      </c>
      <c r="AZ5">
        <v>884</v>
      </c>
      <c r="BA5">
        <v>848</v>
      </c>
      <c r="BB5">
        <v>834</v>
      </c>
      <c r="BC5">
        <v>958</v>
      </c>
      <c r="BD5">
        <v>1042</v>
      </c>
      <c r="BE5">
        <v>898</v>
      </c>
      <c r="BF5">
        <v>953</v>
      </c>
      <c r="BG5">
        <v>836</v>
      </c>
      <c r="BH5">
        <v>862</v>
      </c>
      <c r="BI5">
        <v>863</v>
      </c>
      <c r="BJ5">
        <v>807</v>
      </c>
      <c r="BK5">
        <v>859</v>
      </c>
      <c r="BL5">
        <v>905</v>
      </c>
      <c r="BM5">
        <v>878</v>
      </c>
      <c r="BN5">
        <v>852</v>
      </c>
      <c r="BO5">
        <v>1006</v>
      </c>
      <c r="BP5">
        <v>899</v>
      </c>
      <c r="BQ5">
        <v>878</v>
      </c>
      <c r="BR5">
        <v>924</v>
      </c>
      <c r="BS5">
        <v>859</v>
      </c>
    </row>
    <row r="6" spans="1:71" x14ac:dyDescent="0.2">
      <c r="A6" t="s">
        <v>3</v>
      </c>
      <c r="B6" t="s">
        <v>60</v>
      </c>
      <c r="C6">
        <v>868</v>
      </c>
      <c r="D6">
        <v>1.18</v>
      </c>
      <c r="E6" s="3">
        <f t="shared" si="0"/>
        <v>0.17999999999999994</v>
      </c>
      <c r="F6">
        <v>152</v>
      </c>
      <c r="G6">
        <v>1020</v>
      </c>
    </row>
    <row r="7" spans="1:71" x14ac:dyDescent="0.2">
      <c r="A7" t="s">
        <v>3</v>
      </c>
      <c r="B7" t="s">
        <v>18</v>
      </c>
      <c r="C7">
        <v>868</v>
      </c>
      <c r="D7">
        <v>1.17</v>
      </c>
      <c r="E7" s="3">
        <f t="shared" si="0"/>
        <v>0.16999999999999993</v>
      </c>
      <c r="F7">
        <v>151</v>
      </c>
      <c r="G7">
        <v>1019</v>
      </c>
    </row>
    <row r="8" spans="1:71" x14ac:dyDescent="0.2">
      <c r="A8" t="s">
        <v>3</v>
      </c>
      <c r="B8" t="s">
        <v>19</v>
      </c>
      <c r="C8">
        <v>868</v>
      </c>
      <c r="D8">
        <v>1.19</v>
      </c>
      <c r="E8" s="3">
        <f t="shared" si="0"/>
        <v>0.18999999999999995</v>
      </c>
      <c r="F8">
        <v>164</v>
      </c>
      <c r="G8">
        <v>1032</v>
      </c>
    </row>
    <row r="9" spans="1:71" x14ac:dyDescent="0.2">
      <c r="A9" t="s">
        <v>3</v>
      </c>
      <c r="B9" t="s">
        <v>61</v>
      </c>
      <c r="C9">
        <v>868</v>
      </c>
      <c r="D9">
        <v>1.31</v>
      </c>
      <c r="E9" s="3">
        <f t="shared" si="0"/>
        <v>0.31000000000000005</v>
      </c>
      <c r="F9">
        <v>268</v>
      </c>
      <c r="G9">
        <v>1136</v>
      </c>
    </row>
    <row r="10" spans="1:71" x14ac:dyDescent="0.2">
      <c r="A10" t="s">
        <v>75</v>
      </c>
      <c r="B10" t="s">
        <v>20</v>
      </c>
      <c r="C10">
        <v>868</v>
      </c>
      <c r="D10">
        <v>0.98</v>
      </c>
      <c r="E10" s="3">
        <f t="shared" si="0"/>
        <v>-2.0000000000000018E-2</v>
      </c>
      <c r="F10">
        <v>-20</v>
      </c>
      <c r="G10">
        <v>848</v>
      </c>
    </row>
    <row r="11" spans="1:71" x14ac:dyDescent="0.2">
      <c r="A11" t="s">
        <v>76</v>
      </c>
      <c r="B11" t="s">
        <v>21</v>
      </c>
      <c r="C11">
        <v>868</v>
      </c>
      <c r="D11">
        <v>1.1299999999999999</v>
      </c>
      <c r="E11" s="3">
        <f t="shared" si="0"/>
        <v>0.12999999999999989</v>
      </c>
      <c r="F11">
        <v>109</v>
      </c>
      <c r="G11">
        <v>977</v>
      </c>
    </row>
    <row r="12" spans="1:71" x14ac:dyDescent="0.2">
      <c r="A12" t="s">
        <v>77</v>
      </c>
      <c r="B12" t="s">
        <v>22</v>
      </c>
      <c r="C12">
        <v>868</v>
      </c>
      <c r="D12">
        <v>1.1200000000000001</v>
      </c>
      <c r="E12" s="3">
        <f t="shared" si="0"/>
        <v>0.12000000000000011</v>
      </c>
      <c r="F12">
        <v>104</v>
      </c>
      <c r="G12">
        <v>972</v>
      </c>
    </row>
    <row r="13" spans="1:71" x14ac:dyDescent="0.2">
      <c r="A13" t="s">
        <v>78</v>
      </c>
      <c r="B13" t="s">
        <v>23</v>
      </c>
      <c r="C13">
        <v>868</v>
      </c>
      <c r="D13">
        <v>1.03</v>
      </c>
      <c r="E13" s="3">
        <f t="shared" si="0"/>
        <v>3.0000000000000027E-2</v>
      </c>
      <c r="F13">
        <v>23</v>
      </c>
      <c r="G13">
        <v>891</v>
      </c>
    </row>
    <row r="14" spans="1:71" x14ac:dyDescent="0.2">
      <c r="A14" t="s">
        <v>79</v>
      </c>
      <c r="B14" t="s">
        <v>24</v>
      </c>
      <c r="C14">
        <v>868</v>
      </c>
      <c r="D14">
        <v>0.95</v>
      </c>
      <c r="E14" s="3">
        <f t="shared" si="0"/>
        <v>-5.0000000000000044E-2</v>
      </c>
      <c r="F14">
        <v>-42</v>
      </c>
      <c r="G14">
        <v>826</v>
      </c>
    </row>
    <row r="15" spans="1:71" x14ac:dyDescent="0.2">
      <c r="A15" t="s">
        <v>79</v>
      </c>
      <c r="B15" t="s">
        <v>25</v>
      </c>
      <c r="C15">
        <v>868</v>
      </c>
      <c r="D15">
        <v>0.96</v>
      </c>
      <c r="E15" s="3">
        <f t="shared" si="0"/>
        <v>-4.0000000000000036E-2</v>
      </c>
      <c r="F15">
        <v>-32</v>
      </c>
      <c r="G15">
        <v>836</v>
      </c>
    </row>
    <row r="16" spans="1:71" x14ac:dyDescent="0.2">
      <c r="A16" t="s">
        <v>80</v>
      </c>
      <c r="B16" t="s">
        <v>26</v>
      </c>
      <c r="C16">
        <v>868</v>
      </c>
      <c r="D16">
        <v>1</v>
      </c>
      <c r="E16" s="3">
        <f t="shared" si="0"/>
        <v>0</v>
      </c>
      <c r="F16">
        <v>3</v>
      </c>
      <c r="G16">
        <v>871</v>
      </c>
    </row>
    <row r="17" spans="1:7" x14ac:dyDescent="0.2">
      <c r="A17" t="s">
        <v>4</v>
      </c>
      <c r="B17" t="s">
        <v>27</v>
      </c>
      <c r="C17">
        <v>868</v>
      </c>
      <c r="D17">
        <v>1.01</v>
      </c>
      <c r="E17" s="3">
        <f t="shared" si="0"/>
        <v>1.0000000000000009E-2</v>
      </c>
      <c r="F17">
        <v>12</v>
      </c>
      <c r="G17">
        <v>880</v>
      </c>
    </row>
    <row r="18" spans="1:7" x14ac:dyDescent="0.2">
      <c r="A18" t="s">
        <v>5</v>
      </c>
      <c r="B18" t="s">
        <v>28</v>
      </c>
      <c r="C18">
        <v>868</v>
      </c>
      <c r="D18">
        <v>1.22</v>
      </c>
      <c r="E18" s="3">
        <f t="shared" si="0"/>
        <v>0.21999999999999997</v>
      </c>
      <c r="F18">
        <v>194</v>
      </c>
      <c r="G18">
        <v>1062</v>
      </c>
    </row>
    <row r="19" spans="1:7" x14ac:dyDescent="0.2">
      <c r="A19" t="s">
        <v>6</v>
      </c>
      <c r="B19" t="s">
        <v>29</v>
      </c>
      <c r="C19">
        <v>868</v>
      </c>
      <c r="D19">
        <v>1</v>
      </c>
      <c r="E19" s="3">
        <f t="shared" si="0"/>
        <v>0</v>
      </c>
      <c r="F19">
        <v>-4</v>
      </c>
      <c r="G19">
        <v>864</v>
      </c>
    </row>
    <row r="20" spans="1:7" x14ac:dyDescent="0.2">
      <c r="A20" t="s">
        <v>7</v>
      </c>
      <c r="B20" t="s">
        <v>30</v>
      </c>
      <c r="C20">
        <v>868</v>
      </c>
      <c r="D20">
        <v>1.02</v>
      </c>
      <c r="E20" s="3">
        <f t="shared" si="0"/>
        <v>2.0000000000000018E-2</v>
      </c>
      <c r="F20">
        <v>16</v>
      </c>
      <c r="G20">
        <v>884</v>
      </c>
    </row>
    <row r="21" spans="1:7" x14ac:dyDescent="0.2">
      <c r="A21" t="s">
        <v>7</v>
      </c>
      <c r="B21" t="s">
        <v>31</v>
      </c>
      <c r="C21">
        <v>868</v>
      </c>
      <c r="D21">
        <v>0.98</v>
      </c>
      <c r="E21" s="3">
        <f t="shared" si="0"/>
        <v>-2.0000000000000018E-2</v>
      </c>
      <c r="F21">
        <v>-18</v>
      </c>
      <c r="G21">
        <v>850</v>
      </c>
    </row>
    <row r="22" spans="1:7" x14ac:dyDescent="0.2">
      <c r="A22" t="s">
        <v>38</v>
      </c>
      <c r="B22" t="s">
        <v>32</v>
      </c>
      <c r="C22">
        <v>868</v>
      </c>
      <c r="D22">
        <v>0.98</v>
      </c>
      <c r="E22" s="3">
        <f t="shared" si="0"/>
        <v>-2.0000000000000018E-2</v>
      </c>
      <c r="F22">
        <v>-19</v>
      </c>
      <c r="G22">
        <v>849</v>
      </c>
    </row>
    <row r="23" spans="1:7" x14ac:dyDescent="0.2">
      <c r="A23" t="s">
        <v>81</v>
      </c>
      <c r="B23" t="s">
        <v>33</v>
      </c>
      <c r="C23">
        <v>868</v>
      </c>
      <c r="D23">
        <v>1</v>
      </c>
      <c r="E23" s="3">
        <f t="shared" si="0"/>
        <v>0</v>
      </c>
      <c r="F23">
        <v>-3</v>
      </c>
      <c r="G23">
        <v>865</v>
      </c>
    </row>
    <row r="24" spans="1:7" x14ac:dyDescent="0.2">
      <c r="A24" t="s">
        <v>82</v>
      </c>
      <c r="B24" t="s">
        <v>62</v>
      </c>
      <c r="C24">
        <v>868</v>
      </c>
      <c r="D24">
        <v>0.99</v>
      </c>
      <c r="E24" s="3">
        <f t="shared" si="0"/>
        <v>-1.0000000000000009E-2</v>
      </c>
      <c r="F24">
        <v>-7</v>
      </c>
      <c r="G24">
        <v>861</v>
      </c>
    </row>
    <row r="25" spans="1:7" x14ac:dyDescent="0.2">
      <c r="A25" t="s">
        <v>83</v>
      </c>
      <c r="B25" t="s">
        <v>34</v>
      </c>
      <c r="C25">
        <v>868</v>
      </c>
      <c r="D25">
        <v>1.01</v>
      </c>
      <c r="E25" s="3">
        <f t="shared" si="0"/>
        <v>1.0000000000000009E-2</v>
      </c>
      <c r="F25">
        <v>10</v>
      </c>
      <c r="G25">
        <v>878</v>
      </c>
    </row>
    <row r="26" spans="1:7" x14ac:dyDescent="0.2">
      <c r="A26" t="s">
        <v>84</v>
      </c>
      <c r="B26" t="s">
        <v>35</v>
      </c>
      <c r="C26">
        <v>868</v>
      </c>
      <c r="D26">
        <v>1.01</v>
      </c>
      <c r="E26" s="3">
        <f t="shared" si="0"/>
        <v>1.0000000000000009E-2</v>
      </c>
      <c r="F26">
        <v>10</v>
      </c>
      <c r="G26">
        <v>878</v>
      </c>
    </row>
    <row r="27" spans="1:7" x14ac:dyDescent="0.2">
      <c r="A27" t="s">
        <v>85</v>
      </c>
      <c r="B27" t="s">
        <v>36</v>
      </c>
      <c r="C27">
        <v>868</v>
      </c>
      <c r="D27">
        <v>1.2</v>
      </c>
      <c r="E27" s="3">
        <f t="shared" si="0"/>
        <v>0.19999999999999996</v>
      </c>
      <c r="F27">
        <v>173</v>
      </c>
      <c r="G27">
        <v>1041</v>
      </c>
    </row>
    <row r="28" spans="1:7" x14ac:dyDescent="0.2">
      <c r="A28" t="s">
        <v>86</v>
      </c>
      <c r="B28" t="s">
        <v>14</v>
      </c>
      <c r="C28">
        <v>868</v>
      </c>
      <c r="D28">
        <v>1.08</v>
      </c>
      <c r="E28" s="3">
        <f t="shared" si="0"/>
        <v>8.0000000000000071E-2</v>
      </c>
      <c r="F28">
        <v>66</v>
      </c>
      <c r="G28">
        <v>934</v>
      </c>
    </row>
    <row r="29" spans="1:7" x14ac:dyDescent="0.2">
      <c r="A29" t="s">
        <v>86</v>
      </c>
      <c r="B29" t="s">
        <v>63</v>
      </c>
      <c r="C29">
        <v>868</v>
      </c>
      <c r="D29">
        <v>1</v>
      </c>
      <c r="E29" s="3">
        <f t="shared" si="0"/>
        <v>0</v>
      </c>
      <c r="F29">
        <v>2</v>
      </c>
      <c r="G29">
        <v>870</v>
      </c>
    </row>
    <row r="30" spans="1:7" x14ac:dyDescent="0.2">
      <c r="A30" t="s">
        <v>87</v>
      </c>
      <c r="B30" t="s">
        <v>64</v>
      </c>
      <c r="C30">
        <v>868</v>
      </c>
      <c r="D30">
        <v>1.0900000000000001</v>
      </c>
      <c r="E30" s="3">
        <f t="shared" si="0"/>
        <v>9.000000000000008E-2</v>
      </c>
      <c r="F30">
        <v>76</v>
      </c>
      <c r="G30">
        <v>944</v>
      </c>
    </row>
    <row r="31" spans="1:7" x14ac:dyDescent="0.2">
      <c r="A31" t="s">
        <v>88</v>
      </c>
      <c r="B31" t="s">
        <v>37</v>
      </c>
      <c r="C31">
        <v>868</v>
      </c>
      <c r="D31">
        <v>0.96</v>
      </c>
      <c r="E31" s="3">
        <f t="shared" si="0"/>
        <v>-4.0000000000000036E-2</v>
      </c>
      <c r="F31">
        <v>-36</v>
      </c>
      <c r="G31">
        <v>832</v>
      </c>
    </row>
    <row r="32" spans="1:7" x14ac:dyDescent="0.2">
      <c r="A32" t="s">
        <v>89</v>
      </c>
      <c r="B32" t="s">
        <v>65</v>
      </c>
      <c r="C32">
        <v>868</v>
      </c>
      <c r="D32">
        <v>1.08</v>
      </c>
      <c r="E32" s="3">
        <f t="shared" si="0"/>
        <v>8.0000000000000071E-2</v>
      </c>
      <c r="F32">
        <v>73</v>
      </c>
      <c r="G32">
        <v>941</v>
      </c>
    </row>
    <row r="33" spans="1:7" x14ac:dyDescent="0.2">
      <c r="A33" t="s">
        <v>89</v>
      </c>
      <c r="B33" t="s">
        <v>66</v>
      </c>
      <c r="C33">
        <v>868</v>
      </c>
      <c r="D33">
        <v>1.05</v>
      </c>
      <c r="E33" s="3">
        <f t="shared" si="0"/>
        <v>5.0000000000000044E-2</v>
      </c>
      <c r="F33">
        <v>40</v>
      </c>
      <c r="G33">
        <v>908</v>
      </c>
    </row>
    <row r="34" spans="1:7" x14ac:dyDescent="0.2">
      <c r="A34" t="s">
        <v>90</v>
      </c>
      <c r="B34" t="s">
        <v>67</v>
      </c>
      <c r="C34">
        <v>868</v>
      </c>
      <c r="D34">
        <v>0.98</v>
      </c>
      <c r="E34" s="3">
        <f t="shared" si="0"/>
        <v>-2.0000000000000018E-2</v>
      </c>
      <c r="F34">
        <v>-15</v>
      </c>
      <c r="G34">
        <v>853</v>
      </c>
    </row>
    <row r="35" spans="1:7" x14ac:dyDescent="0.2">
      <c r="A35" t="s">
        <v>91</v>
      </c>
      <c r="B35" t="s">
        <v>39</v>
      </c>
      <c r="C35">
        <v>868</v>
      </c>
      <c r="D35">
        <v>0.98</v>
      </c>
      <c r="E35" s="3">
        <f t="shared" si="0"/>
        <v>-2.0000000000000018E-2</v>
      </c>
      <c r="F35">
        <v>-18</v>
      </c>
      <c r="G35">
        <v>850</v>
      </c>
    </row>
    <row r="36" spans="1:7" x14ac:dyDescent="0.2">
      <c r="A36" t="s">
        <v>92</v>
      </c>
      <c r="B36" t="s">
        <v>40</v>
      </c>
      <c r="C36">
        <v>868</v>
      </c>
      <c r="D36">
        <v>1.03</v>
      </c>
      <c r="E36" s="3">
        <f t="shared" si="0"/>
        <v>3.0000000000000027E-2</v>
      </c>
      <c r="F36">
        <v>22</v>
      </c>
      <c r="G36">
        <v>890</v>
      </c>
    </row>
    <row r="37" spans="1:7" x14ac:dyDescent="0.2">
      <c r="A37" t="s">
        <v>93</v>
      </c>
      <c r="B37" t="s">
        <v>41</v>
      </c>
      <c r="C37">
        <v>868</v>
      </c>
      <c r="D37">
        <v>1.21</v>
      </c>
      <c r="E37" s="3">
        <f t="shared" si="0"/>
        <v>0.20999999999999996</v>
      </c>
      <c r="F37">
        <v>184</v>
      </c>
      <c r="G37">
        <v>1052</v>
      </c>
    </row>
    <row r="38" spans="1:7" x14ac:dyDescent="0.2">
      <c r="A38" t="s">
        <v>94</v>
      </c>
      <c r="B38" t="s">
        <v>42</v>
      </c>
      <c r="C38">
        <v>868</v>
      </c>
      <c r="D38">
        <v>1.01</v>
      </c>
      <c r="E38" s="3">
        <f t="shared" si="0"/>
        <v>1.0000000000000009E-2</v>
      </c>
      <c r="F38">
        <v>10</v>
      </c>
      <c r="G38">
        <v>878</v>
      </c>
    </row>
    <row r="39" spans="1:7" x14ac:dyDescent="0.2">
      <c r="A39" t="s">
        <v>68</v>
      </c>
      <c r="B39" t="s">
        <v>68</v>
      </c>
      <c r="C39">
        <v>868</v>
      </c>
      <c r="D39">
        <v>1.39</v>
      </c>
      <c r="E39" s="3">
        <f t="shared" si="0"/>
        <v>0.3899999999999999</v>
      </c>
      <c r="F39">
        <v>341</v>
      </c>
      <c r="G39">
        <v>1209</v>
      </c>
    </row>
    <row r="40" spans="1:7" x14ac:dyDescent="0.2">
      <c r="A40" t="s">
        <v>68</v>
      </c>
      <c r="B40" t="s">
        <v>43</v>
      </c>
      <c r="C40">
        <v>868</v>
      </c>
      <c r="D40">
        <v>1.05</v>
      </c>
      <c r="E40" s="3">
        <f t="shared" si="0"/>
        <v>5.0000000000000044E-2</v>
      </c>
      <c r="F40">
        <v>42</v>
      </c>
      <c r="G40">
        <v>910</v>
      </c>
    </row>
    <row r="41" spans="1:7" x14ac:dyDescent="0.2">
      <c r="A41" t="s">
        <v>95</v>
      </c>
      <c r="B41" t="s">
        <v>69</v>
      </c>
      <c r="C41">
        <v>868</v>
      </c>
      <c r="D41">
        <v>1.1100000000000001</v>
      </c>
      <c r="E41" s="3">
        <f t="shared" si="0"/>
        <v>0.1100000000000001</v>
      </c>
      <c r="F41">
        <v>97</v>
      </c>
      <c r="G41">
        <v>965</v>
      </c>
    </row>
    <row r="42" spans="1:7" x14ac:dyDescent="0.2">
      <c r="A42" t="s">
        <v>96</v>
      </c>
      <c r="B42" t="s">
        <v>44</v>
      </c>
      <c r="C42">
        <v>868</v>
      </c>
      <c r="D42">
        <v>0.98</v>
      </c>
      <c r="E42" s="3">
        <f t="shared" si="0"/>
        <v>-2.0000000000000018E-2</v>
      </c>
      <c r="F42">
        <v>-14</v>
      </c>
      <c r="G42">
        <v>854</v>
      </c>
    </row>
    <row r="43" spans="1:7" x14ac:dyDescent="0.2">
      <c r="A43" t="s">
        <v>97</v>
      </c>
      <c r="B43" t="s">
        <v>45</v>
      </c>
      <c r="C43">
        <v>868</v>
      </c>
      <c r="D43">
        <v>1.02</v>
      </c>
      <c r="E43" s="3">
        <f t="shared" si="0"/>
        <v>2.0000000000000018E-2</v>
      </c>
      <c r="F43">
        <v>16</v>
      </c>
      <c r="G43">
        <v>884</v>
      </c>
    </row>
    <row r="44" spans="1:7" x14ac:dyDescent="0.2">
      <c r="A44" t="s">
        <v>98</v>
      </c>
      <c r="B44" t="s">
        <v>46</v>
      </c>
      <c r="C44">
        <v>868</v>
      </c>
      <c r="D44">
        <v>0.98</v>
      </c>
      <c r="E44" s="3">
        <f t="shared" si="0"/>
        <v>-2.0000000000000018E-2</v>
      </c>
      <c r="F44">
        <v>-20</v>
      </c>
      <c r="G44">
        <v>848</v>
      </c>
    </row>
    <row r="45" spans="1:7" x14ac:dyDescent="0.2">
      <c r="A45" t="s">
        <v>47</v>
      </c>
      <c r="B45" t="s">
        <v>70</v>
      </c>
      <c r="C45">
        <v>868</v>
      </c>
      <c r="D45">
        <v>0.96</v>
      </c>
      <c r="E45" s="3">
        <f t="shared" si="0"/>
        <v>-4.0000000000000036E-2</v>
      </c>
      <c r="F45">
        <v>-34</v>
      </c>
      <c r="G45">
        <v>834</v>
      </c>
    </row>
    <row r="46" spans="1:7" x14ac:dyDescent="0.2">
      <c r="A46" t="s">
        <v>99</v>
      </c>
      <c r="B46" t="s">
        <v>34</v>
      </c>
      <c r="C46">
        <v>868</v>
      </c>
      <c r="D46">
        <v>1.1000000000000001</v>
      </c>
      <c r="E46" s="3">
        <f t="shared" si="0"/>
        <v>0.10000000000000009</v>
      </c>
      <c r="F46">
        <v>90</v>
      </c>
      <c r="G46">
        <v>958</v>
      </c>
    </row>
    <row r="47" spans="1:7" x14ac:dyDescent="0.2">
      <c r="A47" t="s">
        <v>100</v>
      </c>
      <c r="B47" t="s">
        <v>71</v>
      </c>
      <c r="C47">
        <v>868</v>
      </c>
      <c r="D47">
        <v>1.2</v>
      </c>
      <c r="E47" s="3">
        <f t="shared" si="0"/>
        <v>0.19999999999999996</v>
      </c>
      <c r="F47">
        <v>174</v>
      </c>
      <c r="G47">
        <v>1042</v>
      </c>
    </row>
    <row r="48" spans="1:7" x14ac:dyDescent="0.2">
      <c r="A48" t="s">
        <v>100</v>
      </c>
      <c r="B48" t="s">
        <v>48</v>
      </c>
      <c r="C48">
        <v>868</v>
      </c>
      <c r="D48">
        <v>1.04</v>
      </c>
      <c r="E48" s="3">
        <f t="shared" si="0"/>
        <v>4.0000000000000036E-2</v>
      </c>
      <c r="F48">
        <v>30</v>
      </c>
      <c r="G48">
        <v>898</v>
      </c>
    </row>
    <row r="49" spans="1:7" x14ac:dyDescent="0.2">
      <c r="A49" t="s">
        <v>101</v>
      </c>
      <c r="B49" t="s">
        <v>49</v>
      </c>
      <c r="C49">
        <v>868</v>
      </c>
      <c r="D49">
        <v>1.1000000000000001</v>
      </c>
      <c r="E49" s="3">
        <f t="shared" si="0"/>
        <v>0.10000000000000009</v>
      </c>
      <c r="F49">
        <v>85</v>
      </c>
      <c r="G49">
        <v>953</v>
      </c>
    </row>
    <row r="50" spans="1:7" x14ac:dyDescent="0.2">
      <c r="A50" t="s">
        <v>102</v>
      </c>
      <c r="B50" t="s">
        <v>50</v>
      </c>
      <c r="C50">
        <v>868</v>
      </c>
      <c r="D50">
        <v>0.96</v>
      </c>
      <c r="E50" s="3">
        <f t="shared" si="0"/>
        <v>-4.0000000000000036E-2</v>
      </c>
      <c r="F50">
        <v>-32</v>
      </c>
      <c r="G50">
        <v>836</v>
      </c>
    </row>
    <row r="51" spans="1:7" x14ac:dyDescent="0.2">
      <c r="A51" t="s">
        <v>103</v>
      </c>
      <c r="B51" t="s">
        <v>72</v>
      </c>
      <c r="C51">
        <v>868</v>
      </c>
      <c r="D51">
        <v>0.99</v>
      </c>
      <c r="E51" s="3">
        <f t="shared" si="0"/>
        <v>-1.0000000000000009E-2</v>
      </c>
      <c r="F51">
        <v>-6</v>
      </c>
      <c r="G51">
        <v>862</v>
      </c>
    </row>
    <row r="52" spans="1:7" x14ac:dyDescent="0.2">
      <c r="A52" t="s">
        <v>104</v>
      </c>
      <c r="B52" t="s">
        <v>51</v>
      </c>
      <c r="C52">
        <v>868</v>
      </c>
      <c r="D52">
        <v>0.99</v>
      </c>
      <c r="E52" s="3">
        <f t="shared" si="0"/>
        <v>-1.0000000000000009E-2</v>
      </c>
      <c r="F52">
        <v>-5</v>
      </c>
      <c r="G52">
        <v>863</v>
      </c>
    </row>
    <row r="53" spans="1:7" x14ac:dyDescent="0.2">
      <c r="A53" t="s">
        <v>105</v>
      </c>
      <c r="B53" t="s">
        <v>52</v>
      </c>
      <c r="C53">
        <v>868</v>
      </c>
      <c r="D53">
        <v>0.93</v>
      </c>
      <c r="E53" s="3">
        <f t="shared" si="0"/>
        <v>-6.9999999999999951E-2</v>
      </c>
      <c r="F53">
        <v>-61</v>
      </c>
      <c r="G53">
        <v>807</v>
      </c>
    </row>
    <row r="54" spans="1:7" x14ac:dyDescent="0.2">
      <c r="A54" t="s">
        <v>106</v>
      </c>
      <c r="B54" t="s">
        <v>73</v>
      </c>
      <c r="C54">
        <v>868</v>
      </c>
      <c r="D54">
        <v>0.99</v>
      </c>
      <c r="E54" s="3">
        <f t="shared" si="0"/>
        <v>-1.0000000000000009E-2</v>
      </c>
      <c r="F54">
        <v>-9</v>
      </c>
      <c r="G54">
        <v>859</v>
      </c>
    </row>
    <row r="55" spans="1:7" x14ac:dyDescent="0.2">
      <c r="A55" t="s">
        <v>107</v>
      </c>
      <c r="B55" t="s">
        <v>53</v>
      </c>
      <c r="C55">
        <v>868</v>
      </c>
      <c r="D55">
        <v>1.04</v>
      </c>
      <c r="E55" s="3">
        <f t="shared" si="0"/>
        <v>4.0000000000000036E-2</v>
      </c>
      <c r="F55">
        <v>37</v>
      </c>
      <c r="G55">
        <v>905</v>
      </c>
    </row>
    <row r="56" spans="1:7" x14ac:dyDescent="0.2">
      <c r="A56" t="s">
        <v>108</v>
      </c>
      <c r="B56" t="s">
        <v>54</v>
      </c>
      <c r="C56">
        <v>868</v>
      </c>
      <c r="D56">
        <v>1.01</v>
      </c>
      <c r="E56" s="3">
        <f t="shared" si="0"/>
        <v>1.0000000000000009E-2</v>
      </c>
      <c r="F56">
        <v>10</v>
      </c>
      <c r="G56">
        <v>878</v>
      </c>
    </row>
    <row r="57" spans="1:7" x14ac:dyDescent="0.2">
      <c r="A57" t="s">
        <v>108</v>
      </c>
      <c r="B57" t="s">
        <v>55</v>
      </c>
      <c r="C57">
        <v>868</v>
      </c>
      <c r="D57">
        <v>0.98</v>
      </c>
      <c r="E57" s="3">
        <f t="shared" si="0"/>
        <v>-2.0000000000000018E-2</v>
      </c>
      <c r="F57">
        <v>-16</v>
      </c>
      <c r="G57">
        <v>852</v>
      </c>
    </row>
    <row r="58" spans="1:7" x14ac:dyDescent="0.2">
      <c r="A58" t="s">
        <v>23</v>
      </c>
      <c r="B58" t="s">
        <v>56</v>
      </c>
      <c r="C58">
        <v>868</v>
      </c>
      <c r="D58">
        <v>1.1599999999999999</v>
      </c>
      <c r="E58" s="3">
        <f t="shared" si="0"/>
        <v>0.15999999999999992</v>
      </c>
      <c r="F58">
        <v>138</v>
      </c>
      <c r="G58">
        <v>1006</v>
      </c>
    </row>
    <row r="59" spans="1:7" x14ac:dyDescent="0.2">
      <c r="A59" t="s">
        <v>23</v>
      </c>
      <c r="B59" t="s">
        <v>57</v>
      </c>
      <c r="C59">
        <v>868</v>
      </c>
      <c r="D59">
        <v>1.04</v>
      </c>
      <c r="E59" s="3">
        <f t="shared" si="0"/>
        <v>4.0000000000000036E-2</v>
      </c>
      <c r="F59">
        <v>31</v>
      </c>
      <c r="G59">
        <v>899</v>
      </c>
    </row>
    <row r="60" spans="1:7" x14ac:dyDescent="0.2">
      <c r="A60" t="s">
        <v>109</v>
      </c>
      <c r="B60" t="s">
        <v>50</v>
      </c>
      <c r="C60">
        <v>868</v>
      </c>
      <c r="D60">
        <v>1.01</v>
      </c>
      <c r="E60" s="3">
        <f t="shared" si="0"/>
        <v>1.0000000000000009E-2</v>
      </c>
      <c r="F60">
        <v>10</v>
      </c>
      <c r="G60">
        <v>878</v>
      </c>
    </row>
    <row r="61" spans="1:7" x14ac:dyDescent="0.2">
      <c r="A61" t="s">
        <v>110</v>
      </c>
      <c r="B61" t="s">
        <v>74</v>
      </c>
      <c r="C61">
        <v>868</v>
      </c>
      <c r="D61">
        <v>1.07</v>
      </c>
      <c r="E61" s="3">
        <f t="shared" si="0"/>
        <v>7.0000000000000062E-2</v>
      </c>
      <c r="F61">
        <v>56</v>
      </c>
      <c r="G61">
        <v>924</v>
      </c>
    </row>
    <row r="62" spans="1:7" x14ac:dyDescent="0.2">
      <c r="A62" t="s">
        <v>111</v>
      </c>
      <c r="B62" t="s">
        <v>58</v>
      </c>
      <c r="C62">
        <v>868</v>
      </c>
      <c r="D62">
        <v>0.99</v>
      </c>
      <c r="E62" s="3">
        <f t="shared" si="0"/>
        <v>-1.0000000000000009E-2</v>
      </c>
      <c r="F62">
        <v>-9</v>
      </c>
      <c r="G62">
        <v>859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9DC6-B072-F746-98D0-03FD6FAE1001}">
  <dimension ref="A1:G62"/>
  <sheetViews>
    <sheetView tabSelected="1" workbookViewId="0">
      <selection activeCell="E2" sqref="E2:E62"/>
    </sheetView>
  </sheetViews>
  <sheetFormatPr baseColWidth="10" defaultRowHeight="16" x14ac:dyDescent="0.2"/>
  <cols>
    <col min="1" max="1" width="17.5" bestFit="1" customWidth="1"/>
    <col min="2" max="2" width="13.33203125" bestFit="1" customWidth="1"/>
    <col min="3" max="3" width="22.33203125" bestFit="1" customWidth="1"/>
    <col min="4" max="4" width="16.33203125" bestFit="1" customWidth="1"/>
    <col min="6" max="6" width="25.5" bestFit="1" customWidth="1"/>
    <col min="7" max="7" width="29.5" bestFit="1" customWidth="1"/>
  </cols>
  <sheetData>
    <row r="1" spans="1:7" x14ac:dyDescent="0.2">
      <c r="A1" s="2" t="s">
        <v>13</v>
      </c>
      <c r="B1" s="2" t="s">
        <v>12</v>
      </c>
      <c r="C1" s="2" t="s">
        <v>11</v>
      </c>
      <c r="D1" s="2" t="s">
        <v>10</v>
      </c>
      <c r="E1" s="2"/>
      <c r="F1" s="2" t="s">
        <v>9</v>
      </c>
      <c r="G1" s="2" t="s">
        <v>8</v>
      </c>
    </row>
    <row r="2" spans="1:7" x14ac:dyDescent="0.2">
      <c r="A2" t="s">
        <v>0</v>
      </c>
      <c r="B2" t="s">
        <v>15</v>
      </c>
      <c r="C2" t="s">
        <v>112</v>
      </c>
      <c r="D2" t="s">
        <v>112</v>
      </c>
      <c r="E2" s="5" t="s">
        <v>112</v>
      </c>
      <c r="F2" s="5" t="s">
        <v>112</v>
      </c>
      <c r="G2" s="5" t="s">
        <v>112</v>
      </c>
    </row>
    <row r="3" spans="1:7" x14ac:dyDescent="0.2">
      <c r="A3" t="s">
        <v>1</v>
      </c>
      <c r="B3" t="s">
        <v>16</v>
      </c>
      <c r="C3" t="s">
        <v>112</v>
      </c>
      <c r="D3" t="s">
        <v>112</v>
      </c>
      <c r="E3" s="5" t="s">
        <v>112</v>
      </c>
      <c r="F3" s="5" t="s">
        <v>112</v>
      </c>
      <c r="G3" s="5" t="s">
        <v>112</v>
      </c>
    </row>
    <row r="4" spans="1:7" x14ac:dyDescent="0.2">
      <c r="A4" t="s">
        <v>2</v>
      </c>
      <c r="B4" t="s">
        <v>59</v>
      </c>
      <c r="C4" t="s">
        <v>112</v>
      </c>
      <c r="D4" t="s">
        <v>112</v>
      </c>
      <c r="E4" s="5" t="s">
        <v>112</v>
      </c>
      <c r="F4" s="5" t="s">
        <v>112</v>
      </c>
      <c r="G4" s="5" t="s">
        <v>112</v>
      </c>
    </row>
    <row r="5" spans="1:7" x14ac:dyDescent="0.2">
      <c r="A5" t="s">
        <v>3</v>
      </c>
      <c r="B5" t="s">
        <v>17</v>
      </c>
      <c r="C5" s="1">
        <v>3689</v>
      </c>
      <c r="D5">
        <v>1.1499999999999999</v>
      </c>
      <c r="E5" s="3">
        <f t="shared" ref="E3:E62" si="0">D5-1</f>
        <v>0.14999999999999991</v>
      </c>
      <c r="F5">
        <v>542</v>
      </c>
      <c r="G5">
        <f t="shared" ref="G3:G62" si="1">C5+F5</f>
        <v>4231</v>
      </c>
    </row>
    <row r="6" spans="1:7" x14ac:dyDescent="0.2">
      <c r="A6" t="s">
        <v>3</v>
      </c>
      <c r="B6" t="s">
        <v>60</v>
      </c>
      <c r="C6" s="1">
        <v>3689</v>
      </c>
      <c r="D6">
        <v>1.18</v>
      </c>
      <c r="E6" s="3">
        <f t="shared" si="0"/>
        <v>0.17999999999999994</v>
      </c>
      <c r="F6">
        <v>674</v>
      </c>
      <c r="G6">
        <f t="shared" si="1"/>
        <v>4363</v>
      </c>
    </row>
    <row r="7" spans="1:7" x14ac:dyDescent="0.2">
      <c r="A7" t="s">
        <v>3</v>
      </c>
      <c r="B7" t="s">
        <v>18</v>
      </c>
      <c r="C7" s="1">
        <v>3689</v>
      </c>
      <c r="D7">
        <v>1.1599999999999999</v>
      </c>
      <c r="E7" s="3">
        <f t="shared" si="0"/>
        <v>0.15999999999999992</v>
      </c>
      <c r="F7">
        <v>606</v>
      </c>
      <c r="G7">
        <f t="shared" si="1"/>
        <v>4295</v>
      </c>
    </row>
    <row r="8" spans="1:7" x14ac:dyDescent="0.2">
      <c r="A8" t="s">
        <v>3</v>
      </c>
      <c r="B8" t="s">
        <v>19</v>
      </c>
      <c r="C8" s="1">
        <v>3689</v>
      </c>
      <c r="D8">
        <v>1.18</v>
      </c>
      <c r="E8" s="3">
        <f t="shared" si="0"/>
        <v>0.17999999999999994</v>
      </c>
      <c r="F8">
        <v>660</v>
      </c>
      <c r="G8">
        <f t="shared" si="1"/>
        <v>4349</v>
      </c>
    </row>
    <row r="9" spans="1:7" x14ac:dyDescent="0.2">
      <c r="A9" t="s">
        <v>3</v>
      </c>
      <c r="B9" t="s">
        <v>61</v>
      </c>
      <c r="C9" s="1">
        <v>3689</v>
      </c>
      <c r="D9">
        <v>1.27</v>
      </c>
      <c r="E9" s="3">
        <f t="shared" si="0"/>
        <v>0.27</v>
      </c>
      <c r="F9">
        <v>1012</v>
      </c>
      <c r="G9">
        <f t="shared" si="1"/>
        <v>4701</v>
      </c>
    </row>
    <row r="10" spans="1:7" x14ac:dyDescent="0.2">
      <c r="A10" t="s">
        <v>75</v>
      </c>
      <c r="B10" t="s">
        <v>20</v>
      </c>
      <c r="C10" t="s">
        <v>112</v>
      </c>
      <c r="D10" t="s">
        <v>112</v>
      </c>
      <c r="E10" s="5" t="s">
        <v>112</v>
      </c>
      <c r="F10" s="5" t="s">
        <v>112</v>
      </c>
      <c r="G10" s="5" t="s">
        <v>112</v>
      </c>
    </row>
    <row r="11" spans="1:7" x14ac:dyDescent="0.2">
      <c r="A11" t="s">
        <v>76</v>
      </c>
      <c r="B11" t="s">
        <v>21</v>
      </c>
      <c r="C11" s="1">
        <v>3689</v>
      </c>
      <c r="D11">
        <v>1.1100000000000001</v>
      </c>
      <c r="E11" s="3">
        <f t="shared" si="0"/>
        <v>0.1100000000000001</v>
      </c>
      <c r="F11">
        <v>397</v>
      </c>
      <c r="G11">
        <f t="shared" si="1"/>
        <v>4086</v>
      </c>
    </row>
    <row r="12" spans="1:7" x14ac:dyDescent="0.2">
      <c r="A12" t="s">
        <v>77</v>
      </c>
      <c r="B12" t="s">
        <v>22</v>
      </c>
      <c r="C12" s="4">
        <v>3689</v>
      </c>
      <c r="D12">
        <v>1.06</v>
      </c>
      <c r="E12" s="3">
        <f t="shared" si="0"/>
        <v>6.0000000000000053E-2</v>
      </c>
      <c r="F12">
        <v>218</v>
      </c>
      <c r="G12">
        <f t="shared" si="1"/>
        <v>3907</v>
      </c>
    </row>
    <row r="13" spans="1:7" x14ac:dyDescent="0.2">
      <c r="A13" t="s">
        <v>78</v>
      </c>
      <c r="B13" t="s">
        <v>23</v>
      </c>
      <c r="C13" t="s">
        <v>112</v>
      </c>
      <c r="D13" t="s">
        <v>112</v>
      </c>
      <c r="E13" s="5" t="s">
        <v>112</v>
      </c>
      <c r="F13" s="5" t="s">
        <v>112</v>
      </c>
      <c r="G13" s="5" t="s">
        <v>112</v>
      </c>
    </row>
    <row r="14" spans="1:7" x14ac:dyDescent="0.2">
      <c r="A14" t="s">
        <v>79</v>
      </c>
      <c r="B14" t="s">
        <v>24</v>
      </c>
      <c r="C14" t="s">
        <v>112</v>
      </c>
      <c r="D14" t="s">
        <v>112</v>
      </c>
      <c r="E14" s="5" t="s">
        <v>112</v>
      </c>
      <c r="F14" s="5" t="s">
        <v>112</v>
      </c>
      <c r="G14" s="5" t="s">
        <v>112</v>
      </c>
    </row>
    <row r="15" spans="1:7" x14ac:dyDescent="0.2">
      <c r="A15" t="s">
        <v>79</v>
      </c>
      <c r="B15" t="s">
        <v>25</v>
      </c>
      <c r="C15" t="s">
        <v>112</v>
      </c>
      <c r="D15" t="s">
        <v>112</v>
      </c>
      <c r="E15" s="5" t="s">
        <v>112</v>
      </c>
      <c r="F15" s="5" t="s">
        <v>112</v>
      </c>
      <c r="G15" s="5" t="s">
        <v>112</v>
      </c>
    </row>
    <row r="16" spans="1:7" x14ac:dyDescent="0.2">
      <c r="A16" t="s">
        <v>80</v>
      </c>
      <c r="B16" t="s">
        <v>26</v>
      </c>
      <c r="C16" s="4">
        <v>3689</v>
      </c>
      <c r="D16">
        <v>1.02</v>
      </c>
      <c r="E16" s="3">
        <f t="shared" si="0"/>
        <v>2.0000000000000018E-2</v>
      </c>
      <c r="F16">
        <v>57</v>
      </c>
      <c r="G16">
        <f t="shared" si="1"/>
        <v>3746</v>
      </c>
    </row>
    <row r="17" spans="1:7" x14ac:dyDescent="0.2">
      <c r="A17" t="s">
        <v>4</v>
      </c>
      <c r="B17" t="s">
        <v>27</v>
      </c>
      <c r="C17" t="s">
        <v>112</v>
      </c>
      <c r="D17" t="s">
        <v>112</v>
      </c>
      <c r="E17" s="5" t="s">
        <v>112</v>
      </c>
      <c r="F17" s="5" t="s">
        <v>112</v>
      </c>
      <c r="G17" s="5" t="s">
        <v>112</v>
      </c>
    </row>
    <row r="18" spans="1:7" x14ac:dyDescent="0.2">
      <c r="A18" t="s">
        <v>5</v>
      </c>
      <c r="B18" t="s">
        <v>28</v>
      </c>
      <c r="C18" s="4">
        <v>3689</v>
      </c>
      <c r="D18">
        <v>1.19</v>
      </c>
      <c r="E18" s="3">
        <f t="shared" si="0"/>
        <v>0.18999999999999995</v>
      </c>
      <c r="F18">
        <v>703</v>
      </c>
      <c r="G18">
        <f t="shared" si="1"/>
        <v>4392</v>
      </c>
    </row>
    <row r="19" spans="1:7" x14ac:dyDescent="0.2">
      <c r="A19" t="s">
        <v>6</v>
      </c>
      <c r="B19" t="s">
        <v>29</v>
      </c>
      <c r="C19" t="s">
        <v>112</v>
      </c>
      <c r="D19" t="s">
        <v>112</v>
      </c>
      <c r="E19" s="5" t="s">
        <v>112</v>
      </c>
      <c r="F19" s="5" t="s">
        <v>112</v>
      </c>
      <c r="G19" s="5" t="s">
        <v>112</v>
      </c>
    </row>
    <row r="20" spans="1:7" x14ac:dyDescent="0.2">
      <c r="A20" t="s">
        <v>7</v>
      </c>
      <c r="B20" t="s">
        <v>30</v>
      </c>
      <c r="C20" s="4" t="s">
        <v>112</v>
      </c>
      <c r="D20" t="s">
        <v>112</v>
      </c>
      <c r="E20" s="5" t="s">
        <v>112</v>
      </c>
      <c r="F20" s="5" t="s">
        <v>112</v>
      </c>
      <c r="G20" s="5" t="s">
        <v>112</v>
      </c>
    </row>
    <row r="21" spans="1:7" x14ac:dyDescent="0.2">
      <c r="A21" t="s">
        <v>7</v>
      </c>
      <c r="B21" t="s">
        <v>31</v>
      </c>
      <c r="C21" t="s">
        <v>112</v>
      </c>
      <c r="D21" t="s">
        <v>112</v>
      </c>
      <c r="E21" s="5" t="s">
        <v>112</v>
      </c>
      <c r="F21" s="5" t="s">
        <v>112</v>
      </c>
      <c r="G21" s="5" t="s">
        <v>112</v>
      </c>
    </row>
    <row r="22" spans="1:7" x14ac:dyDescent="0.2">
      <c r="A22" t="s">
        <v>38</v>
      </c>
      <c r="B22" t="s">
        <v>32</v>
      </c>
      <c r="C22" s="4" t="s">
        <v>112</v>
      </c>
      <c r="D22" s="5" t="s">
        <v>112</v>
      </c>
      <c r="E22" s="5" t="s">
        <v>112</v>
      </c>
      <c r="F22" s="5" t="s">
        <v>112</v>
      </c>
      <c r="G22" s="5" t="s">
        <v>112</v>
      </c>
    </row>
    <row r="23" spans="1:7" x14ac:dyDescent="0.2">
      <c r="A23" t="s">
        <v>81</v>
      </c>
      <c r="B23" t="s">
        <v>33</v>
      </c>
      <c r="C23" t="s">
        <v>112</v>
      </c>
      <c r="D23" s="5" t="s">
        <v>112</v>
      </c>
      <c r="E23" s="5" t="s">
        <v>112</v>
      </c>
      <c r="F23" s="5" t="s">
        <v>112</v>
      </c>
      <c r="G23" s="5" t="s">
        <v>112</v>
      </c>
    </row>
    <row r="24" spans="1:7" x14ac:dyDescent="0.2">
      <c r="A24" t="s">
        <v>82</v>
      </c>
      <c r="B24" t="s">
        <v>62</v>
      </c>
      <c r="C24" s="4" t="s">
        <v>112</v>
      </c>
      <c r="D24" s="5" t="s">
        <v>112</v>
      </c>
      <c r="E24" s="5" t="s">
        <v>112</v>
      </c>
      <c r="F24" s="5" t="s">
        <v>112</v>
      </c>
      <c r="G24" s="5" t="s">
        <v>112</v>
      </c>
    </row>
    <row r="25" spans="1:7" x14ac:dyDescent="0.2">
      <c r="A25" t="s">
        <v>83</v>
      </c>
      <c r="B25" t="s">
        <v>34</v>
      </c>
      <c r="C25" s="4">
        <v>3689</v>
      </c>
      <c r="D25">
        <v>1.01</v>
      </c>
      <c r="E25" s="3">
        <f t="shared" si="0"/>
        <v>1.0000000000000009E-2</v>
      </c>
      <c r="F25">
        <v>47</v>
      </c>
      <c r="G25">
        <f t="shared" si="1"/>
        <v>3736</v>
      </c>
    </row>
    <row r="26" spans="1:7" x14ac:dyDescent="0.2">
      <c r="A26" t="s">
        <v>84</v>
      </c>
      <c r="B26" t="s">
        <v>35</v>
      </c>
      <c r="C26" s="4">
        <v>3689</v>
      </c>
      <c r="D26">
        <v>1.01</v>
      </c>
      <c r="E26" s="3">
        <f t="shared" si="0"/>
        <v>1.0000000000000009E-2</v>
      </c>
      <c r="F26">
        <v>41</v>
      </c>
      <c r="G26">
        <f t="shared" si="1"/>
        <v>3730</v>
      </c>
    </row>
    <row r="27" spans="1:7" x14ac:dyDescent="0.2">
      <c r="A27" t="s">
        <v>85</v>
      </c>
      <c r="B27" t="s">
        <v>36</v>
      </c>
      <c r="C27" s="4">
        <v>3689</v>
      </c>
      <c r="D27">
        <v>1.18</v>
      </c>
      <c r="E27" s="3">
        <f t="shared" si="0"/>
        <v>0.17999999999999994</v>
      </c>
      <c r="F27">
        <v>647</v>
      </c>
      <c r="G27">
        <f t="shared" si="1"/>
        <v>4336</v>
      </c>
    </row>
    <row r="28" spans="1:7" x14ac:dyDescent="0.2">
      <c r="A28" t="s">
        <v>86</v>
      </c>
      <c r="B28" t="s">
        <v>14</v>
      </c>
      <c r="C28" s="4">
        <v>3689</v>
      </c>
      <c r="D28">
        <v>1.06</v>
      </c>
      <c r="E28" s="3">
        <f t="shared" si="0"/>
        <v>6.0000000000000053E-2</v>
      </c>
      <c r="F28">
        <v>212</v>
      </c>
      <c r="G28">
        <f t="shared" si="1"/>
        <v>3901</v>
      </c>
    </row>
    <row r="29" spans="1:7" x14ac:dyDescent="0.2">
      <c r="A29" t="s">
        <v>86</v>
      </c>
      <c r="B29" t="s">
        <v>63</v>
      </c>
      <c r="C29" s="4">
        <v>3689</v>
      </c>
      <c r="D29">
        <v>1</v>
      </c>
      <c r="E29" s="3">
        <f t="shared" si="0"/>
        <v>0</v>
      </c>
      <c r="F29">
        <v>1</v>
      </c>
      <c r="G29">
        <f t="shared" si="1"/>
        <v>3690</v>
      </c>
    </row>
    <row r="30" spans="1:7" x14ac:dyDescent="0.2">
      <c r="A30" t="s">
        <v>87</v>
      </c>
      <c r="B30" t="s">
        <v>64</v>
      </c>
      <c r="C30" s="4">
        <v>3689</v>
      </c>
      <c r="D30">
        <v>1.06</v>
      </c>
      <c r="E30" s="3">
        <f t="shared" si="0"/>
        <v>6.0000000000000053E-2</v>
      </c>
      <c r="F30">
        <v>218</v>
      </c>
      <c r="G30">
        <f t="shared" si="1"/>
        <v>3907</v>
      </c>
    </row>
    <row r="31" spans="1:7" x14ac:dyDescent="0.2">
      <c r="A31" t="s">
        <v>88</v>
      </c>
      <c r="B31" t="s">
        <v>37</v>
      </c>
      <c r="C31" t="s">
        <v>112</v>
      </c>
      <c r="D31" s="5" t="s">
        <v>112</v>
      </c>
      <c r="E31" s="5" t="s">
        <v>112</v>
      </c>
      <c r="F31" s="5" t="s">
        <v>112</v>
      </c>
      <c r="G31" s="5" t="s">
        <v>112</v>
      </c>
    </row>
    <row r="32" spans="1:7" x14ac:dyDescent="0.2">
      <c r="A32" t="s">
        <v>89</v>
      </c>
      <c r="B32" t="s">
        <v>65</v>
      </c>
      <c r="C32" t="s">
        <v>112</v>
      </c>
      <c r="D32" s="5" t="s">
        <v>112</v>
      </c>
      <c r="E32" s="5" t="s">
        <v>112</v>
      </c>
      <c r="F32" s="5" t="s">
        <v>112</v>
      </c>
      <c r="G32" s="5" t="s">
        <v>112</v>
      </c>
    </row>
    <row r="33" spans="1:7" x14ac:dyDescent="0.2">
      <c r="A33" t="s">
        <v>89</v>
      </c>
      <c r="B33" t="s">
        <v>66</v>
      </c>
      <c r="C33" t="s">
        <v>112</v>
      </c>
      <c r="D33" s="5" t="s">
        <v>112</v>
      </c>
      <c r="E33" s="5" t="s">
        <v>112</v>
      </c>
      <c r="F33" s="5" t="s">
        <v>112</v>
      </c>
      <c r="G33" s="5" t="s">
        <v>112</v>
      </c>
    </row>
    <row r="34" spans="1:7" x14ac:dyDescent="0.2">
      <c r="A34" t="s">
        <v>90</v>
      </c>
      <c r="B34" t="s">
        <v>67</v>
      </c>
      <c r="C34" t="s">
        <v>112</v>
      </c>
      <c r="D34" s="5" t="s">
        <v>112</v>
      </c>
      <c r="E34" s="5" t="s">
        <v>112</v>
      </c>
      <c r="F34" s="5" t="s">
        <v>112</v>
      </c>
      <c r="G34" s="5" t="s">
        <v>112</v>
      </c>
    </row>
    <row r="35" spans="1:7" x14ac:dyDescent="0.2">
      <c r="A35" t="s">
        <v>91</v>
      </c>
      <c r="B35" t="s">
        <v>39</v>
      </c>
      <c r="C35" t="s">
        <v>112</v>
      </c>
      <c r="D35" s="5" t="s">
        <v>112</v>
      </c>
      <c r="E35" s="5" t="s">
        <v>112</v>
      </c>
      <c r="F35" s="5" t="s">
        <v>112</v>
      </c>
      <c r="G35" s="5" t="s">
        <v>112</v>
      </c>
    </row>
    <row r="36" spans="1:7" x14ac:dyDescent="0.2">
      <c r="A36" t="s">
        <v>92</v>
      </c>
      <c r="B36" t="s">
        <v>40</v>
      </c>
      <c r="C36" t="s">
        <v>112</v>
      </c>
      <c r="D36" s="5" t="s">
        <v>112</v>
      </c>
      <c r="E36" s="5" t="s">
        <v>112</v>
      </c>
      <c r="F36" s="5" t="s">
        <v>112</v>
      </c>
      <c r="G36" s="5" t="s">
        <v>112</v>
      </c>
    </row>
    <row r="37" spans="1:7" x14ac:dyDescent="0.2">
      <c r="A37" t="s">
        <v>93</v>
      </c>
      <c r="B37" t="s">
        <v>41</v>
      </c>
      <c r="C37" s="4">
        <v>3689</v>
      </c>
      <c r="D37">
        <v>1.18</v>
      </c>
      <c r="E37" s="3">
        <f t="shared" si="0"/>
        <v>0.17999999999999994</v>
      </c>
      <c r="F37">
        <v>664</v>
      </c>
      <c r="G37">
        <f t="shared" si="1"/>
        <v>4353</v>
      </c>
    </row>
    <row r="38" spans="1:7" x14ac:dyDescent="0.2">
      <c r="A38" t="s">
        <v>94</v>
      </c>
      <c r="B38" t="s">
        <v>42</v>
      </c>
      <c r="C38" t="s">
        <v>112</v>
      </c>
      <c r="D38" s="5" t="s">
        <v>112</v>
      </c>
      <c r="E38" s="5" t="s">
        <v>112</v>
      </c>
      <c r="F38" s="5" t="s">
        <v>112</v>
      </c>
      <c r="G38" s="5" t="s">
        <v>112</v>
      </c>
    </row>
    <row r="39" spans="1:7" x14ac:dyDescent="0.2">
      <c r="A39" t="s">
        <v>68</v>
      </c>
      <c r="B39" t="s">
        <v>68</v>
      </c>
      <c r="C39" s="4">
        <v>3689</v>
      </c>
      <c r="D39">
        <v>1.32</v>
      </c>
      <c r="E39" s="3">
        <f t="shared" si="0"/>
        <v>0.32000000000000006</v>
      </c>
      <c r="F39">
        <v>1168</v>
      </c>
      <c r="G39">
        <f t="shared" si="1"/>
        <v>4857</v>
      </c>
    </row>
    <row r="40" spans="1:7" x14ac:dyDescent="0.2">
      <c r="A40" t="s">
        <v>68</v>
      </c>
      <c r="B40" t="s">
        <v>43</v>
      </c>
      <c r="C40" s="4">
        <v>3689</v>
      </c>
      <c r="D40">
        <v>1.05</v>
      </c>
      <c r="E40" s="3">
        <f t="shared" si="0"/>
        <v>5.0000000000000044E-2</v>
      </c>
      <c r="F40">
        <v>181</v>
      </c>
      <c r="G40">
        <f t="shared" si="1"/>
        <v>3870</v>
      </c>
    </row>
    <row r="41" spans="1:7" x14ac:dyDescent="0.2">
      <c r="A41" t="s">
        <v>95</v>
      </c>
      <c r="B41" t="s">
        <v>69</v>
      </c>
      <c r="C41" t="s">
        <v>112</v>
      </c>
      <c r="D41" s="5" t="s">
        <v>112</v>
      </c>
      <c r="E41" s="5" t="s">
        <v>112</v>
      </c>
      <c r="F41" s="5" t="s">
        <v>112</v>
      </c>
      <c r="G41" s="5" t="s">
        <v>112</v>
      </c>
    </row>
    <row r="42" spans="1:7" x14ac:dyDescent="0.2">
      <c r="A42" t="s">
        <v>96</v>
      </c>
      <c r="B42" t="s">
        <v>44</v>
      </c>
      <c r="C42" s="4">
        <v>3689</v>
      </c>
      <c r="D42">
        <v>0.99</v>
      </c>
      <c r="E42" s="3">
        <f t="shared" si="0"/>
        <v>-1.0000000000000009E-2</v>
      </c>
      <c r="F42">
        <v>-48</v>
      </c>
      <c r="G42">
        <f t="shared" si="1"/>
        <v>3641</v>
      </c>
    </row>
    <row r="43" spans="1:7" x14ac:dyDescent="0.2">
      <c r="A43" t="s">
        <v>97</v>
      </c>
      <c r="B43" t="s">
        <v>45</v>
      </c>
      <c r="C43" t="s">
        <v>112</v>
      </c>
      <c r="D43" s="5" t="s">
        <v>112</v>
      </c>
      <c r="E43" s="5" t="s">
        <v>112</v>
      </c>
      <c r="F43" s="5" t="s">
        <v>112</v>
      </c>
      <c r="G43" s="5" t="s">
        <v>112</v>
      </c>
    </row>
    <row r="44" spans="1:7" x14ac:dyDescent="0.2">
      <c r="A44" t="s">
        <v>98</v>
      </c>
      <c r="B44" t="s">
        <v>46</v>
      </c>
      <c r="C44" t="s">
        <v>112</v>
      </c>
      <c r="D44" s="5" t="s">
        <v>112</v>
      </c>
      <c r="E44" s="5" t="s">
        <v>112</v>
      </c>
      <c r="F44" s="5" t="s">
        <v>112</v>
      </c>
      <c r="G44" s="5" t="s">
        <v>112</v>
      </c>
    </row>
    <row r="45" spans="1:7" x14ac:dyDescent="0.2">
      <c r="A45" t="s">
        <v>47</v>
      </c>
      <c r="B45" t="s">
        <v>70</v>
      </c>
      <c r="C45" t="s">
        <v>112</v>
      </c>
      <c r="D45" s="5" t="s">
        <v>112</v>
      </c>
      <c r="E45" s="5" t="s">
        <v>112</v>
      </c>
      <c r="F45" s="5" t="s">
        <v>112</v>
      </c>
      <c r="G45" s="5" t="s">
        <v>112</v>
      </c>
    </row>
    <row r="46" spans="1:7" x14ac:dyDescent="0.2">
      <c r="A46" t="s">
        <v>99</v>
      </c>
      <c r="B46" t="s">
        <v>34</v>
      </c>
      <c r="C46" s="4">
        <v>3689</v>
      </c>
      <c r="D46">
        <v>1.1100000000000001</v>
      </c>
      <c r="E46" s="3">
        <f t="shared" si="0"/>
        <v>0.1100000000000001</v>
      </c>
      <c r="F46">
        <v>412</v>
      </c>
      <c r="G46">
        <f t="shared" si="1"/>
        <v>4101</v>
      </c>
    </row>
    <row r="47" spans="1:7" x14ac:dyDescent="0.2">
      <c r="A47" t="s">
        <v>100</v>
      </c>
      <c r="B47" t="s">
        <v>71</v>
      </c>
      <c r="C47" t="s">
        <v>112</v>
      </c>
      <c r="D47" s="5" t="s">
        <v>112</v>
      </c>
      <c r="E47" s="5" t="s">
        <v>112</v>
      </c>
      <c r="F47" s="5" t="s">
        <v>112</v>
      </c>
      <c r="G47" s="5" t="s">
        <v>112</v>
      </c>
    </row>
    <row r="48" spans="1:7" x14ac:dyDescent="0.2">
      <c r="A48" t="s">
        <v>100</v>
      </c>
      <c r="B48" t="s">
        <v>48</v>
      </c>
      <c r="C48" t="s">
        <v>112</v>
      </c>
      <c r="D48" s="5" t="s">
        <v>112</v>
      </c>
      <c r="E48" s="5" t="s">
        <v>112</v>
      </c>
      <c r="F48" s="5" t="s">
        <v>112</v>
      </c>
      <c r="G48" s="5" t="s">
        <v>112</v>
      </c>
    </row>
    <row r="49" spans="1:7" x14ac:dyDescent="0.2">
      <c r="A49" t="s">
        <v>101</v>
      </c>
      <c r="B49" t="s">
        <v>49</v>
      </c>
      <c r="C49" s="4">
        <v>3689</v>
      </c>
      <c r="D49">
        <v>1.0900000000000001</v>
      </c>
      <c r="E49" s="3">
        <f t="shared" si="0"/>
        <v>9.000000000000008E-2</v>
      </c>
      <c r="F49">
        <v>344</v>
      </c>
      <c r="G49">
        <f t="shared" si="1"/>
        <v>4033</v>
      </c>
    </row>
    <row r="50" spans="1:7" x14ac:dyDescent="0.2">
      <c r="A50" t="s">
        <v>102</v>
      </c>
      <c r="B50" t="s">
        <v>50</v>
      </c>
      <c r="C50" s="4">
        <v>3689</v>
      </c>
      <c r="D50">
        <v>1.04</v>
      </c>
      <c r="E50" s="3">
        <f t="shared" si="0"/>
        <v>4.0000000000000036E-2</v>
      </c>
      <c r="F50">
        <v>134</v>
      </c>
      <c r="G50">
        <f t="shared" si="1"/>
        <v>3823</v>
      </c>
    </row>
    <row r="51" spans="1:7" x14ac:dyDescent="0.2">
      <c r="A51" t="s">
        <v>103</v>
      </c>
      <c r="B51" t="s">
        <v>72</v>
      </c>
      <c r="C51" t="s">
        <v>112</v>
      </c>
      <c r="D51" s="5" t="s">
        <v>112</v>
      </c>
      <c r="E51" s="5" t="s">
        <v>112</v>
      </c>
      <c r="F51" s="5" t="s">
        <v>112</v>
      </c>
      <c r="G51" s="5" t="s">
        <v>112</v>
      </c>
    </row>
    <row r="52" spans="1:7" x14ac:dyDescent="0.2">
      <c r="A52" t="s">
        <v>104</v>
      </c>
      <c r="B52" t="s">
        <v>51</v>
      </c>
      <c r="C52" t="s">
        <v>112</v>
      </c>
      <c r="D52" s="5" t="s">
        <v>112</v>
      </c>
      <c r="E52" s="5" t="s">
        <v>112</v>
      </c>
      <c r="F52" s="5" t="s">
        <v>112</v>
      </c>
      <c r="G52" s="5" t="s">
        <v>112</v>
      </c>
    </row>
    <row r="53" spans="1:7" x14ac:dyDescent="0.2">
      <c r="A53" t="s">
        <v>105</v>
      </c>
      <c r="B53" t="s">
        <v>52</v>
      </c>
      <c r="C53" s="4">
        <v>3689</v>
      </c>
      <c r="D53">
        <v>0.95</v>
      </c>
      <c r="E53" s="3">
        <f t="shared" si="0"/>
        <v>-5.0000000000000044E-2</v>
      </c>
      <c r="F53">
        <v>-185</v>
      </c>
      <c r="G53">
        <f t="shared" si="1"/>
        <v>3504</v>
      </c>
    </row>
    <row r="54" spans="1:7" x14ac:dyDescent="0.2">
      <c r="A54" t="s">
        <v>106</v>
      </c>
      <c r="B54" t="s">
        <v>73</v>
      </c>
      <c r="C54" t="s">
        <v>112</v>
      </c>
      <c r="D54" s="5" t="s">
        <v>112</v>
      </c>
      <c r="E54" s="5" t="s">
        <v>112</v>
      </c>
      <c r="F54" s="5" t="s">
        <v>112</v>
      </c>
      <c r="G54" s="5" t="s">
        <v>112</v>
      </c>
    </row>
    <row r="55" spans="1:7" x14ac:dyDescent="0.2">
      <c r="A55" t="s">
        <v>107</v>
      </c>
      <c r="B55" t="s">
        <v>53</v>
      </c>
      <c r="C55" t="s">
        <v>112</v>
      </c>
      <c r="D55" s="5" t="s">
        <v>112</v>
      </c>
      <c r="E55" s="5" t="s">
        <v>112</v>
      </c>
      <c r="F55" s="5" t="s">
        <v>112</v>
      </c>
      <c r="G55" s="5" t="s">
        <v>112</v>
      </c>
    </row>
    <row r="56" spans="1:7" x14ac:dyDescent="0.2">
      <c r="A56" t="s">
        <v>108</v>
      </c>
      <c r="B56" t="s">
        <v>54</v>
      </c>
      <c r="C56" s="4">
        <v>3689</v>
      </c>
      <c r="D56">
        <v>1.02</v>
      </c>
      <c r="E56" s="3">
        <f t="shared" si="0"/>
        <v>2.0000000000000018E-2</v>
      </c>
      <c r="F56">
        <v>64</v>
      </c>
      <c r="G56">
        <f t="shared" si="1"/>
        <v>3753</v>
      </c>
    </row>
    <row r="57" spans="1:7" x14ac:dyDescent="0.2">
      <c r="A57" t="s">
        <v>108</v>
      </c>
      <c r="B57" t="s">
        <v>55</v>
      </c>
      <c r="C57" s="4">
        <v>3689</v>
      </c>
      <c r="D57">
        <v>0.98</v>
      </c>
      <c r="E57" s="3">
        <f t="shared" si="0"/>
        <v>-2.0000000000000018E-2</v>
      </c>
      <c r="F57">
        <v>-56</v>
      </c>
      <c r="G57">
        <f t="shared" si="1"/>
        <v>3633</v>
      </c>
    </row>
    <row r="58" spans="1:7" x14ac:dyDescent="0.2">
      <c r="A58" t="s">
        <v>23</v>
      </c>
      <c r="B58" t="s">
        <v>56</v>
      </c>
      <c r="C58" s="4">
        <v>3689</v>
      </c>
      <c r="D58">
        <v>1.1599999999999999</v>
      </c>
      <c r="E58" s="3">
        <f t="shared" si="0"/>
        <v>0.15999999999999992</v>
      </c>
      <c r="F58">
        <v>595</v>
      </c>
      <c r="G58">
        <f t="shared" si="1"/>
        <v>4284</v>
      </c>
    </row>
    <row r="59" spans="1:7" x14ac:dyDescent="0.2">
      <c r="A59" t="s">
        <v>23</v>
      </c>
      <c r="B59" t="s">
        <v>57</v>
      </c>
      <c r="C59" s="4">
        <v>3689</v>
      </c>
      <c r="D59">
        <v>1.04</v>
      </c>
      <c r="E59" s="3">
        <f t="shared" si="0"/>
        <v>4.0000000000000036E-2</v>
      </c>
      <c r="F59">
        <v>150</v>
      </c>
      <c r="G59">
        <f t="shared" si="1"/>
        <v>3839</v>
      </c>
    </row>
    <row r="60" spans="1:7" x14ac:dyDescent="0.2">
      <c r="A60" t="s">
        <v>109</v>
      </c>
      <c r="B60" t="s">
        <v>50</v>
      </c>
      <c r="C60" t="s">
        <v>112</v>
      </c>
      <c r="D60" s="5" t="s">
        <v>112</v>
      </c>
      <c r="E60" s="5" t="s">
        <v>112</v>
      </c>
      <c r="F60" s="5" t="s">
        <v>112</v>
      </c>
      <c r="G60" s="5" t="s">
        <v>112</v>
      </c>
    </row>
    <row r="61" spans="1:7" x14ac:dyDescent="0.2">
      <c r="A61" t="s">
        <v>110</v>
      </c>
      <c r="B61" t="s">
        <v>74</v>
      </c>
      <c r="C61" s="4">
        <v>3689</v>
      </c>
      <c r="D61">
        <v>1.04</v>
      </c>
      <c r="E61" s="3">
        <f t="shared" si="0"/>
        <v>4.0000000000000036E-2</v>
      </c>
      <c r="F61">
        <v>147</v>
      </c>
      <c r="G61">
        <f t="shared" si="1"/>
        <v>3836</v>
      </c>
    </row>
    <row r="62" spans="1:7" x14ac:dyDescent="0.2">
      <c r="A62" t="s">
        <v>111</v>
      </c>
      <c r="B62" t="s">
        <v>58</v>
      </c>
      <c r="C62" t="s">
        <v>112</v>
      </c>
      <c r="D62" s="5" t="s">
        <v>112</v>
      </c>
      <c r="E62" s="5" t="s">
        <v>112</v>
      </c>
      <c r="F62" s="5" t="s">
        <v>112</v>
      </c>
      <c r="G62" s="5" t="s">
        <v>112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Coal 95% Carbon Capture</vt:lpstr>
      <vt:lpstr>Small Modular Reactor Nuclear</vt:lpstr>
      <vt:lpstr>Battery Storage - 4 hours</vt:lpstr>
      <vt:lpstr>Solar PV w Single Axis Tracking</vt:lpstr>
      <vt:lpstr>Combustion Turbine Simple Cycle</vt:lpstr>
      <vt:lpstr>Onshore Wind Great Plains Regio</vt:lpstr>
      <vt:lpstr>Combine Cycle 2 2 1</vt:lpstr>
      <vt:lpstr>Offshore Wind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Mindermann, Kennedy</dc:creator>
  <cp:lastModifiedBy>Mindermann, Kennedy</cp:lastModifiedBy>
  <dcterms:created xsi:type="dcterms:W3CDTF">2024-07-15T15:13:18Z</dcterms:created>
  <dcterms:modified xsi:type="dcterms:W3CDTF">2025-01-14T16:26:31Z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2024-07-15T15:30:46Z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abb8aa65-f3a9-4c08-8819-1aea3a34f211</vt:lpwstr>
  </property>
  <property fmtid="{D5CDD505-2E9C-101B-9397-08002B2CF9AE}" pid="8" name="MSIP_Label_95965d95-ecc0-4720-b759-1f33c42ed7da_ContentBits">
    <vt:lpwstr>0</vt:lpwstr>
  </property>
</Properties>
</file>