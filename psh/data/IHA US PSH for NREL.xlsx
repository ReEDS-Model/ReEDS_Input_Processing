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nrel-my.sharepoint.com/personal/scohen_nrel_gov/Documents/_SCohen Files/Projects/Hydropower/FY20 - ReEDS Hydropower Improvement/Data/"/>
    </mc:Choice>
  </mc:AlternateContent>
  <xr:revisionPtr revIDLastSave="336" documentId="13_ncr:1_{23973031-7961-4EF0-89C8-B1D3C95B0DE8}" xr6:coauthVersionLast="47" xr6:coauthVersionMax="47" xr10:uidLastSave="{078347A1-AB1A-4496-8906-8B5BA2A3E8C5}"/>
  <bookViews>
    <workbookView xWindow="31500" yWindow="825" windowWidth="24240" windowHeight="14430" xr2:uid="{00000000-000D-0000-FFFF-FFFF00000000}"/>
  </bookViews>
  <sheets>
    <sheet name="US PSH Fleet" sheetId="9" r:id="rId1"/>
    <sheet name="dur" sheetId="12" r:id="rId2"/>
    <sheet name="storinmaxfrac" sheetId="11" r:id="rId3"/>
    <sheet name="Operational" sheetId="10" r:id="rId4"/>
  </sheets>
  <definedNames>
    <definedName name="_xlnm._FilterDatabase" localSheetId="3" hidden="1">Operational!$B$1:$P$1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9" l="1"/>
  <c r="E5" i="9"/>
  <c r="E6" i="9"/>
  <c r="E7" i="9"/>
  <c r="E8" i="9"/>
  <c r="E9" i="9"/>
  <c r="E10" i="9"/>
  <c r="E11" i="9"/>
  <c r="E25" i="9"/>
  <c r="E29" i="9"/>
  <c r="E35" i="9"/>
  <c r="E12" i="9"/>
  <c r="E31" i="9"/>
  <c r="E48" i="9"/>
  <c r="E49" i="9"/>
  <c r="E33" i="9"/>
  <c r="E18" i="9"/>
  <c r="E39" i="9"/>
  <c r="E44" i="9"/>
  <c r="E34" i="9"/>
  <c r="E43" i="9"/>
  <c r="E32" i="9"/>
  <c r="E41" i="9"/>
  <c r="E42" i="9"/>
  <c r="E36" i="9"/>
  <c r="E19" i="9"/>
  <c r="E13" i="9"/>
  <c r="E38" i="9"/>
  <c r="E45" i="9"/>
  <c r="E40" i="9"/>
  <c r="E26" i="9"/>
  <c r="E47" i="9"/>
  <c r="E20" i="9"/>
  <c r="E46" i="9"/>
  <c r="E50" i="9"/>
  <c r="E14" i="9"/>
  <c r="E15" i="9"/>
  <c r="E21" i="9"/>
  <c r="E30" i="9"/>
  <c r="E23" i="9"/>
  <c r="E37" i="9"/>
  <c r="E27" i="9"/>
  <c r="E22" i="9"/>
  <c r="E16" i="9"/>
  <c r="E24" i="9"/>
  <c r="E17" i="9"/>
  <c r="E28" i="9"/>
  <c r="E51" i="9"/>
  <c r="E52" i="9"/>
  <c r="E53" i="9"/>
  <c r="E54" i="9"/>
  <c r="E55" i="9"/>
  <c r="E56" i="9"/>
  <c r="E57" i="9"/>
  <c r="E58" i="9"/>
  <c r="O2" i="10"/>
  <c r="M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N45" i="9"/>
  <c r="AF19" i="10"/>
  <c r="AF18" i="10"/>
  <c r="V16" i="10" l="1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U16" i="10"/>
  <c r="F29" i="10"/>
  <c r="F33" i="10"/>
  <c r="F28" i="10"/>
  <c r="F23" i="10"/>
  <c r="F38" i="10"/>
  <c r="F39" i="10"/>
  <c r="F17" i="10"/>
  <c r="F37" i="10"/>
  <c r="F40" i="10"/>
  <c r="F2" i="10"/>
  <c r="F30" i="10"/>
  <c r="F18" i="10"/>
  <c r="F9" i="10"/>
  <c r="F3" i="10"/>
  <c r="F8" i="10"/>
  <c r="F10" i="10"/>
  <c r="F12" i="10"/>
  <c r="F14" i="10"/>
  <c r="F26" i="10"/>
  <c r="F11" i="10"/>
  <c r="F16" i="10"/>
  <c r="F22" i="10"/>
  <c r="F25" i="10"/>
  <c r="F7" i="10"/>
  <c r="F19" i="10"/>
  <c r="F15" i="10"/>
  <c r="F20" i="10"/>
  <c r="F36" i="10"/>
  <c r="F5" i="10"/>
  <c r="F24" i="10"/>
  <c r="F4" i="10"/>
  <c r="F27" i="10"/>
  <c r="F35" i="10"/>
  <c r="F34" i="10"/>
  <c r="F21" i="10"/>
  <c r="F31" i="10"/>
  <c r="F6" i="10"/>
  <c r="F32" i="10"/>
  <c r="F13" i="10"/>
  <c r="I13" i="10"/>
  <c r="V11" i="10" l="1"/>
  <c r="W11" i="10"/>
  <c r="X11" i="10"/>
  <c r="Y11" i="10"/>
  <c r="Z11" i="10"/>
  <c r="AA11" i="10"/>
  <c r="AB11" i="10"/>
  <c r="AB18" i="10" s="1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U11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17" i="10"/>
  <c r="O18" i="10"/>
  <c r="O19" i="10"/>
  <c r="O20" i="10"/>
  <c r="I16" i="10"/>
  <c r="J16" i="10" s="1"/>
  <c r="K16" i="10" s="1"/>
  <c r="L16" i="10" s="1"/>
  <c r="I21" i="10"/>
  <c r="J21" i="10" s="1"/>
  <c r="K21" i="10" s="1"/>
  <c r="L21" i="10" s="1"/>
  <c r="I22" i="10"/>
  <c r="J22" i="10" s="1"/>
  <c r="K22" i="10" s="1"/>
  <c r="L22" i="10" s="1"/>
  <c r="I23" i="10"/>
  <c r="J23" i="10" s="1"/>
  <c r="K23" i="10" s="1"/>
  <c r="L23" i="10" s="1"/>
  <c r="I24" i="10"/>
  <c r="J24" i="10" s="1"/>
  <c r="K24" i="10" s="1"/>
  <c r="L24" i="10" s="1"/>
  <c r="I25" i="10"/>
  <c r="J25" i="10" s="1"/>
  <c r="K25" i="10" s="1"/>
  <c r="L25" i="10" s="1"/>
  <c r="I26" i="10"/>
  <c r="J26" i="10" s="1"/>
  <c r="K26" i="10" s="1"/>
  <c r="L26" i="10" s="1"/>
  <c r="I27" i="10"/>
  <c r="J27" i="10" s="1"/>
  <c r="K27" i="10" s="1"/>
  <c r="L27" i="10" s="1"/>
  <c r="I28" i="10"/>
  <c r="J28" i="10" s="1"/>
  <c r="K28" i="10" s="1"/>
  <c r="L28" i="10" s="1"/>
  <c r="I29" i="10"/>
  <c r="J29" i="10" s="1"/>
  <c r="K29" i="10" s="1"/>
  <c r="L29" i="10" s="1"/>
  <c r="I30" i="10"/>
  <c r="J30" i="10" s="1"/>
  <c r="K30" i="10" s="1"/>
  <c r="L30" i="10" s="1"/>
  <c r="I31" i="10"/>
  <c r="J31" i="10" s="1"/>
  <c r="K31" i="10" s="1"/>
  <c r="L31" i="10" s="1"/>
  <c r="I32" i="10"/>
  <c r="J32" i="10" s="1"/>
  <c r="K32" i="10" s="1"/>
  <c r="L32" i="10" s="1"/>
  <c r="I33" i="10"/>
  <c r="J33" i="10" s="1"/>
  <c r="K33" i="10" s="1"/>
  <c r="L33" i="10" s="1"/>
  <c r="I34" i="10"/>
  <c r="J34" i="10" s="1"/>
  <c r="K34" i="10" s="1"/>
  <c r="L34" i="10" s="1"/>
  <c r="I35" i="10"/>
  <c r="J35" i="10" s="1"/>
  <c r="K35" i="10" s="1"/>
  <c r="L35" i="10" s="1"/>
  <c r="I36" i="10"/>
  <c r="J36" i="10" s="1"/>
  <c r="K36" i="10" s="1"/>
  <c r="L36" i="10" s="1"/>
  <c r="I37" i="10"/>
  <c r="J37" i="10" s="1"/>
  <c r="K37" i="10" s="1"/>
  <c r="L37" i="10" s="1"/>
  <c r="I38" i="10"/>
  <c r="J38" i="10" s="1"/>
  <c r="K38" i="10" s="1"/>
  <c r="L38" i="10" s="1"/>
  <c r="I39" i="10"/>
  <c r="J39" i="10" s="1"/>
  <c r="K39" i="10" s="1"/>
  <c r="L39" i="10" s="1"/>
  <c r="I40" i="10"/>
  <c r="J40" i="10" s="1"/>
  <c r="K40" i="10" s="1"/>
  <c r="L40" i="10" s="1"/>
  <c r="I17" i="10"/>
  <c r="J17" i="10" s="1"/>
  <c r="K17" i="10" s="1"/>
  <c r="L17" i="10" s="1"/>
  <c r="I18" i="10"/>
  <c r="J18" i="10" s="1"/>
  <c r="K18" i="10" s="1"/>
  <c r="L18" i="10" s="1"/>
  <c r="I19" i="10"/>
  <c r="J19" i="10" s="1"/>
  <c r="K19" i="10" s="1"/>
  <c r="L19" i="10" s="1"/>
  <c r="I20" i="10"/>
  <c r="J20" i="10" s="1"/>
  <c r="K20" i="10" s="1"/>
  <c r="L20" i="10" s="1"/>
  <c r="I3" i="10"/>
  <c r="J3" i="10" s="1"/>
  <c r="K3" i="10" s="1"/>
  <c r="L3" i="10" s="1"/>
  <c r="I4" i="10"/>
  <c r="J4" i="10" s="1"/>
  <c r="K4" i="10" s="1"/>
  <c r="L4" i="10" s="1"/>
  <c r="I5" i="10"/>
  <c r="J5" i="10" s="1"/>
  <c r="K5" i="10" s="1"/>
  <c r="L5" i="10" s="1"/>
  <c r="I6" i="10"/>
  <c r="J6" i="10" s="1"/>
  <c r="K6" i="10" s="1"/>
  <c r="L6" i="10" s="1"/>
  <c r="I7" i="10"/>
  <c r="J7" i="10" s="1"/>
  <c r="K7" i="10" s="1"/>
  <c r="L7" i="10" s="1"/>
  <c r="I8" i="10"/>
  <c r="J8" i="10" s="1"/>
  <c r="K8" i="10" s="1"/>
  <c r="L8" i="10" s="1"/>
  <c r="I9" i="10"/>
  <c r="J9" i="10" s="1"/>
  <c r="K9" i="10" s="1"/>
  <c r="L9" i="10" s="1"/>
  <c r="I10" i="10"/>
  <c r="J10" i="10" s="1"/>
  <c r="K10" i="10" s="1"/>
  <c r="L10" i="10" s="1"/>
  <c r="I11" i="10"/>
  <c r="J11" i="10" s="1"/>
  <c r="K11" i="10" s="1"/>
  <c r="L11" i="10" s="1"/>
  <c r="I12" i="10"/>
  <c r="J12" i="10" s="1"/>
  <c r="K12" i="10" s="1"/>
  <c r="L12" i="10" s="1"/>
  <c r="J13" i="10"/>
  <c r="K13" i="10" s="1"/>
  <c r="L13" i="10" s="1"/>
  <c r="I14" i="10"/>
  <c r="J14" i="10" s="1"/>
  <c r="K14" i="10" s="1"/>
  <c r="L14" i="10" s="1"/>
  <c r="I15" i="10"/>
  <c r="J15" i="10" s="1"/>
  <c r="K15" i="10" s="1"/>
  <c r="L15" i="10" s="1"/>
  <c r="I2" i="10"/>
  <c r="J2" i="10" s="1"/>
  <c r="K2" i="10" s="1"/>
  <c r="L2" i="10" s="1"/>
  <c r="A3" i="10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G16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17" i="10"/>
  <c r="G18" i="10"/>
  <c r="G19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2" i="10"/>
  <c r="N49" i="9"/>
  <c r="N33" i="9"/>
  <c r="N18" i="9"/>
  <c r="N39" i="9"/>
  <c r="N25" i="9"/>
  <c r="N29" i="9"/>
  <c r="N16" i="9"/>
  <c r="N35" i="9"/>
  <c r="N12" i="9"/>
  <c r="N23" i="9"/>
  <c r="N44" i="9"/>
  <c r="N24" i="9"/>
  <c r="N20" i="9"/>
  <c r="N37" i="9"/>
  <c r="N15" i="9"/>
  <c r="N46" i="9"/>
  <c r="N50" i="9"/>
  <c r="N40" i="9"/>
  <c r="N34" i="9"/>
  <c r="N14" i="9"/>
  <c r="N26" i="9"/>
  <c r="N43" i="9"/>
  <c r="N32" i="9"/>
  <c r="N21" i="9"/>
  <c r="N17" i="9"/>
  <c r="N47" i="9"/>
  <c r="N28" i="9"/>
  <c r="N31" i="9"/>
  <c r="N27" i="9"/>
  <c r="N41" i="9"/>
  <c r="N22" i="9"/>
  <c r="N42" i="9"/>
  <c r="N48" i="9"/>
  <c r="N36" i="9"/>
  <c r="N19" i="9"/>
  <c r="N13" i="9"/>
  <c r="N30" i="9"/>
  <c r="N38" i="9"/>
  <c r="N4" i="9"/>
  <c r="N8" i="9"/>
  <c r="N52" i="9"/>
  <c r="N55" i="9"/>
  <c r="N51" i="9"/>
  <c r="N6" i="9"/>
  <c r="N54" i="9"/>
  <c r="N56" i="9"/>
  <c r="N9" i="9"/>
  <c r="N10" i="9"/>
  <c r="N5" i="9"/>
  <c r="N11" i="9"/>
  <c r="N53" i="9"/>
  <c r="N57" i="9"/>
  <c r="N7" i="9"/>
  <c r="N58" i="9"/>
  <c r="H32" i="10" l="1"/>
  <c r="H6" i="10"/>
  <c r="H13" i="10"/>
  <c r="H9" i="10"/>
  <c r="H20" i="10"/>
  <c r="H36" i="10"/>
  <c r="H28" i="10"/>
  <c r="H2" i="10"/>
  <c r="H14" i="10"/>
  <c r="H40" i="10"/>
  <c r="H12" i="10"/>
  <c r="H24" i="10"/>
  <c r="H5" i="10"/>
  <c r="H10" i="10"/>
  <c r="H4" i="10"/>
  <c r="H22" i="10"/>
  <c r="H8" i="10"/>
  <c r="H16" i="10"/>
  <c r="H17" i="10"/>
  <c r="H37" i="10"/>
  <c r="H33" i="10"/>
  <c r="H29" i="10"/>
  <c r="H25" i="10"/>
  <c r="H21" i="10"/>
  <c r="H15" i="10"/>
  <c r="H11" i="10"/>
  <c r="H7" i="10"/>
  <c r="H3" i="10"/>
  <c r="H35" i="10"/>
  <c r="H19" i="10"/>
  <c r="H27" i="10"/>
  <c r="H38" i="10"/>
  <c r="H39" i="10"/>
  <c r="H31" i="10"/>
  <c r="H23" i="10"/>
  <c r="H18" i="10"/>
  <c r="H34" i="10"/>
  <c r="H30" i="10"/>
  <c r="H26" i="10"/>
  <c r="N1" i="9"/>
  <c r="C2" i="9"/>
  <c r="N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Cohen, Stuart</author>
  </authors>
  <commentList>
    <comment ref="I3" authorId="0" shapeId="0" xr:uid="{00C43F7A-C559-486A-AB67-D1CDD1E176F0}">
      <text>
        <r>
          <rPr>
            <b/>
            <sz val="9"/>
            <color indexed="81"/>
            <rFont val="Tahoma"/>
            <charset val="1"/>
          </rPr>
          <t>Cohen, Stuart:</t>
        </r>
        <r>
          <rPr>
            <sz val="9"/>
            <color indexed="81"/>
            <rFont val="Tahoma"/>
            <charset val="1"/>
          </rPr>
          <t xml:space="preserve">
It seems as if 2025 is a placeholder commissioning date for planned/announced plants with no known date</t>
        </r>
      </text>
    </comment>
  </commentList>
</comments>
</file>

<file path=xl/sharedStrings.xml><?xml version="1.0" encoding="utf-8"?>
<sst xmlns="http://schemas.openxmlformats.org/spreadsheetml/2006/main" count="699" uniqueCount="158">
  <si>
    <t>Fixed speed</t>
  </si>
  <si>
    <t>United States</t>
  </si>
  <si>
    <t>CA</t>
  </si>
  <si>
    <t>PA</t>
  </si>
  <si>
    <t>WA</t>
  </si>
  <si>
    <t>Waddell</t>
  </si>
  <si>
    <t>Operational</t>
  </si>
  <si>
    <t>AZ</t>
  </si>
  <si>
    <t>Castaic</t>
  </si>
  <si>
    <t>Big Creek (J S Eastwood)</t>
  </si>
  <si>
    <t>Thermalito Hydro Power Plant</t>
  </si>
  <si>
    <t>Cabin Creek</t>
  </si>
  <si>
    <t>CO</t>
  </si>
  <si>
    <t>Mount Elbert</t>
  </si>
  <si>
    <t>Carters</t>
  </si>
  <si>
    <t>GA</t>
  </si>
  <si>
    <t>Rocky Mountain</t>
  </si>
  <si>
    <t>GE</t>
  </si>
  <si>
    <t>Northfield Mountain</t>
  </si>
  <si>
    <t>MA</t>
  </si>
  <si>
    <t>Taum Sauk</t>
  </si>
  <si>
    <t>MO</t>
  </si>
  <si>
    <t>Yards Creek</t>
  </si>
  <si>
    <t>NJ</t>
  </si>
  <si>
    <t>Lewiston Niagara</t>
  </si>
  <si>
    <t>NY</t>
  </si>
  <si>
    <t>Fairfield</t>
  </si>
  <si>
    <t>SC</t>
  </si>
  <si>
    <t>Ludington</t>
  </si>
  <si>
    <t>Flatiron</t>
  </si>
  <si>
    <t>ONeill</t>
  </si>
  <si>
    <t>Richard B Russell</t>
  </si>
  <si>
    <t>(1) Short term (1 - 6h)</t>
  </si>
  <si>
    <t>(2) Short intra-day (6 - 12h)</t>
  </si>
  <si>
    <t>Degray</t>
  </si>
  <si>
    <t>AR</t>
  </si>
  <si>
    <t>(3) Long intra-day (12 - 24h)</t>
  </si>
  <si>
    <t>Clarence Cannon</t>
  </si>
  <si>
    <t>(4) Intra-week (24 - 168h)</t>
  </si>
  <si>
    <t>Salina</t>
  </si>
  <si>
    <t>OK</t>
  </si>
  <si>
    <t>Mormon Flat</t>
  </si>
  <si>
    <t>Smith Mountain</t>
  </si>
  <si>
    <t>VA</t>
  </si>
  <si>
    <t>Bear Swamp (Jack Cockwell)</t>
  </si>
  <si>
    <t>Massachusetts</t>
  </si>
  <si>
    <t>Seneca</t>
  </si>
  <si>
    <t>(5) Intra-month (168 - 730.5h)</t>
  </si>
  <si>
    <t>Muddy Run</t>
  </si>
  <si>
    <t>John W Keys III (Grand Coulee)</t>
  </si>
  <si>
    <t>Blenheim Gilboa</t>
  </si>
  <si>
    <t>Olivenhain-Hodges Storage Project</t>
  </si>
  <si>
    <t>Michigan</t>
  </si>
  <si>
    <t>Horse Mesa</t>
  </si>
  <si>
    <t>Bath County</t>
  </si>
  <si>
    <t>Bad Creek</t>
  </si>
  <si>
    <t>Rocky River</t>
  </si>
  <si>
    <t>CT</t>
  </si>
  <si>
    <t>(6) Seasonal (&gt;730.5h)</t>
  </si>
  <si>
    <t>Raccoon Mountain</t>
  </si>
  <si>
    <t>TN</t>
  </si>
  <si>
    <t>Jocassee</t>
  </si>
  <si>
    <t>Helms</t>
  </si>
  <si>
    <t>Wallace Dam</t>
  </si>
  <si>
    <t>Hiwassee</t>
  </si>
  <si>
    <t>NC</t>
  </si>
  <si>
    <t>San Luis (W R Gianelli)</t>
  </si>
  <si>
    <t>Edward C Hyatt</t>
  </si>
  <si>
    <t>Station Name </t>
  </si>
  <si>
    <t>Country </t>
  </si>
  <si>
    <t>Operational Capacity (MW) </t>
  </si>
  <si>
    <t>Operational Status </t>
  </si>
  <si>
    <t>Number of Units </t>
  </si>
  <si>
    <t>Year of Commissioning (electricity production) </t>
  </si>
  <si>
    <t>Pump-turbine type </t>
  </si>
  <si>
    <t>Province </t>
  </si>
  <si>
    <t>Est. Max Discharge Duration (hour)</t>
  </si>
  <si>
    <t>Discharge Duration Class</t>
  </si>
  <si>
    <t>Estimated Energy Storage Rating (GWh)</t>
  </si>
  <si>
    <t>Pump Capacity</t>
  </si>
  <si>
    <t>open</t>
  </si>
  <si>
    <t>Water Configuration (open or closed loop)</t>
  </si>
  <si>
    <t>closed</t>
  </si>
  <si>
    <t>added pump capacity and water config from wiki: https://en.wikipedia.org/wiki/New_Waddell_Dam#New_Waddell_Dam</t>
  </si>
  <si>
    <t>Banks Lake</t>
  </si>
  <si>
    <t>Announced</t>
  </si>
  <si>
    <t>Variable speed</t>
  </si>
  <si>
    <t>JD Pool</t>
  </si>
  <si>
    <t>Prineville</t>
  </si>
  <si>
    <t>Planned</t>
  </si>
  <si>
    <t>OR</t>
  </si>
  <si>
    <t>Swan Lake North</t>
  </si>
  <si>
    <t>Lake Elsinore Advanced Pumped Storage (LEAPS)</t>
  </si>
  <si>
    <t>San Vicente Energy Storage Facility</t>
  </si>
  <si>
    <t>Parker Knoll</t>
  </si>
  <si>
    <t>UT</t>
  </si>
  <si>
    <t>Gordon Butte</t>
  </si>
  <si>
    <t>MT</t>
  </si>
  <si>
    <t>Coffin Butte</t>
  </si>
  <si>
    <t>Seminoe (Black Canyon)</t>
  </si>
  <si>
    <t>WY</t>
  </si>
  <si>
    <t>Gregory County</t>
  </si>
  <si>
    <t>SD</t>
  </si>
  <si>
    <t>Maysville</t>
  </si>
  <si>
    <t>KY</t>
  </si>
  <si>
    <t>Silver Creek</t>
  </si>
  <si>
    <t>Richmondale</t>
  </si>
  <si>
    <t>Panther</t>
  </si>
  <si>
    <t>Mineville</t>
  </si>
  <si>
    <t>manually added from https://www.hydropower.org/hydropower-pumped-storage-tool on 20200519. state might be approx. should double check before placing in a ReEDS BA.</t>
  </si>
  <si>
    <t>Calc Max Discharge Duration</t>
  </si>
  <si>
    <t>Notes/Sources</t>
  </si>
  <si>
    <t>Cumulative Capacity</t>
  </si>
  <si>
    <t>Count</t>
  </si>
  <si>
    <t>Days Storage</t>
  </si>
  <si>
    <t>Weeks Storage</t>
  </si>
  <si>
    <t>"seasons" of storage</t>
  </si>
  <si>
    <t>Min In-Season Energy</t>
  </si>
  <si>
    <t>State</t>
  </si>
  <si>
    <t>Storage In Max Frac</t>
  </si>
  <si>
    <t>ReEDS BA</t>
  </si>
  <si>
    <t>Cumul Capacity %</t>
  </si>
  <si>
    <t>p95</t>
  </si>
  <si>
    <t>p99</t>
  </si>
  <si>
    <t>p131</t>
  </si>
  <si>
    <t>p127</t>
  </si>
  <si>
    <t>p33</t>
  </si>
  <si>
    <t>p94</t>
  </si>
  <si>
    <t>p10</t>
  </si>
  <si>
    <t>p71</t>
  </si>
  <si>
    <t>p85</t>
  </si>
  <si>
    <t>p9</t>
  </si>
  <si>
    <t>p96</t>
  </si>
  <si>
    <t>p97</t>
  </si>
  <si>
    <t>p28</t>
  </si>
  <si>
    <t>p3</t>
  </si>
  <si>
    <t>p103</t>
  </si>
  <si>
    <t>p122</t>
  </si>
  <si>
    <t>p92</t>
  </si>
  <si>
    <t>p132</t>
  </si>
  <si>
    <t>p51</t>
  </si>
  <si>
    <t>p73</t>
  </si>
  <si>
    <t>p126</t>
  </si>
  <si>
    <t>p11</t>
  </si>
  <si>
    <t>Sum of Operational Capacity (MW) </t>
  </si>
  <si>
    <t>Sum of Pump Capacity</t>
  </si>
  <si>
    <t>BA pump/gen capacity</t>
  </si>
  <si>
    <t>Gen Cap * Duration (MWh)</t>
  </si>
  <si>
    <t>Sum of Gen Cap * Duration (MWh)</t>
  </si>
  <si>
    <t>Cap Wt Avg Duration (h)</t>
  </si>
  <si>
    <t>Calc Max Discharge Duration (hr)</t>
  </si>
  <si>
    <t xml:space="preserve"> </t>
  </si>
  <si>
    <t>Pump/Generator Capacity</t>
  </si>
  <si>
    <t>Plant Name</t>
  </si>
  <si>
    <t>Calc Max Discharge Duration (hours)</t>
  </si>
  <si>
    <t>Generator Capacity (MW) </t>
  </si>
  <si>
    <t>Pump/Generator Capacity Ratio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</si>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</sst>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0" fontId="20" fillId="0" borderId="0" xfId="0" applyFont="1"/>
    <xf numFmtId="0" fontId="21" fillId="0" borderId="0" xfId="0" applyFont="1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ill="1" applyBorder="1"/>
    <xf numFmtId="0" fontId="0" fillId="34" borderId="11" xfId="0" applyFill="1" applyBorder="1"/>
    <xf numFmtId="0" fontId="0" fillId="0" borderId="10" xfId="0" applyBorder="1"/>
    <xf numFmtId="0" fontId="0" fillId="0" borderId="11" xfId="0" applyBorder="1"/>
    <xf numFmtId="1" fontId="0" fillId="34" borderId="11" xfId="0" applyNumberFormat="1" applyFill="1" applyBorder="1"/>
    <xf numFmtId="1" fontId="0" fillId="0" borderId="11" xfId="0" applyNumberFormat="1" applyBorder="1"/>
    <xf numFmtId="0" fontId="13" fillId="33" borderId="0" xfId="0" applyFont="1" applyFill="1"/>
    <xf numFmtId="9" fontId="0" fillId="0" borderId="0" xfId="42" applyFont="1"/>
    <xf numFmtId="164" fontId="0" fillId="0" borderId="0" xfId="42" applyNumberFormat="1" applyFont="1"/>
    <xf numFmtId="2" fontId="0" fillId="0" borderId="0" xfId="0" applyNumberFormat="1"/>
    <xf numFmtId="164" fontId="0" fillId="0" borderId="0" xfId="0" applyNumberFormat="1"/>
    <xf numFmtId="164" fontId="22" fillId="0" borderId="0" xfId="0" applyNumberFormat="1" applyFont="1"/>
    <xf numFmtId="0" fontId="0" fillId="0" borderId="0" xfId="0" pivotButton="1"/>
    <xf numFmtId="0" fontId="16" fillId="34" borderId="12" xfId="0" applyFont="1" applyFill="1" applyBorder="1"/>
    <xf numFmtId="165" fontId="0" fillId="0" borderId="0" xfId="0" applyNumberFormat="1"/>
    <xf numFmtId="165" fontId="16" fillId="0" borderId="0" xfId="0" applyNumberFormat="1" applyFo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0" formatCode="General"/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000"/>
              <a:t>All Plants</a:t>
            </a:r>
          </a:p>
        </c:rich>
      </c:tx>
      <c:layout>
        <c:manualLayout>
          <c:xMode val="edge"/>
          <c:yMode val="edge"/>
          <c:x val="0.362077294685990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285047702370539"/>
          <c:y val="9.4722659667541564E-2"/>
          <c:w val="0.64746698329375496"/>
          <c:h val="0.66565485564304461"/>
        </c:manualLayout>
      </c:layout>
      <c:scatterChart>
        <c:scatterStyle val="lineMarker"/>
        <c:varyColors val="0"/>
        <c:ser>
          <c:idx val="0"/>
          <c:order val="0"/>
          <c:tx>
            <c:strRef>
              <c:f>dur!$B$1</c:f>
              <c:strCache>
                <c:ptCount val="1"/>
                <c:pt idx="0">
                  <c:v>Calc Max Discharge Duration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dur!$A$2:$A$56</c:f>
              <c:numCache>
                <c:formatCode>General</c:formatCode>
                <c:ptCount val="55"/>
                <c:pt idx="0">
                  <c:v>94.5</c:v>
                </c:pt>
                <c:pt idx="1">
                  <c:v>560</c:v>
                </c:pt>
                <c:pt idx="2">
                  <c:v>68</c:v>
                </c:pt>
                <c:pt idx="3">
                  <c:v>29</c:v>
                </c:pt>
                <c:pt idx="4">
                  <c:v>819</c:v>
                </c:pt>
                <c:pt idx="5">
                  <c:v>500</c:v>
                </c:pt>
                <c:pt idx="6">
                  <c:v>600</c:v>
                </c:pt>
                <c:pt idx="7">
                  <c:v>58</c:v>
                </c:pt>
                <c:pt idx="8">
                  <c:v>321</c:v>
                </c:pt>
                <c:pt idx="9">
                  <c:v>120</c:v>
                </c:pt>
                <c:pt idx="10">
                  <c:v>130</c:v>
                </c:pt>
                <c:pt idx="11">
                  <c:v>1095</c:v>
                </c:pt>
                <c:pt idx="12">
                  <c:v>60</c:v>
                </c:pt>
                <c:pt idx="13">
                  <c:v>504</c:v>
                </c:pt>
                <c:pt idx="14">
                  <c:v>453</c:v>
                </c:pt>
                <c:pt idx="15">
                  <c:v>469</c:v>
                </c:pt>
                <c:pt idx="16">
                  <c:v>3003</c:v>
                </c:pt>
                <c:pt idx="17">
                  <c:v>1124</c:v>
                </c:pt>
                <c:pt idx="18">
                  <c:v>1556</c:v>
                </c:pt>
                <c:pt idx="19">
                  <c:v>450</c:v>
                </c:pt>
                <c:pt idx="20">
                  <c:v>1065.2</c:v>
                </c:pt>
                <c:pt idx="21">
                  <c:v>324</c:v>
                </c:pt>
                <c:pt idx="22">
                  <c:v>600</c:v>
                </c:pt>
                <c:pt idx="23">
                  <c:v>1160</c:v>
                </c:pt>
                <c:pt idx="24">
                  <c:v>576</c:v>
                </c:pt>
                <c:pt idx="25">
                  <c:v>1872</c:v>
                </c:pt>
                <c:pt idx="26">
                  <c:v>1072</c:v>
                </c:pt>
                <c:pt idx="27">
                  <c:v>260</c:v>
                </c:pt>
                <c:pt idx="28">
                  <c:v>45</c:v>
                </c:pt>
                <c:pt idx="29">
                  <c:v>240</c:v>
                </c:pt>
                <c:pt idx="30">
                  <c:v>200</c:v>
                </c:pt>
                <c:pt idx="31">
                  <c:v>1652</c:v>
                </c:pt>
                <c:pt idx="32">
                  <c:v>1212</c:v>
                </c:pt>
                <c:pt idx="33">
                  <c:v>710</c:v>
                </c:pt>
                <c:pt idx="34">
                  <c:v>314</c:v>
                </c:pt>
                <c:pt idx="35">
                  <c:v>40</c:v>
                </c:pt>
                <c:pt idx="36">
                  <c:v>185</c:v>
                </c:pt>
                <c:pt idx="37">
                  <c:v>199.8</c:v>
                </c:pt>
                <c:pt idx="38">
                  <c:v>25.2</c:v>
                </c:pt>
              </c:numCache>
            </c:numRef>
          </c:xVal>
          <c:yVal>
            <c:numRef>
              <c:f>dur!$B$2:$B$56</c:f>
              <c:numCache>
                <c:formatCode>0</c:formatCode>
                <c:ptCount val="55"/>
                <c:pt idx="1">
                  <c:v>5.9464285714285712</c:v>
                </c:pt>
                <c:pt idx="2">
                  <c:v>2.7941176470588234</c:v>
                </c:pt>
                <c:pt idx="3">
                  <c:v>923.79310344827582</c:v>
                </c:pt>
                <c:pt idx="4">
                  <c:v>2269.2075702075704</c:v>
                </c:pt>
                <c:pt idx="5">
                  <c:v>3.78</c:v>
                </c:pt>
                <c:pt idx="7">
                  <c:v>4.8275862068965516</c:v>
                </c:pt>
                <c:pt idx="8">
                  <c:v>663.55140186915889</c:v>
                </c:pt>
                <c:pt idx="9">
                  <c:v>11.508333333333333</c:v>
                </c:pt>
                <c:pt idx="10">
                  <c:v>181.53846153846155</c:v>
                </c:pt>
                <c:pt idx="11">
                  <c:v>5.5525114155251138</c:v>
                </c:pt>
                <c:pt idx="12">
                  <c:v>46</c:v>
                </c:pt>
                <c:pt idx="13">
                  <c:v>1011.3293650793651</c:v>
                </c:pt>
                <c:pt idx="14">
                  <c:v>6.1810154525386309</c:v>
                </c:pt>
                <c:pt idx="15">
                  <c:v>8.3582089552238799</c:v>
                </c:pt>
                <c:pt idx="16">
                  <c:v>7.8921078921078918</c:v>
                </c:pt>
                <c:pt idx="17">
                  <c:v>9.3416370106761573</c:v>
                </c:pt>
                <c:pt idx="19">
                  <c:v>6.1111111111111107</c:v>
                </c:pt>
                <c:pt idx="20">
                  <c:v>22.530980097634245</c:v>
                </c:pt>
                <c:pt idx="21">
                  <c:v>4.4753086419753085</c:v>
                </c:pt>
                <c:pt idx="22">
                  <c:v>6.15</c:v>
                </c:pt>
                <c:pt idx="23">
                  <c:v>10.344827586206897</c:v>
                </c:pt>
                <c:pt idx="24">
                  <c:v>7.1180555555555554</c:v>
                </c:pt>
                <c:pt idx="25">
                  <c:v>9.1880341880341874</c:v>
                </c:pt>
                <c:pt idx="26">
                  <c:v>10.354477611940299</c:v>
                </c:pt>
                <c:pt idx="27">
                  <c:v>10.192307692307692</c:v>
                </c:pt>
                <c:pt idx="28">
                  <c:v>6.5333333333333332</c:v>
                </c:pt>
                <c:pt idx="29">
                  <c:v>20</c:v>
                </c:pt>
                <c:pt idx="30">
                  <c:v>12.05</c:v>
                </c:pt>
                <c:pt idx="31">
                  <c:v>19.449152542372882</c:v>
                </c:pt>
                <c:pt idx="32">
                  <c:v>151.8151815181518</c:v>
                </c:pt>
                <c:pt idx="33">
                  <c:v>81.042253521126767</c:v>
                </c:pt>
                <c:pt idx="34">
                  <c:v>35.414012738853501</c:v>
                </c:pt>
                <c:pt idx="35">
                  <c:v>394.8</c:v>
                </c:pt>
                <c:pt idx="36">
                  <c:v>1563.2432432432433</c:v>
                </c:pt>
                <c:pt idx="37">
                  <c:v>8.0080080080080069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8-4795-9BFA-CACBC051A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999496"/>
        <c:axId val="763004416"/>
      </c:scatterChart>
      <c:valAx>
        <c:axId val="762999496"/>
        <c:scaling>
          <c:orientation val="minMax"/>
          <c:max val="30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Gen Capacity (MW)</a:t>
                </a:r>
              </a:p>
            </c:rich>
          </c:tx>
          <c:layout>
            <c:manualLayout>
              <c:xMode val="edge"/>
              <c:yMode val="edge"/>
              <c:x val="0.29487285556696718"/>
              <c:y val="0.914331583552056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63004416"/>
        <c:crosses val="autoZero"/>
        <c:crossBetween val="midCat"/>
      </c:valAx>
      <c:valAx>
        <c:axId val="76300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i="1"/>
                  <a:t>Storage Duration (hr)</a:t>
                </a:r>
              </a:p>
            </c:rich>
          </c:tx>
          <c:layout>
            <c:manualLayout>
              <c:xMode val="edge"/>
              <c:yMode val="edge"/>
              <c:x val="2.935162995929858E-3"/>
              <c:y val="0.172549868766404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62999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000"/>
            </a:pPr>
            <a:r>
              <a:rPr lang="en-US" sz="1000"/>
              <a:t>Plants &lt; 96-hr</a:t>
            </a:r>
          </a:p>
        </c:rich>
      </c:tx>
      <c:layout>
        <c:manualLayout>
          <c:xMode val="edge"/>
          <c:yMode val="edge"/>
          <c:x val="0.36207729468599031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671291088613925"/>
          <c:y val="9.4722659667541564E-2"/>
          <c:w val="0.67392200974878136"/>
          <c:h val="0.66565485564304461"/>
        </c:manualLayout>
      </c:layout>
      <c:scatterChart>
        <c:scatterStyle val="lineMarker"/>
        <c:varyColors val="0"/>
        <c:ser>
          <c:idx val="0"/>
          <c:order val="0"/>
          <c:tx>
            <c:strRef>
              <c:f>dur!$B$1</c:f>
              <c:strCache>
                <c:ptCount val="1"/>
                <c:pt idx="0">
                  <c:v>Calc Max Discharge Duration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dur!$A$2:$A$56</c:f>
              <c:numCache>
                <c:formatCode>General</c:formatCode>
                <c:ptCount val="55"/>
                <c:pt idx="0">
                  <c:v>94.5</c:v>
                </c:pt>
                <c:pt idx="1">
                  <c:v>560</c:v>
                </c:pt>
                <c:pt idx="2">
                  <c:v>68</c:v>
                </c:pt>
                <c:pt idx="3">
                  <c:v>29</c:v>
                </c:pt>
                <c:pt idx="4">
                  <c:v>819</c:v>
                </c:pt>
                <c:pt idx="5">
                  <c:v>500</c:v>
                </c:pt>
                <c:pt idx="6">
                  <c:v>600</c:v>
                </c:pt>
                <c:pt idx="7">
                  <c:v>58</c:v>
                </c:pt>
                <c:pt idx="8">
                  <c:v>321</c:v>
                </c:pt>
                <c:pt idx="9">
                  <c:v>120</c:v>
                </c:pt>
                <c:pt idx="10">
                  <c:v>130</c:v>
                </c:pt>
                <c:pt idx="11">
                  <c:v>1095</c:v>
                </c:pt>
                <c:pt idx="12">
                  <c:v>60</c:v>
                </c:pt>
                <c:pt idx="13">
                  <c:v>504</c:v>
                </c:pt>
                <c:pt idx="14">
                  <c:v>453</c:v>
                </c:pt>
                <c:pt idx="15">
                  <c:v>469</c:v>
                </c:pt>
                <c:pt idx="16">
                  <c:v>3003</c:v>
                </c:pt>
                <c:pt idx="17">
                  <c:v>1124</c:v>
                </c:pt>
                <c:pt idx="18">
                  <c:v>1556</c:v>
                </c:pt>
                <c:pt idx="19">
                  <c:v>450</c:v>
                </c:pt>
                <c:pt idx="20">
                  <c:v>1065.2</c:v>
                </c:pt>
                <c:pt idx="21">
                  <c:v>324</c:v>
                </c:pt>
                <c:pt idx="22">
                  <c:v>600</c:v>
                </c:pt>
                <c:pt idx="23">
                  <c:v>1160</c:v>
                </c:pt>
                <c:pt idx="24">
                  <c:v>576</c:v>
                </c:pt>
                <c:pt idx="25">
                  <c:v>1872</c:v>
                </c:pt>
                <c:pt idx="26">
                  <c:v>1072</c:v>
                </c:pt>
                <c:pt idx="27">
                  <c:v>260</c:v>
                </c:pt>
                <c:pt idx="28">
                  <c:v>45</c:v>
                </c:pt>
                <c:pt idx="29">
                  <c:v>240</c:v>
                </c:pt>
                <c:pt idx="30">
                  <c:v>200</c:v>
                </c:pt>
                <c:pt idx="31">
                  <c:v>1652</c:v>
                </c:pt>
                <c:pt idx="32">
                  <c:v>1212</c:v>
                </c:pt>
                <c:pt idx="33">
                  <c:v>710</c:v>
                </c:pt>
                <c:pt idx="34">
                  <c:v>314</c:v>
                </c:pt>
                <c:pt idx="35">
                  <c:v>40</c:v>
                </c:pt>
                <c:pt idx="36">
                  <c:v>185</c:v>
                </c:pt>
                <c:pt idx="37">
                  <c:v>199.8</c:v>
                </c:pt>
                <c:pt idx="38">
                  <c:v>25.2</c:v>
                </c:pt>
              </c:numCache>
            </c:numRef>
          </c:xVal>
          <c:yVal>
            <c:numRef>
              <c:f>dur!$B$2:$B$56</c:f>
              <c:numCache>
                <c:formatCode>0</c:formatCode>
                <c:ptCount val="55"/>
                <c:pt idx="1">
                  <c:v>5.9464285714285712</c:v>
                </c:pt>
                <c:pt idx="2">
                  <c:v>2.7941176470588234</c:v>
                </c:pt>
                <c:pt idx="3">
                  <c:v>923.79310344827582</c:v>
                </c:pt>
                <c:pt idx="4">
                  <c:v>2269.2075702075704</c:v>
                </c:pt>
                <c:pt idx="5">
                  <c:v>3.78</c:v>
                </c:pt>
                <c:pt idx="7">
                  <c:v>4.8275862068965516</c:v>
                </c:pt>
                <c:pt idx="8">
                  <c:v>663.55140186915889</c:v>
                </c:pt>
                <c:pt idx="9">
                  <c:v>11.508333333333333</c:v>
                </c:pt>
                <c:pt idx="10">
                  <c:v>181.53846153846155</c:v>
                </c:pt>
                <c:pt idx="11">
                  <c:v>5.5525114155251138</c:v>
                </c:pt>
                <c:pt idx="12">
                  <c:v>46</c:v>
                </c:pt>
                <c:pt idx="13">
                  <c:v>1011.3293650793651</c:v>
                </c:pt>
                <c:pt idx="14">
                  <c:v>6.1810154525386309</c:v>
                </c:pt>
                <c:pt idx="15">
                  <c:v>8.3582089552238799</c:v>
                </c:pt>
                <c:pt idx="16">
                  <c:v>7.8921078921078918</c:v>
                </c:pt>
                <c:pt idx="17">
                  <c:v>9.3416370106761573</c:v>
                </c:pt>
                <c:pt idx="19">
                  <c:v>6.1111111111111107</c:v>
                </c:pt>
                <c:pt idx="20">
                  <c:v>22.530980097634245</c:v>
                </c:pt>
                <c:pt idx="21">
                  <c:v>4.4753086419753085</c:v>
                </c:pt>
                <c:pt idx="22">
                  <c:v>6.15</c:v>
                </c:pt>
                <c:pt idx="23">
                  <c:v>10.344827586206897</c:v>
                </c:pt>
                <c:pt idx="24">
                  <c:v>7.1180555555555554</c:v>
                </c:pt>
                <c:pt idx="25">
                  <c:v>9.1880341880341874</c:v>
                </c:pt>
                <c:pt idx="26">
                  <c:v>10.354477611940299</c:v>
                </c:pt>
                <c:pt idx="27">
                  <c:v>10.192307692307692</c:v>
                </c:pt>
                <c:pt idx="28">
                  <c:v>6.5333333333333332</c:v>
                </c:pt>
                <c:pt idx="29">
                  <c:v>20</c:v>
                </c:pt>
                <c:pt idx="30">
                  <c:v>12.05</c:v>
                </c:pt>
                <c:pt idx="31">
                  <c:v>19.449152542372882</c:v>
                </c:pt>
                <c:pt idx="32">
                  <c:v>151.8151815181518</c:v>
                </c:pt>
                <c:pt idx="33">
                  <c:v>81.042253521126767</c:v>
                </c:pt>
                <c:pt idx="34">
                  <c:v>35.414012738853501</c:v>
                </c:pt>
                <c:pt idx="35">
                  <c:v>394.8</c:v>
                </c:pt>
                <c:pt idx="36">
                  <c:v>1563.2432432432433</c:v>
                </c:pt>
                <c:pt idx="37">
                  <c:v>8.0080080080080069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12-449D-9F56-C21AF669D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999496"/>
        <c:axId val="763004416"/>
      </c:scatterChart>
      <c:valAx>
        <c:axId val="762999496"/>
        <c:scaling>
          <c:orientation val="minMax"/>
          <c:max val="30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 Gen Capacity (MW)</a:t>
                </a:r>
              </a:p>
            </c:rich>
          </c:tx>
          <c:layout>
            <c:manualLayout>
              <c:xMode val="edge"/>
              <c:yMode val="edge"/>
              <c:x val="0.29487285556696718"/>
              <c:y val="0.914331583552056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/>
          <a:lstStyle/>
          <a:p>
            <a:pPr>
              <a:defRPr/>
            </a:pPr>
            <a:endParaRPr lang="en-US"/>
          </a:p>
        </c:txPr>
        <c:crossAx val="763004416"/>
        <c:crosses val="autoZero"/>
        <c:crossBetween val="midCat"/>
      </c:valAx>
      <c:valAx>
        <c:axId val="763004416"/>
        <c:scaling>
          <c:orientation val="minMax"/>
          <c:max val="9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i="1"/>
                </a:pPr>
                <a:r>
                  <a:rPr lang="en-US" i="1"/>
                  <a:t>Storage Duration (hr)</a:t>
                </a:r>
              </a:p>
            </c:rich>
          </c:tx>
          <c:layout>
            <c:manualLayout>
              <c:xMode val="edge"/>
              <c:yMode val="edge"/>
              <c:x val="2.935162995929858E-3"/>
              <c:y val="0.172549868766404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62999496"/>
        <c:crosses val="autoZero"/>
        <c:crossBetween val="midCat"/>
        <c:majorUnit val="12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000"/>
            </a:pPr>
            <a:r>
              <a:rPr lang="en-US" sz="1000"/>
              <a:t>Plants &lt; 24-hr</a:t>
            </a:r>
          </a:p>
        </c:rich>
      </c:tx>
      <c:layout>
        <c:manualLayout>
          <c:xMode val="edge"/>
          <c:yMode val="edge"/>
          <c:x val="0.36207729468599031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009915427238263"/>
          <c:y val="9.4722659667541564E-2"/>
          <c:w val="0.68053576636253799"/>
          <c:h val="0.66565485564304461"/>
        </c:manualLayout>
      </c:layout>
      <c:scatterChart>
        <c:scatterStyle val="lineMarker"/>
        <c:varyColors val="0"/>
        <c:ser>
          <c:idx val="0"/>
          <c:order val="0"/>
          <c:tx>
            <c:strRef>
              <c:f>dur!$B$1</c:f>
              <c:strCache>
                <c:ptCount val="1"/>
                <c:pt idx="0">
                  <c:v>Calc Max Discharge Duration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dur!$A$2:$A$56</c:f>
              <c:numCache>
                <c:formatCode>General</c:formatCode>
                <c:ptCount val="55"/>
                <c:pt idx="0">
                  <c:v>94.5</c:v>
                </c:pt>
                <c:pt idx="1">
                  <c:v>560</c:v>
                </c:pt>
                <c:pt idx="2">
                  <c:v>68</c:v>
                </c:pt>
                <c:pt idx="3">
                  <c:v>29</c:v>
                </c:pt>
                <c:pt idx="4">
                  <c:v>819</c:v>
                </c:pt>
                <c:pt idx="5">
                  <c:v>500</c:v>
                </c:pt>
                <c:pt idx="6">
                  <c:v>600</c:v>
                </c:pt>
                <c:pt idx="7">
                  <c:v>58</c:v>
                </c:pt>
                <c:pt idx="8">
                  <c:v>321</c:v>
                </c:pt>
                <c:pt idx="9">
                  <c:v>120</c:v>
                </c:pt>
                <c:pt idx="10">
                  <c:v>130</c:v>
                </c:pt>
                <c:pt idx="11">
                  <c:v>1095</c:v>
                </c:pt>
                <c:pt idx="12">
                  <c:v>60</c:v>
                </c:pt>
                <c:pt idx="13">
                  <c:v>504</c:v>
                </c:pt>
                <c:pt idx="14">
                  <c:v>453</c:v>
                </c:pt>
                <c:pt idx="15">
                  <c:v>469</c:v>
                </c:pt>
                <c:pt idx="16">
                  <c:v>3003</c:v>
                </c:pt>
                <c:pt idx="17">
                  <c:v>1124</c:v>
                </c:pt>
                <c:pt idx="18">
                  <c:v>1556</c:v>
                </c:pt>
                <c:pt idx="19">
                  <c:v>450</c:v>
                </c:pt>
                <c:pt idx="20">
                  <c:v>1065.2</c:v>
                </c:pt>
                <c:pt idx="21">
                  <c:v>324</c:v>
                </c:pt>
                <c:pt idx="22">
                  <c:v>600</c:v>
                </c:pt>
                <c:pt idx="23">
                  <c:v>1160</c:v>
                </c:pt>
                <c:pt idx="24">
                  <c:v>576</c:v>
                </c:pt>
                <c:pt idx="25">
                  <c:v>1872</c:v>
                </c:pt>
                <c:pt idx="26">
                  <c:v>1072</c:v>
                </c:pt>
                <c:pt idx="27">
                  <c:v>260</c:v>
                </c:pt>
                <c:pt idx="28">
                  <c:v>45</c:v>
                </c:pt>
                <c:pt idx="29">
                  <c:v>240</c:v>
                </c:pt>
                <c:pt idx="30">
                  <c:v>200</c:v>
                </c:pt>
                <c:pt idx="31">
                  <c:v>1652</c:v>
                </c:pt>
                <c:pt idx="32">
                  <c:v>1212</c:v>
                </c:pt>
                <c:pt idx="33">
                  <c:v>710</c:v>
                </c:pt>
                <c:pt idx="34">
                  <c:v>314</c:v>
                </c:pt>
                <c:pt idx="35">
                  <c:v>40</c:v>
                </c:pt>
                <c:pt idx="36">
                  <c:v>185</c:v>
                </c:pt>
                <c:pt idx="37">
                  <c:v>199.8</c:v>
                </c:pt>
                <c:pt idx="38">
                  <c:v>25.2</c:v>
                </c:pt>
              </c:numCache>
            </c:numRef>
          </c:xVal>
          <c:yVal>
            <c:numRef>
              <c:f>dur!$B$2:$B$56</c:f>
              <c:numCache>
                <c:formatCode>0</c:formatCode>
                <c:ptCount val="55"/>
                <c:pt idx="1">
                  <c:v>5.9464285714285712</c:v>
                </c:pt>
                <c:pt idx="2">
                  <c:v>2.7941176470588234</c:v>
                </c:pt>
                <c:pt idx="3">
                  <c:v>923.79310344827582</c:v>
                </c:pt>
                <c:pt idx="4">
                  <c:v>2269.2075702075704</c:v>
                </c:pt>
                <c:pt idx="5">
                  <c:v>3.78</c:v>
                </c:pt>
                <c:pt idx="7">
                  <c:v>4.8275862068965516</c:v>
                </c:pt>
                <c:pt idx="8">
                  <c:v>663.55140186915889</c:v>
                </c:pt>
                <c:pt idx="9">
                  <c:v>11.508333333333333</c:v>
                </c:pt>
                <c:pt idx="10">
                  <c:v>181.53846153846155</c:v>
                </c:pt>
                <c:pt idx="11">
                  <c:v>5.5525114155251138</c:v>
                </c:pt>
                <c:pt idx="12">
                  <c:v>46</c:v>
                </c:pt>
                <c:pt idx="13">
                  <c:v>1011.3293650793651</c:v>
                </c:pt>
                <c:pt idx="14">
                  <c:v>6.1810154525386309</c:v>
                </c:pt>
                <c:pt idx="15">
                  <c:v>8.3582089552238799</c:v>
                </c:pt>
                <c:pt idx="16">
                  <c:v>7.8921078921078918</c:v>
                </c:pt>
                <c:pt idx="17">
                  <c:v>9.3416370106761573</c:v>
                </c:pt>
                <c:pt idx="19">
                  <c:v>6.1111111111111107</c:v>
                </c:pt>
                <c:pt idx="20">
                  <c:v>22.530980097634245</c:v>
                </c:pt>
                <c:pt idx="21">
                  <c:v>4.4753086419753085</c:v>
                </c:pt>
                <c:pt idx="22">
                  <c:v>6.15</c:v>
                </c:pt>
                <c:pt idx="23">
                  <c:v>10.344827586206897</c:v>
                </c:pt>
                <c:pt idx="24">
                  <c:v>7.1180555555555554</c:v>
                </c:pt>
                <c:pt idx="25">
                  <c:v>9.1880341880341874</c:v>
                </c:pt>
                <c:pt idx="26">
                  <c:v>10.354477611940299</c:v>
                </c:pt>
                <c:pt idx="27">
                  <c:v>10.192307692307692</c:v>
                </c:pt>
                <c:pt idx="28">
                  <c:v>6.5333333333333332</c:v>
                </c:pt>
                <c:pt idx="29">
                  <c:v>20</c:v>
                </c:pt>
                <c:pt idx="30">
                  <c:v>12.05</c:v>
                </c:pt>
                <c:pt idx="31">
                  <c:v>19.449152542372882</c:v>
                </c:pt>
                <c:pt idx="32">
                  <c:v>151.8151815181518</c:v>
                </c:pt>
                <c:pt idx="33">
                  <c:v>81.042253521126767</c:v>
                </c:pt>
                <c:pt idx="34">
                  <c:v>35.414012738853501</c:v>
                </c:pt>
                <c:pt idx="35">
                  <c:v>394.8</c:v>
                </c:pt>
                <c:pt idx="36">
                  <c:v>1563.2432432432433</c:v>
                </c:pt>
                <c:pt idx="37">
                  <c:v>8.0080080080080069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08-454D-88D2-D4F90FE5E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999496"/>
        <c:axId val="763004416"/>
      </c:scatterChart>
      <c:valAx>
        <c:axId val="762999496"/>
        <c:scaling>
          <c:orientation val="minMax"/>
          <c:max val="30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 Gen Capacity (MW)</a:t>
                </a:r>
              </a:p>
            </c:rich>
          </c:tx>
          <c:layout>
            <c:manualLayout>
              <c:xMode val="edge"/>
              <c:yMode val="edge"/>
              <c:x val="0.29487285556696718"/>
              <c:y val="0.914331583552056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/>
          <a:lstStyle/>
          <a:p>
            <a:pPr>
              <a:defRPr/>
            </a:pPr>
            <a:endParaRPr lang="en-US"/>
          </a:p>
        </c:txPr>
        <c:crossAx val="763004416"/>
        <c:crosses val="autoZero"/>
        <c:crossBetween val="midCat"/>
      </c:valAx>
      <c:valAx>
        <c:axId val="763004416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i="1"/>
                </a:pPr>
                <a:r>
                  <a:rPr lang="en-US" i="1"/>
                  <a:t>Storage Duration (hr)</a:t>
                </a:r>
              </a:p>
            </c:rich>
          </c:tx>
          <c:layout>
            <c:manualLayout>
              <c:xMode val="edge"/>
              <c:yMode val="edge"/>
              <c:x val="2.935162995929858E-3"/>
              <c:y val="0.172549868766404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62999496"/>
        <c:crosses val="autoZero"/>
        <c:crossBetween val="midCat"/>
        <c:majorUnit val="4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6</xdr:col>
      <xdr:colOff>91440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81707C-70FD-4075-8A10-A10021F58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6</xdr:col>
      <xdr:colOff>91440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11348A-A0EF-4C43-A16F-73038922B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32</xdr:row>
      <xdr:rowOff>0</xdr:rowOff>
    </xdr:from>
    <xdr:to>
      <xdr:col>6</xdr:col>
      <xdr:colOff>91440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0B5ED7-57E9-48F8-A1DA-7396C2258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hen, Stuart" refreshedDate="44307.719916087961" createdVersion="7" refreshedVersion="7" minRefreshableVersion="3" recordCount="39" xr:uid="{01373E45-D799-4FE1-8651-E119672B0EC1}">
  <cacheSource type="worksheet">
    <worksheetSource ref="A1:P40" sheet="Operational"/>
  </cacheSource>
  <cacheFields count="15">
    <cacheField name="Count" numFmtId="0">
      <sharedItems containsSemiMixedTypes="0" containsString="0" containsNumber="1" containsInteger="1" minValue="1" maxValue="39"/>
    </cacheField>
    <cacheField name="Station Name " numFmtId="0">
      <sharedItems/>
    </cacheField>
    <cacheField name="Operational Capacity (MW) " numFmtId="0">
      <sharedItems containsSemiMixedTypes="0" containsString="0" containsNumber="1" minValue="25.2" maxValue="3003"/>
    </cacheField>
    <cacheField name="Pump Capacity" numFmtId="0">
      <sharedItems containsSemiMixedTypes="0" containsString="0" containsNumber="1" containsInteger="1" minValue="9" maxValue="2880"/>
    </cacheField>
    <cacheField name="Calc Max Discharge Duration" numFmtId="1">
      <sharedItems containsSemiMixedTypes="0" containsString="0" containsNumber="1" minValue="2.7941176470588234" maxValue="2269.2075702075704"/>
    </cacheField>
    <cacheField name="Gen Cap * Duration (MWh)" numFmtId="1">
      <sharedItems containsSemiMixedTypes="0" containsString="0" containsNumber="1" minValue="190" maxValue="1858481.0000000002"/>
    </cacheField>
    <cacheField name="Cumulative Capacity" numFmtId="0">
      <sharedItems containsSemiMixedTypes="0" containsString="0" containsNumber="1" minValue="1065.2" maxValue="23765.7"/>
    </cacheField>
    <cacheField name="Cumul Capacity %" numFmtId="9">
      <sharedItems containsSemiMixedTypes="0" containsString="0" containsNumber="1" minValue="4.4820897343650724E-2" maxValue="1"/>
    </cacheField>
    <cacheField name="Days Storage" numFmtId="164">
      <sharedItems containsSemiMixedTypes="0" containsString="0" containsNumber="1" minValue="0.11642156862745097" maxValue="94.550315425315432"/>
    </cacheField>
    <cacheField name="Weeks Storage" numFmtId="164">
      <sharedItems containsSemiMixedTypes="0" containsString="0" containsNumber="1" minValue="1.6631652661064426E-2" maxValue="13.507187917902204"/>
    </cacheField>
    <cacheField name="&quot;seasons&quot; of storage" numFmtId="2">
      <sharedItems containsSemiMixedTypes="0" containsString="0" containsNumber="1" minValue="1.2793578970049558E-3" maxValue="1.0390144552232465"/>
    </cacheField>
    <cacheField name="Min In-Season Energy" numFmtId="2">
      <sharedItems containsSemiMixedTypes="0" containsString="0" containsNumber="1" minValue="-3.9014455223246536E-2" maxValue="0.99872064210299505"/>
    </cacheField>
    <cacheField name="State" numFmtId="0">
      <sharedItems/>
    </cacheField>
    <cacheField name="Storage In Max Frac" numFmtId="0">
      <sharedItems containsSemiMixedTypes="0" containsString="0" containsNumber="1" minValue="0.1" maxValue="1.07"/>
    </cacheField>
    <cacheField name="ReEDS BA" numFmtId="0">
      <sharedItems count="22">
        <s v="p95"/>
        <s v="p99"/>
        <s v="p131"/>
        <s v="p9"/>
        <s v="p127"/>
        <s v="p33"/>
        <s v="p94"/>
        <s v="p10"/>
        <s v="p71"/>
        <s v="p85"/>
        <s v="p96"/>
        <s v="p97"/>
        <s v="p28"/>
        <s v="p3"/>
        <s v="p103"/>
        <s v="p122"/>
        <s v="p11"/>
        <s v="p92"/>
        <s v="p132"/>
        <s v="p51"/>
        <s v="p73"/>
        <s v="p1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"/>
    <s v="Bad Creek"/>
    <n v="1065.2"/>
    <n v="1065"/>
    <n v="22.530980097634245"/>
    <n v="24000"/>
    <n v="1065.2"/>
    <n v="4.4820897343650724E-2"/>
    <n v="0.93879083740142688"/>
    <n v="0.13411297677163242"/>
    <n v="1.0316382828587109E-2"/>
    <n v="0.98968361717141284"/>
    <s v="SC"/>
    <n v="1"/>
    <x v="0"/>
  </r>
  <r>
    <n v="2"/>
    <s v="Bath County"/>
    <n v="3003"/>
    <n v="2880"/>
    <n v="7.8921078921078918"/>
    <n v="23700"/>
    <n v="4068.2"/>
    <n v="0.17117947293788946"/>
    <n v="0.32883782883782881"/>
    <n v="4.6976832691118402E-2"/>
    <n v="3.6136025147014156E-3"/>
    <n v="0.99638639748529856"/>
    <s v="VA"/>
    <n v="0.96"/>
    <x v="1"/>
  </r>
  <r>
    <n v="3"/>
    <s v="Bear Swamp (Jack Cockwell)"/>
    <n v="600"/>
    <n v="600"/>
    <n v="6.15"/>
    <n v="3690"/>
    <n v="4668.2"/>
    <n v="0.19642594158808702"/>
    <n v="0.25625000000000003"/>
    <n v="3.6607142857142859E-2"/>
    <n v="2.8159340659340659E-3"/>
    <n v="0.99718406593406594"/>
    <s v="Massachusetts"/>
    <n v="1"/>
    <x v="2"/>
  </r>
  <r>
    <n v="4"/>
    <s v="Big Creek (J S Eastwood)"/>
    <n v="199.8"/>
    <n v="200"/>
    <n v="8.0080080080080069"/>
    <n v="1599.9999999999998"/>
    <n v="4868"/>
    <n v="0.20483301564860282"/>
    <n v="0.33366700033366697"/>
    <n v="4.7666714333380995E-2"/>
    <n v="3.6666703333369998E-3"/>
    <n v="0.99633332966666299"/>
    <s v="CA"/>
    <n v="1"/>
    <x v="3"/>
  </r>
  <r>
    <n v="5"/>
    <s v="Blenheim Gilboa"/>
    <n v="1160"/>
    <n v="1160"/>
    <n v="10.344827586206897"/>
    <n v="12000"/>
    <n v="6028"/>
    <n v="0.25364285503898476"/>
    <n v="0.43103448275862072"/>
    <n v="6.1576354679802957E-2"/>
    <n v="4.7366426676771507E-3"/>
    <n v="0.99526335733232285"/>
    <s v="NY"/>
    <n v="1"/>
    <x v="4"/>
  </r>
  <r>
    <n v="6"/>
    <s v="Cabin Creek"/>
    <n v="324"/>
    <n v="324"/>
    <n v="4.4753086419753085"/>
    <n v="1450"/>
    <n v="6352"/>
    <n v="0.26727594811009142"/>
    <n v="0.18647119341563786"/>
    <n v="2.6638741916519694E-2"/>
    <n v="2.0491339935784381E-3"/>
    <n v="0.99795086600642158"/>
    <s v="CO"/>
    <n v="1"/>
    <x v="5"/>
  </r>
  <r>
    <n v="7"/>
    <s v="Carters"/>
    <n v="500"/>
    <n v="250"/>
    <n v="3.78"/>
    <n v="1890"/>
    <n v="6852"/>
    <n v="0.28831467198525607"/>
    <n v="0.1575"/>
    <n v="2.2499999999999999E-2"/>
    <n v="1.7307692307692306E-3"/>
    <n v="0.9982692307692308"/>
    <s v="GA"/>
    <n v="0.5"/>
    <x v="6"/>
  </r>
  <r>
    <n v="8"/>
    <s v="Castaic"/>
    <n v="1556"/>
    <n v="1500"/>
    <n v="12"/>
    <n v="18672"/>
    <n v="8408"/>
    <n v="0.35378718068476839"/>
    <n v="0.5"/>
    <n v="7.1428571428571425E-2"/>
    <n v="5.4945054945054941E-3"/>
    <n v="0.99450549450549453"/>
    <s v="CA"/>
    <n v="0.96"/>
    <x v="7"/>
  </r>
  <r>
    <n v="9"/>
    <s v="Clarence Cannon"/>
    <n v="58"/>
    <n v="31"/>
    <n v="4.8275862068965516"/>
    <n v="280"/>
    <n v="8466"/>
    <n v="0.35622767265428745"/>
    <n v="0.20114942528735633"/>
    <n v="2.8735632183908046E-2"/>
    <n v="2.2104332449160036E-3"/>
    <n v="0.99778956675508401"/>
    <s v="MO"/>
    <n v="0.53"/>
    <x v="8"/>
  </r>
  <r>
    <n v="10"/>
    <s v="Degray"/>
    <n v="68"/>
    <n v="28"/>
    <n v="2.7941176470588234"/>
    <n v="190"/>
    <n v="8534"/>
    <n v="0.35908893910130985"/>
    <n v="0.11642156862745097"/>
    <n v="1.6631652661064426E-2"/>
    <n v="1.2793578970049558E-3"/>
    <n v="0.99872064210299505"/>
    <s v="AR"/>
    <n v="0.41"/>
    <x v="9"/>
  </r>
  <r>
    <n v="11"/>
    <s v="Edward C Hyatt"/>
    <n v="819"/>
    <n v="390"/>
    <n v="2269.2075702075704"/>
    <n v="1858481.0000000002"/>
    <n v="9353"/>
    <n v="0.39355036880882954"/>
    <n v="94.550315425315432"/>
    <n v="13.507187917902204"/>
    <n v="1.0390144552232465"/>
    <n v="-3.9014455223246536E-2"/>
    <s v="CA"/>
    <n v="0.48"/>
    <x v="3"/>
  </r>
  <r>
    <n v="12"/>
    <s v="Fairfield"/>
    <n v="576"/>
    <n v="576"/>
    <n v="7.1180555555555554"/>
    <n v="4100"/>
    <n v="9929"/>
    <n v="0.41778697871301917"/>
    <n v="0.29658564814814814"/>
    <n v="4.2369378306878307E-2"/>
    <n v="3.2591829466829467E-3"/>
    <n v="0.99674081705331707"/>
    <s v="SC"/>
    <n v="1"/>
    <x v="10"/>
  </r>
  <r>
    <n v="13"/>
    <s v="Flatiron"/>
    <n v="94.5"/>
    <n v="9"/>
    <n v="12"/>
    <n v="1134"/>
    <n v="10023.5"/>
    <n v="0.4217632975254253"/>
    <n v="0.5"/>
    <n v="7.1428571428571425E-2"/>
    <n v="5.4945054945054941E-3"/>
    <n v="0.99450549450549453"/>
    <s v="CO"/>
    <n v="0.1"/>
    <x v="5"/>
  </r>
  <r>
    <n v="14"/>
    <s v="Helms"/>
    <n v="1212"/>
    <n v="1212"/>
    <n v="151.8151815181518"/>
    <n v="184000"/>
    <n v="11235.5"/>
    <n v="0.47276116419882436"/>
    <n v="6.3256325632563248"/>
    <n v="0.90366179475090358"/>
    <n v="6.9512445750069513E-2"/>
    <n v="0.93048755424993046"/>
    <s v="CA"/>
    <n v="1"/>
    <x v="3"/>
  </r>
  <r>
    <n v="15"/>
    <s v="Hiwassee"/>
    <n v="185"/>
    <n v="185"/>
    <n v="1563.2432432432433"/>
    <n v="289200"/>
    <n v="11420.5"/>
    <n v="0.48054549203263525"/>
    <n v="65.135135135135144"/>
    <n v="9.3050193050193055"/>
    <n v="0.71577071577071583"/>
    <n v="0.28422928422928417"/>
    <s v="NC"/>
    <n v="1"/>
    <x v="11"/>
  </r>
  <r>
    <n v="16"/>
    <s v="Horse Mesa"/>
    <n v="130"/>
    <n v="97"/>
    <n v="181.53846153846155"/>
    <n v="23600"/>
    <n v="11550.5"/>
    <n v="0.48601556024017806"/>
    <n v="7.5641025641025648"/>
    <n v="1.0805860805860807"/>
    <n v="8.3122006198929288E-2"/>
    <n v="0.91687799380107071"/>
    <s v="AZ"/>
    <n v="0.75"/>
    <x v="12"/>
  </r>
  <r>
    <n v="17"/>
    <s v="Jocassee"/>
    <n v="710"/>
    <n v="710"/>
    <n v="81.042253521126767"/>
    <n v="57540.000000000007"/>
    <n v="12260.5"/>
    <n v="0.5158905481429118"/>
    <n v="3.376760563380282"/>
    <n v="0.48239436619718312"/>
    <n v="3.7107258938244854E-2"/>
    <n v="0.96289274106175515"/>
    <s v="SC"/>
    <n v="1"/>
    <x v="0"/>
  </r>
  <r>
    <n v="18"/>
    <s v="John W Keys III (Grand Coulee)"/>
    <n v="314"/>
    <n v="314"/>
    <n v="35.414012738853501"/>
    <n v="11120"/>
    <n v="12574.5"/>
    <n v="0.52910286673651519"/>
    <n v="1.4755838641188959"/>
    <n v="0.21079769487412797"/>
    <n v="1.6215207298009845E-2"/>
    <n v="0.98378479270199015"/>
    <s v="WA"/>
    <n v="1"/>
    <x v="13"/>
  </r>
  <r>
    <n v="19"/>
    <s v="Lewiston Niagara"/>
    <n v="240"/>
    <n v="240"/>
    <n v="20"/>
    <n v="4800"/>
    <n v="12814.5"/>
    <n v="0.53920145419659427"/>
    <n v="0.83333333333333337"/>
    <n v="0.11904761904761905"/>
    <n v="9.1575091575091579E-3"/>
    <n v="0.99084249084249088"/>
    <s v="NY"/>
    <n v="1"/>
    <x v="4"/>
  </r>
  <r>
    <n v="20"/>
    <s v="Ludington"/>
    <n v="1872"/>
    <n v="1872"/>
    <n v="9.1880341880341874"/>
    <n v="17200"/>
    <n v="14686.5"/>
    <n v="0.61797043638521065"/>
    <n v="0.38283475783475779"/>
    <n v="5.4690679690679686E-2"/>
    <n v="4.2069753608215141E-3"/>
    <n v="0.99579302463917851"/>
    <s v="Michigan"/>
    <n v="1"/>
    <x v="14"/>
  </r>
  <r>
    <n v="21"/>
    <s v="Mormon Flat"/>
    <n v="60"/>
    <n v="50"/>
    <n v="46"/>
    <n v="2760"/>
    <n v="14746.5"/>
    <n v="0.62049508325023039"/>
    <n v="1.9166666666666667"/>
    <n v="0.27380952380952384"/>
    <n v="2.1062271062271064E-2"/>
    <n v="0.9789377289377289"/>
    <s v="AZ"/>
    <n v="0.83"/>
    <x v="12"/>
  </r>
  <r>
    <n v="22"/>
    <s v="Mount Elbert"/>
    <n v="200"/>
    <n v="200"/>
    <n v="12.05"/>
    <n v="2410"/>
    <n v="14946.5"/>
    <n v="0.62891057280029616"/>
    <n v="0.50208333333333333"/>
    <n v="7.1726190476190471E-2"/>
    <n v="5.5173992673992669E-3"/>
    <n v="0.99448260073260075"/>
    <s v="CO"/>
    <n v="1"/>
    <x v="5"/>
  </r>
  <r>
    <n v="23"/>
    <s v="Muddy Run"/>
    <n v="1072"/>
    <n v="1072"/>
    <n v="10.354477611940299"/>
    <n v="11100"/>
    <n v="16018.5"/>
    <n v="0.67401759678864914"/>
    <n v="0.43143656716417911"/>
    <n v="6.1633795309168446E-2"/>
    <n v="4.7410611776283421E-3"/>
    <n v="0.99525893882237171"/>
    <s v="PA"/>
    <n v="1"/>
    <x v="15"/>
  </r>
  <r>
    <n v="24"/>
    <s v="Northfield Mountain"/>
    <n v="1124"/>
    <n v="1080"/>
    <n v="9.3416370106761573"/>
    <n v="10500"/>
    <n v="17142.5"/>
    <n v="0.72131264806001927"/>
    <n v="0.38923487544483987"/>
    <n v="5.5604982206405695E-2"/>
    <n v="4.2773063235696691E-3"/>
    <n v="0.99572269367643029"/>
    <s v="MA"/>
    <n v="0.96"/>
    <x v="2"/>
  </r>
  <r>
    <n v="25"/>
    <s v="Olivenhain-Hodges Storage Project"/>
    <n v="40"/>
    <n v="40"/>
    <n v="394.8"/>
    <n v="15792"/>
    <n v="17182.5"/>
    <n v="0.72299574597003247"/>
    <n v="16.45"/>
    <n v="2.35"/>
    <n v="0.18076923076923077"/>
    <n v="0.81923076923076921"/>
    <s v="CA"/>
    <n v="1"/>
    <x v="16"/>
  </r>
  <r>
    <n v="26"/>
    <s v="ONeill"/>
    <n v="25.2"/>
    <n v="27"/>
    <n v="12"/>
    <n v="302.39999999999998"/>
    <n v="17207.7"/>
    <n v="0.72405609765334078"/>
    <n v="0.5"/>
    <n v="7.1428571428571425E-2"/>
    <n v="5.4945054945054941E-3"/>
    <n v="0.99450549450549453"/>
    <s v="CA"/>
    <n v="1.07"/>
    <x v="3"/>
  </r>
  <r>
    <n v="27"/>
    <s v="Raccoon Mountain"/>
    <n v="1652"/>
    <n v="1652"/>
    <n v="19.449152542372882"/>
    <n v="32130"/>
    <n v="18859.7"/>
    <n v="0.79356804133688463"/>
    <n v="0.8103813559322034"/>
    <n v="0.11576876513317191"/>
    <n v="8.9052896256286082E-3"/>
    <n v="0.99109471037437136"/>
    <s v="TN"/>
    <n v="1"/>
    <x v="17"/>
  </r>
  <r>
    <n v="28"/>
    <s v="Richard B Russell"/>
    <n v="600"/>
    <n v="300"/>
    <n v="12"/>
    <n v="7200"/>
    <n v="19459.7"/>
    <n v="0.81881450998708227"/>
    <n v="0.5"/>
    <n v="7.1428571428571425E-2"/>
    <n v="5.4945054945054941E-3"/>
    <n v="0.99450549450549453"/>
    <s v="GA"/>
    <n v="0.5"/>
    <x v="6"/>
  </r>
  <r>
    <n v="29"/>
    <s v="Rocky Mountain"/>
    <n v="1095"/>
    <n v="903"/>
    <n v="5.5525114155251138"/>
    <n v="6080"/>
    <n v="20554.7"/>
    <n v="0.86488931527369273"/>
    <n v="0.23135464231354641"/>
    <n v="3.3050663187649487E-2"/>
    <n v="2.5423587067422682E-3"/>
    <n v="0.99745764129325776"/>
    <s v="GE"/>
    <n v="0.82"/>
    <x v="6"/>
  </r>
  <r>
    <n v="30"/>
    <s v="Rocky River"/>
    <n v="29"/>
    <n v="12"/>
    <n v="923.79310344827582"/>
    <n v="26790"/>
    <n v="20583.7"/>
    <n v="0.86610956125845229"/>
    <n v="38.491379310344826"/>
    <n v="5.4987684729064039"/>
    <n v="0.42298219022356953"/>
    <n v="0.57701780977643047"/>
    <s v="CT"/>
    <n v="0.41"/>
    <x v="18"/>
  </r>
  <r>
    <n v="31"/>
    <s v="Salina"/>
    <n v="260"/>
    <n v="260"/>
    <n v="10.192307692307692"/>
    <n v="2650"/>
    <n v="20843.7"/>
    <n v="0.87704969767353791"/>
    <n v="0.42467948717948717"/>
    <n v="6.0668498168498168E-2"/>
    <n v="4.6668075514229362E-3"/>
    <n v="0.9953331924485771"/>
    <s v="OK"/>
    <n v="1"/>
    <x v="19"/>
  </r>
  <r>
    <n v="32"/>
    <s v="San Luis (W R Gianelli)"/>
    <n v="504"/>
    <n v="424"/>
    <n v="1011.3293650793651"/>
    <n v="509710"/>
    <n v="21347.7"/>
    <n v="0.89825673133970385"/>
    <n v="42.138723544973544"/>
    <n v="6.0198176492819346"/>
    <n v="0.46306289609861034"/>
    <n v="0.53693710390138971"/>
    <s v="CA"/>
    <n v="0.84"/>
    <x v="3"/>
  </r>
  <r>
    <n v="33"/>
    <s v="Seneca"/>
    <n v="469"/>
    <n v="440"/>
    <n v="8.3582089552238799"/>
    <n v="3919.9999999999995"/>
    <n v="21816.7"/>
    <n v="0.91799105433460826"/>
    <n v="0.34825870646766166"/>
    <n v="4.9751243781094523E-2"/>
    <n v="3.8270187523918864E-3"/>
    <n v="0.99617298124760811"/>
    <s v="PA"/>
    <n v="0.94"/>
    <x v="15"/>
  </r>
  <r>
    <n v="34"/>
    <s v="Smith Mountain"/>
    <n v="560"/>
    <n v="100"/>
    <n v="5.9464285714285712"/>
    <n v="3330"/>
    <n v="22376.7"/>
    <n v="0.9415544250747927"/>
    <n v="0.24776785714285712"/>
    <n v="3.53954081632653E-2"/>
    <n v="2.7227237048665616E-3"/>
    <n v="0.99727727629513341"/>
    <s v="VA"/>
    <n v="0.18"/>
    <x v="1"/>
  </r>
  <r>
    <n v="35"/>
    <s v="Taum Sauk"/>
    <n v="450"/>
    <n v="440"/>
    <n v="6.1111111111111107"/>
    <n v="2750"/>
    <n v="22826.7"/>
    <n v="0.96048927656244087"/>
    <n v="0.25462962962962959"/>
    <n v="3.6375661375661374E-2"/>
    <n v="2.7981277981277979E-3"/>
    <n v="0.99720187220187217"/>
    <s v="MO"/>
    <n v="0.98"/>
    <x v="20"/>
  </r>
  <r>
    <n v="36"/>
    <s v="Thermalito Hydro Power Plant"/>
    <n v="120"/>
    <n v="84"/>
    <n v="11.508333333333333"/>
    <n v="1381"/>
    <n v="22946.7"/>
    <n v="0.96553857029248036"/>
    <n v="0.47951388888888885"/>
    <n v="6.850198412698412E-2"/>
    <n v="5.2693833943833939E-3"/>
    <n v="0.99473061660561657"/>
    <s v="CA"/>
    <n v="0.7"/>
    <x v="3"/>
  </r>
  <r>
    <n v="37"/>
    <s v="Waddell"/>
    <n v="45"/>
    <n v="45"/>
    <n v="6.5333333333333332"/>
    <n v="294"/>
    <n v="22991.7"/>
    <n v="0.96743205544124511"/>
    <n v="0.2722222222222222"/>
    <n v="3.8888888888888883E-2"/>
    <n v="2.9914529914529908E-3"/>
    <n v="0.99700854700854702"/>
    <s v="AZ"/>
    <n v="1"/>
    <x v="12"/>
  </r>
  <r>
    <n v="38"/>
    <s v="Wallace Dam"/>
    <n v="321"/>
    <n v="210"/>
    <n v="663.55140186915889"/>
    <n v="213000"/>
    <n v="23312.7"/>
    <n v="0.98093891616910089"/>
    <n v="27.647975077881622"/>
    <n v="3.9497107254116601"/>
    <n v="0.30382390195474307"/>
    <n v="0.69617609804525693"/>
    <s v="GA"/>
    <n v="0.65"/>
    <x v="6"/>
  </r>
  <r>
    <n v="39"/>
    <s v="Yards Creek"/>
    <n v="453"/>
    <n v="420"/>
    <n v="6.1810154525386309"/>
    <n v="2800"/>
    <n v="23765.7"/>
    <n v="1"/>
    <n v="0.25754231052244297"/>
    <n v="3.679175864606328E-2"/>
    <n v="2.8301352804664063E-3"/>
    <n v="0.99716986471953362"/>
    <s v="NJ"/>
    <n v="0.93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C1EC2-B94E-4BC7-B87B-82186EBC7358}" name="PivotTable1" cacheId="6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T3:AP5" firstHeaderRow="1" firstDataRow="2" firstDataCol="1"/>
  <pivotFields count="1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2">
        <item x="7"/>
        <item x="14"/>
        <item x="16"/>
        <item x="15"/>
        <item x="21"/>
        <item x="4"/>
        <item x="2"/>
        <item x="18"/>
        <item x="12"/>
        <item x="13"/>
        <item x="5"/>
        <item x="19"/>
        <item x="8"/>
        <item x="20"/>
        <item x="9"/>
        <item x="3"/>
        <item x="17"/>
        <item x="6"/>
        <item x="0"/>
        <item x="10"/>
        <item x="11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14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colItems>
  <dataFields count="1">
    <dataField name="Sum of Gen Cap * Duration (MWh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3:P58" totalsRowShown="0" tableBorderDxfId="8" dataCellStyle="Normal">
  <autoFilter ref="A3:P58" xr:uid="{00000000-0009-0000-0100-000006000000}"/>
  <sortState xmlns:xlrd2="http://schemas.microsoft.com/office/spreadsheetml/2017/richdata2" ref="A12:P50">
    <sortCondition ref="L3:L58"/>
  </sortState>
  <tableColumns count="16">
    <tableColumn id="1" xr3:uid="{00000000-0010-0000-0000-000001000000}" name="Station Name " dataCellStyle="Normal"/>
    <tableColumn id="2" xr3:uid="{00000000-0010-0000-0000-000002000000}" name="Country " dataCellStyle="Normal"/>
    <tableColumn id="4" xr3:uid="{00000000-0010-0000-0000-000004000000}" name="Operational Capacity (MW) " dataCellStyle="Normal"/>
    <tableColumn id="8" xr3:uid="{E427F3C4-4AE2-42FB-9155-2F420BC0D4AE}" name="Pump Capacity"/>
    <tableColumn id="16" xr3:uid="{8BA8CE2C-AE75-4CC4-B5CA-A179FF0BF763}" name="Pump/Generator Capacity" dataDxfId="7">
      <calculatedColumnFormula>Table6[[#This Row],[Pump Capacity]]/Table6[[#This Row],[Operational Capacity (MW) ]]</calculatedColumnFormula>
    </tableColumn>
    <tableColumn id="3" xr3:uid="{105401E4-968A-48BF-88F4-DF3F83F13E09}" name="Water Configuration (open or closed loop)"/>
    <tableColumn id="5" xr3:uid="{00000000-0010-0000-0000-000005000000}" name="Operational Status " dataCellStyle="Normal"/>
    <tableColumn id="6" xr3:uid="{00000000-0010-0000-0000-000006000000}" name="Number of Units " dataCellStyle="Normal"/>
    <tableColumn id="7" xr3:uid="{00000000-0010-0000-0000-000007000000}" name="Year of Commissioning (electricity production) " dataCellStyle="Normal"/>
    <tableColumn id="10" xr3:uid="{00000000-0010-0000-0000-00000A000000}" name="Estimated Energy Storage Rating (GWh)" dataCellStyle="Normal"/>
    <tableColumn id="11" xr3:uid="{00000000-0010-0000-0000-00000B000000}" name="Pump-turbine type " dataCellStyle="Normal"/>
    <tableColumn id="12" xr3:uid="{00000000-0010-0000-0000-00000C000000}" name="Province " dataCellStyle="Normal"/>
    <tableColumn id="13" xr3:uid="{00000000-0010-0000-0000-00000D000000}" name="Est. Max Discharge Duration (hour)" dataCellStyle="Normal"/>
    <tableColumn id="15" xr3:uid="{E88798E0-8073-4486-95B1-C8CA106DD754}" name="Calc Max Discharge Duration" dataDxfId="6">
      <calculatedColumnFormula>Table6[[#This Row],[Estimated Energy Storage Rating (GWh)]]*1000/Table6[[#This Row],[Operational Capacity (MW) ]]</calculatedColumnFormula>
    </tableColumn>
    <tableColumn id="14" xr3:uid="{00000000-0010-0000-0000-00000E000000}" name="Discharge Duration Class" dataCellStyle="Normal"/>
    <tableColumn id="9" xr3:uid="{24E593E6-D896-41C9-9D9F-88D0EED2416B}" name="Notes/Sources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zoomScale="85" zoomScaleNormal="85" workbookViewId="0">
      <selection activeCell="A14" sqref="A14"/>
    </sheetView>
  </sheetViews>
  <sheetFormatPr defaultRowHeight="15" x14ac:dyDescent="0.25"/>
  <cols>
    <col min="1" max="1" width="35.7109375" bestFit="1" customWidth="1"/>
    <col min="2" max="2" width="19.5703125" customWidth="1"/>
    <col min="3" max="6" width="26.28515625" customWidth="1"/>
    <col min="7" max="7" width="18.85546875" customWidth="1"/>
    <col min="8" max="8" width="17.28515625" customWidth="1"/>
    <col min="9" max="9" width="42.140625" customWidth="1"/>
    <col min="10" max="10" width="36" customWidth="1"/>
    <col min="11" max="11" width="19.28515625" customWidth="1"/>
    <col min="12" max="12" width="10.7109375" customWidth="1"/>
    <col min="13" max="14" width="32.140625" customWidth="1"/>
    <col min="15" max="15" width="35.28515625" customWidth="1"/>
    <col min="16" max="16" width="115.28515625" bestFit="1" customWidth="1"/>
  </cols>
  <sheetData>
    <row r="1" spans="1:16" x14ac:dyDescent="0.25">
      <c r="N1">
        <f>COUNT(N4:N51)</f>
        <v>48</v>
      </c>
    </row>
    <row r="2" spans="1:16" x14ac:dyDescent="0.25">
      <c r="C2">
        <f>SUMPRODUCT(C4:C51,N4:N51)/SUM(C4:C51)</f>
        <v>123.98016465200065</v>
      </c>
      <c r="N2">
        <f>COUNT(N4:N12)</f>
        <v>9</v>
      </c>
    </row>
    <row r="3" spans="1:16" x14ac:dyDescent="0.25">
      <c r="A3" t="s">
        <v>68</v>
      </c>
      <c r="B3" t="s">
        <v>69</v>
      </c>
      <c r="C3" t="s">
        <v>70</v>
      </c>
      <c r="D3" t="s">
        <v>79</v>
      </c>
      <c r="E3" t="s">
        <v>152</v>
      </c>
      <c r="F3" t="s">
        <v>81</v>
      </c>
      <c r="G3" t="s">
        <v>71</v>
      </c>
      <c r="H3" t="s">
        <v>72</v>
      </c>
      <c r="I3" t="s">
        <v>73</v>
      </c>
      <c r="J3" t="s">
        <v>78</v>
      </c>
      <c r="K3" t="s">
        <v>74</v>
      </c>
      <c r="L3" t="s">
        <v>75</v>
      </c>
      <c r="M3" t="s">
        <v>76</v>
      </c>
      <c r="N3" t="s">
        <v>110</v>
      </c>
      <c r="O3" t="s">
        <v>77</v>
      </c>
      <c r="P3" t="s">
        <v>111</v>
      </c>
    </row>
    <row r="4" spans="1:16" x14ac:dyDescent="0.25">
      <c r="A4" t="s">
        <v>84</v>
      </c>
      <c r="B4" t="s">
        <v>1</v>
      </c>
      <c r="C4">
        <v>500</v>
      </c>
      <c r="D4">
        <v>500</v>
      </c>
      <c r="E4">
        <f>Table6[[#This Row],[Pump Capacity]]/Table6[[#This Row],[Operational Capacity (MW) ]]</f>
        <v>1</v>
      </c>
      <c r="F4" t="s">
        <v>80</v>
      </c>
      <c r="G4" t="s">
        <v>85</v>
      </c>
      <c r="I4">
        <v>2025</v>
      </c>
      <c r="J4">
        <v>219.35</v>
      </c>
      <c r="K4" t="s">
        <v>86</v>
      </c>
      <c r="L4" t="s">
        <v>4</v>
      </c>
      <c r="N4" s="1">
        <f>Table6[[#This Row],[Estimated Energy Storage Rating (GWh)]]*1000/Table6[[#This Row],[Operational Capacity (MW) ]]</f>
        <v>438.7</v>
      </c>
      <c r="O4" s="2"/>
      <c r="P4" t="s">
        <v>109</v>
      </c>
    </row>
    <row r="5" spans="1:16" x14ac:dyDescent="0.25">
      <c r="A5" t="s">
        <v>101</v>
      </c>
      <c r="B5" t="s">
        <v>1</v>
      </c>
      <c r="C5">
        <v>1200</v>
      </c>
      <c r="D5">
        <v>1200</v>
      </c>
      <c r="E5">
        <f>Table6[[#This Row],[Pump Capacity]]/Table6[[#This Row],[Operational Capacity (MW) ]]</f>
        <v>1</v>
      </c>
      <c r="F5" t="s">
        <v>80</v>
      </c>
      <c r="G5" t="s">
        <v>85</v>
      </c>
      <c r="I5">
        <v>2028</v>
      </c>
      <c r="J5">
        <v>115.91</v>
      </c>
      <c r="K5" t="s">
        <v>0</v>
      </c>
      <c r="L5" t="s">
        <v>102</v>
      </c>
      <c r="N5" s="1">
        <f>Table6[[#This Row],[Estimated Energy Storage Rating (GWh)]]*1000/Table6[[#This Row],[Operational Capacity (MW) ]]</f>
        <v>96.591666666666669</v>
      </c>
      <c r="O5" s="2"/>
      <c r="P5" t="s">
        <v>109</v>
      </c>
    </row>
    <row r="6" spans="1:16" x14ac:dyDescent="0.25">
      <c r="A6" t="s">
        <v>93</v>
      </c>
      <c r="B6" t="s">
        <v>1</v>
      </c>
      <c r="C6">
        <v>500</v>
      </c>
      <c r="D6">
        <v>500</v>
      </c>
      <c r="E6">
        <f>Table6[[#This Row],[Pump Capacity]]/Table6[[#This Row],[Operational Capacity (MW) ]]</f>
        <v>1</v>
      </c>
      <c r="F6" t="s">
        <v>82</v>
      </c>
      <c r="G6" t="s">
        <v>85</v>
      </c>
      <c r="I6">
        <v>2025</v>
      </c>
      <c r="J6">
        <v>6.09</v>
      </c>
      <c r="K6" t="s">
        <v>0</v>
      </c>
      <c r="L6" t="s">
        <v>2</v>
      </c>
      <c r="N6" s="1">
        <f>Table6[[#This Row],[Estimated Energy Storage Rating (GWh)]]*1000/Table6[[#This Row],[Operational Capacity (MW) ]]</f>
        <v>12.18</v>
      </c>
      <c r="O6" s="2"/>
      <c r="P6" t="s">
        <v>109</v>
      </c>
    </row>
    <row r="7" spans="1:16" x14ac:dyDescent="0.25">
      <c r="A7" t="s">
        <v>107</v>
      </c>
      <c r="B7" t="s">
        <v>1</v>
      </c>
      <c r="C7">
        <v>172</v>
      </c>
      <c r="D7">
        <v>172</v>
      </c>
      <c r="E7">
        <f>Table6[[#This Row],[Pump Capacity]]/Table6[[#This Row],[Operational Capacity (MW) ]]</f>
        <v>1</v>
      </c>
      <c r="F7" t="s">
        <v>82</v>
      </c>
      <c r="G7" t="s">
        <v>85</v>
      </c>
      <c r="I7">
        <v>2030</v>
      </c>
      <c r="J7">
        <v>1.71</v>
      </c>
      <c r="K7" t="s">
        <v>0</v>
      </c>
      <c r="L7" t="s">
        <v>3</v>
      </c>
      <c r="N7" s="1">
        <f>Table6[[#This Row],[Estimated Energy Storage Rating (GWh)]]*1000/Table6[[#This Row],[Operational Capacity (MW) ]]</f>
        <v>9.9418604651162799</v>
      </c>
      <c r="P7" t="s">
        <v>109</v>
      </c>
    </row>
    <row r="8" spans="1:16" x14ac:dyDescent="0.25">
      <c r="A8" t="s">
        <v>87</v>
      </c>
      <c r="B8" t="s">
        <v>1</v>
      </c>
      <c r="C8">
        <v>1200</v>
      </c>
      <c r="D8">
        <v>1200</v>
      </c>
      <c r="E8">
        <f>Table6[[#This Row],[Pump Capacity]]/Table6[[#This Row],[Operational Capacity (MW) ]]</f>
        <v>1</v>
      </c>
      <c r="F8" t="s">
        <v>82</v>
      </c>
      <c r="G8" t="s">
        <v>85</v>
      </c>
      <c r="I8">
        <v>2025</v>
      </c>
      <c r="J8">
        <v>9.59</v>
      </c>
      <c r="K8" t="s">
        <v>0</v>
      </c>
      <c r="L8" t="s">
        <v>4</v>
      </c>
      <c r="N8" s="1">
        <f>Table6[[#This Row],[Estimated Energy Storage Rating (GWh)]]*1000/Table6[[#This Row],[Operational Capacity (MW) ]]</f>
        <v>7.9916666666666663</v>
      </c>
      <c r="P8" t="s">
        <v>109</v>
      </c>
    </row>
    <row r="9" spans="1:16" x14ac:dyDescent="0.25">
      <c r="A9" t="s">
        <v>98</v>
      </c>
      <c r="B9" t="s">
        <v>1</v>
      </c>
      <c r="C9">
        <v>250</v>
      </c>
      <c r="D9">
        <v>250</v>
      </c>
      <c r="E9">
        <f>Table6[[#This Row],[Pump Capacity]]/Table6[[#This Row],[Operational Capacity (MW) ]]</f>
        <v>1</v>
      </c>
      <c r="F9" t="s">
        <v>82</v>
      </c>
      <c r="G9" t="s">
        <v>85</v>
      </c>
      <c r="I9">
        <v>2025</v>
      </c>
      <c r="K9" t="s">
        <v>0</v>
      </c>
      <c r="L9" t="s">
        <v>97</v>
      </c>
      <c r="N9" s="1">
        <f>Table6[[#This Row],[Estimated Energy Storage Rating (GWh)]]*1000/Table6[[#This Row],[Operational Capacity (MW) ]]</f>
        <v>0</v>
      </c>
      <c r="P9" t="s">
        <v>109</v>
      </c>
    </row>
    <row r="10" spans="1:16" x14ac:dyDescent="0.25">
      <c r="A10" t="s">
        <v>99</v>
      </c>
      <c r="B10" t="s">
        <v>1</v>
      </c>
      <c r="C10">
        <v>1000</v>
      </c>
      <c r="D10">
        <v>250</v>
      </c>
      <c r="E10">
        <f>Table6[[#This Row],[Pump Capacity]]/Table6[[#This Row],[Operational Capacity (MW) ]]</f>
        <v>0.25</v>
      </c>
      <c r="F10" t="s">
        <v>82</v>
      </c>
      <c r="G10" t="s">
        <v>85</v>
      </c>
      <c r="I10">
        <v>2025</v>
      </c>
      <c r="K10" t="s">
        <v>0</v>
      </c>
      <c r="L10" t="s">
        <v>100</v>
      </c>
      <c r="N10" s="1">
        <f>Table6[[#This Row],[Estimated Energy Storage Rating (GWh)]]*1000/Table6[[#This Row],[Operational Capacity (MW) ]]</f>
        <v>0</v>
      </c>
      <c r="P10" t="s">
        <v>109</v>
      </c>
    </row>
    <row r="11" spans="1:16" x14ac:dyDescent="0.25">
      <c r="A11" t="s">
        <v>103</v>
      </c>
      <c r="B11" t="s">
        <v>1</v>
      </c>
      <c r="C11">
        <v>1000</v>
      </c>
      <c r="D11">
        <v>1000</v>
      </c>
      <c r="E11">
        <f>Table6[[#This Row],[Pump Capacity]]/Table6[[#This Row],[Operational Capacity (MW) ]]</f>
        <v>1</v>
      </c>
      <c r="F11" t="s">
        <v>82</v>
      </c>
      <c r="G11" t="s">
        <v>85</v>
      </c>
      <c r="I11">
        <v>2030</v>
      </c>
      <c r="K11" t="s">
        <v>0</v>
      </c>
      <c r="L11" t="s">
        <v>104</v>
      </c>
      <c r="N11" s="1">
        <f>Table6[[#This Row],[Estimated Energy Storage Rating (GWh)]]*1000/Table6[[#This Row],[Operational Capacity (MW) ]]</f>
        <v>0</v>
      </c>
      <c r="P11" t="s">
        <v>109</v>
      </c>
    </row>
    <row r="12" spans="1:16" x14ac:dyDescent="0.25">
      <c r="A12" t="s">
        <v>34</v>
      </c>
      <c r="B12" t="s">
        <v>1</v>
      </c>
      <c r="C12">
        <v>68</v>
      </c>
      <c r="D12">
        <v>28</v>
      </c>
      <c r="E12" s="15">
        <f>Table6[[#This Row],[Pump Capacity]]/Table6[[#This Row],[Operational Capacity (MW) ]]</f>
        <v>0.41176470588235292</v>
      </c>
      <c r="F12" t="s">
        <v>80</v>
      </c>
      <c r="G12" t="s">
        <v>6</v>
      </c>
      <c r="H12">
        <v>1</v>
      </c>
      <c r="I12">
        <v>1971</v>
      </c>
      <c r="J12">
        <v>0.19</v>
      </c>
      <c r="K12" t="s">
        <v>0</v>
      </c>
      <c r="L12" t="s">
        <v>35</v>
      </c>
      <c r="M12" s="1">
        <v>2.7941176470588234</v>
      </c>
      <c r="N12" s="1">
        <f>Table6[[#This Row],[Estimated Energy Storage Rating (GWh)]]*1000/Table6[[#This Row],[Operational Capacity (MW) ]]</f>
        <v>2.7941176470588234</v>
      </c>
      <c r="O12" t="s">
        <v>32</v>
      </c>
    </row>
    <row r="13" spans="1:16" x14ac:dyDescent="0.25">
      <c r="A13" t="s">
        <v>5</v>
      </c>
      <c r="B13" t="s">
        <v>1</v>
      </c>
      <c r="C13">
        <v>45</v>
      </c>
      <c r="D13">
        <v>45</v>
      </c>
      <c r="E13" s="15">
        <f>Table6[[#This Row],[Pump Capacity]]/Table6[[#This Row],[Operational Capacity (MW) ]]</f>
        <v>1</v>
      </c>
      <c r="F13" t="s">
        <v>80</v>
      </c>
      <c r="G13" t="s">
        <v>6</v>
      </c>
      <c r="H13">
        <v>8</v>
      </c>
      <c r="I13">
        <v>1994</v>
      </c>
      <c r="J13">
        <v>0.29399999999999998</v>
      </c>
      <c r="K13" t="s">
        <v>0</v>
      </c>
      <c r="L13" t="s">
        <v>7</v>
      </c>
      <c r="M13" s="1">
        <v>6.5333333333333332</v>
      </c>
      <c r="N13" s="1">
        <f>Table6[[#This Row],[Estimated Energy Storage Rating (GWh)]]*1000/Table6[[#This Row],[Operational Capacity (MW) ]]</f>
        <v>6.5333333333333332</v>
      </c>
      <c r="O13" s="3" t="s">
        <v>33</v>
      </c>
      <c r="P13" t="s">
        <v>83</v>
      </c>
    </row>
    <row r="14" spans="1:16" x14ac:dyDescent="0.25">
      <c r="A14" t="s">
        <v>41</v>
      </c>
      <c r="B14" t="s">
        <v>1</v>
      </c>
      <c r="C14">
        <v>60</v>
      </c>
      <c r="D14">
        <v>50</v>
      </c>
      <c r="E14" s="15">
        <f>Table6[[#This Row],[Pump Capacity]]/Table6[[#This Row],[Operational Capacity (MW) ]]</f>
        <v>0.83333333333333337</v>
      </c>
      <c r="F14" t="s">
        <v>80</v>
      </c>
      <c r="G14" t="s">
        <v>6</v>
      </c>
      <c r="H14">
        <v>1</v>
      </c>
      <c r="I14">
        <v>1926</v>
      </c>
      <c r="J14">
        <v>2.76</v>
      </c>
      <c r="K14" t="s">
        <v>0</v>
      </c>
      <c r="L14" t="s">
        <v>7</v>
      </c>
      <c r="M14" s="1">
        <v>46</v>
      </c>
      <c r="N14" s="1">
        <f>Table6[[#This Row],[Estimated Energy Storage Rating (GWh)]]*1000/Table6[[#This Row],[Operational Capacity (MW) ]]</f>
        <v>46</v>
      </c>
      <c r="O14" s="2" t="s">
        <v>38</v>
      </c>
    </row>
    <row r="15" spans="1:16" x14ac:dyDescent="0.25">
      <c r="A15" t="s">
        <v>53</v>
      </c>
      <c r="B15" t="s">
        <v>1</v>
      </c>
      <c r="C15">
        <v>130</v>
      </c>
      <c r="D15">
        <v>97</v>
      </c>
      <c r="E15" s="15">
        <f>Table6[[#This Row],[Pump Capacity]]/Table6[[#This Row],[Operational Capacity (MW) ]]</f>
        <v>0.74615384615384617</v>
      </c>
      <c r="F15" t="s">
        <v>80</v>
      </c>
      <c r="G15" t="s">
        <v>6</v>
      </c>
      <c r="H15">
        <v>1</v>
      </c>
      <c r="I15">
        <v>1972</v>
      </c>
      <c r="J15">
        <v>23.6</v>
      </c>
      <c r="K15" t="s">
        <v>0</v>
      </c>
      <c r="L15" t="s">
        <v>7</v>
      </c>
      <c r="M15" s="1">
        <v>181.53846153846155</v>
      </c>
      <c r="N15" s="1">
        <f>Table6[[#This Row],[Estimated Energy Storage Rating (GWh)]]*1000/Table6[[#This Row],[Operational Capacity (MW) ]]</f>
        <v>181.53846153846155</v>
      </c>
      <c r="O15" s="2" t="s">
        <v>47</v>
      </c>
    </row>
    <row r="16" spans="1:16" x14ac:dyDescent="0.25">
      <c r="A16" t="s">
        <v>8</v>
      </c>
      <c r="B16" t="s">
        <v>1</v>
      </c>
      <c r="C16">
        <v>1556</v>
      </c>
      <c r="D16">
        <v>1500</v>
      </c>
      <c r="E16" s="15">
        <f>Table6[[#This Row],[Pump Capacity]]/Table6[[#This Row],[Operational Capacity (MW) ]]</f>
        <v>0.96401028277634959</v>
      </c>
      <c r="F16" t="s">
        <v>82</v>
      </c>
      <c r="G16" t="s">
        <v>6</v>
      </c>
      <c r="H16">
        <v>6</v>
      </c>
      <c r="I16">
        <v>1973</v>
      </c>
      <c r="J16">
        <v>0</v>
      </c>
      <c r="K16" t="s">
        <v>0</v>
      </c>
      <c r="L16" t="s">
        <v>2</v>
      </c>
      <c r="M16" s="1" t="e">
        <v>#N/A</v>
      </c>
      <c r="N16" s="1">
        <f>Table6[[#This Row],[Estimated Energy Storage Rating (GWh)]]*1000/Table6[[#This Row],[Operational Capacity (MW) ]]</f>
        <v>0</v>
      </c>
      <c r="O16" t="e">
        <v>#N/A</v>
      </c>
    </row>
    <row r="17" spans="1:15" x14ac:dyDescent="0.25">
      <c r="A17" t="s">
        <v>30</v>
      </c>
      <c r="B17" t="s">
        <v>1</v>
      </c>
      <c r="C17">
        <v>25.2</v>
      </c>
      <c r="D17">
        <v>27</v>
      </c>
      <c r="E17" s="15">
        <f>Table6[[#This Row],[Pump Capacity]]/Table6[[#This Row],[Operational Capacity (MW) ]]</f>
        <v>1.0714285714285714</v>
      </c>
      <c r="F17" t="s">
        <v>80</v>
      </c>
      <c r="G17" t="s">
        <v>6</v>
      </c>
      <c r="H17">
        <v>6</v>
      </c>
      <c r="I17">
        <v>1973</v>
      </c>
      <c r="J17">
        <v>0</v>
      </c>
      <c r="K17" t="s">
        <v>0</v>
      </c>
      <c r="L17" t="s">
        <v>2</v>
      </c>
      <c r="M17" s="1" t="e">
        <v>#N/A</v>
      </c>
      <c r="N17" s="1">
        <f>Table6[[#This Row],[Estimated Energy Storage Rating (GWh)]]*1000/Table6[[#This Row],[Operational Capacity (MW) ]]</f>
        <v>0</v>
      </c>
      <c r="O17" t="e">
        <v>#N/A</v>
      </c>
    </row>
    <row r="18" spans="1:15" x14ac:dyDescent="0.25">
      <c r="A18" t="s">
        <v>9</v>
      </c>
      <c r="B18" t="s">
        <v>1</v>
      </c>
      <c r="C18">
        <v>199.8</v>
      </c>
      <c r="D18">
        <v>200</v>
      </c>
      <c r="E18" s="15">
        <f>Table6[[#This Row],[Pump Capacity]]/Table6[[#This Row],[Operational Capacity (MW) ]]</f>
        <v>1.0010010010010009</v>
      </c>
      <c r="F18" t="s">
        <v>82</v>
      </c>
      <c r="G18" t="s">
        <v>6</v>
      </c>
      <c r="H18">
        <v>1</v>
      </c>
      <c r="I18">
        <v>1987</v>
      </c>
      <c r="J18">
        <v>1.6</v>
      </c>
      <c r="K18" t="s">
        <v>0</v>
      </c>
      <c r="L18" t="s">
        <v>2</v>
      </c>
      <c r="M18" s="1">
        <v>8.0080080080080069</v>
      </c>
      <c r="N18" s="1">
        <f>Table6[[#This Row],[Estimated Energy Storage Rating (GWh)]]*1000/Table6[[#This Row],[Operational Capacity (MW) ]]</f>
        <v>8.0080080080080069</v>
      </c>
      <c r="O18" s="3" t="s">
        <v>33</v>
      </c>
    </row>
    <row r="19" spans="1:15" x14ac:dyDescent="0.25">
      <c r="A19" t="s">
        <v>10</v>
      </c>
      <c r="B19" t="s">
        <v>1</v>
      </c>
      <c r="C19">
        <v>120</v>
      </c>
      <c r="D19">
        <v>84</v>
      </c>
      <c r="E19" s="15">
        <f>Table6[[#This Row],[Pump Capacity]]/Table6[[#This Row],[Operational Capacity (MW) ]]</f>
        <v>0.7</v>
      </c>
      <c r="F19" t="s">
        <v>82</v>
      </c>
      <c r="G19" t="s">
        <v>6</v>
      </c>
      <c r="H19">
        <v>4</v>
      </c>
      <c r="I19">
        <v>1968</v>
      </c>
      <c r="J19">
        <v>1.381</v>
      </c>
      <c r="K19" t="s">
        <v>0</v>
      </c>
      <c r="L19" t="s">
        <v>2</v>
      </c>
      <c r="M19" s="1">
        <v>11.508333333333333</v>
      </c>
      <c r="N19" s="1">
        <f>Table6[[#This Row],[Estimated Energy Storage Rating (GWh)]]*1000/Table6[[#This Row],[Operational Capacity (MW) ]]</f>
        <v>11.508333333333333</v>
      </c>
      <c r="O19" s="3" t="s">
        <v>33</v>
      </c>
    </row>
    <row r="20" spans="1:15" x14ac:dyDescent="0.25">
      <c r="A20" t="s">
        <v>62</v>
      </c>
      <c r="B20" t="s">
        <v>1</v>
      </c>
      <c r="C20">
        <v>1212</v>
      </c>
      <c r="D20">
        <v>1212</v>
      </c>
      <c r="E20" s="15">
        <f>Table6[[#This Row],[Pump Capacity]]/Table6[[#This Row],[Operational Capacity (MW) ]]</f>
        <v>1</v>
      </c>
      <c r="F20" t="s">
        <v>80</v>
      </c>
      <c r="G20" t="s">
        <v>6</v>
      </c>
      <c r="H20">
        <v>3</v>
      </c>
      <c r="I20">
        <v>1984</v>
      </c>
      <c r="J20">
        <v>184</v>
      </c>
      <c r="K20" t="s">
        <v>0</v>
      </c>
      <c r="L20" t="s">
        <v>2</v>
      </c>
      <c r="M20" s="1">
        <v>151.8151815181518</v>
      </c>
      <c r="N20" s="1">
        <f>Table6[[#This Row],[Estimated Energy Storage Rating (GWh)]]*1000/Table6[[#This Row],[Operational Capacity (MW) ]]</f>
        <v>151.8151815181518</v>
      </c>
      <c r="O20" s="2" t="s">
        <v>38</v>
      </c>
    </row>
    <row r="21" spans="1:15" x14ac:dyDescent="0.25">
      <c r="A21" t="s">
        <v>51</v>
      </c>
      <c r="B21" t="s">
        <v>1</v>
      </c>
      <c r="C21">
        <v>40</v>
      </c>
      <c r="D21">
        <v>40</v>
      </c>
      <c r="E21" s="15">
        <f>Table6[[#This Row],[Pump Capacity]]/Table6[[#This Row],[Operational Capacity (MW) ]]</f>
        <v>1</v>
      </c>
      <c r="F21" t="s">
        <v>80</v>
      </c>
      <c r="G21" t="s">
        <v>6</v>
      </c>
      <c r="H21">
        <v>2</v>
      </c>
      <c r="I21">
        <v>2012</v>
      </c>
      <c r="J21">
        <v>15.792</v>
      </c>
      <c r="K21" t="s">
        <v>0</v>
      </c>
      <c r="L21" t="s">
        <v>2</v>
      </c>
      <c r="M21" s="1">
        <v>394.8</v>
      </c>
      <c r="N21" s="1">
        <f>Table6[[#This Row],[Estimated Energy Storage Rating (GWh)]]*1000/Table6[[#This Row],[Operational Capacity (MW) ]]</f>
        <v>394.8</v>
      </c>
      <c r="O21" s="2" t="s">
        <v>47</v>
      </c>
    </row>
    <row r="22" spans="1:15" x14ac:dyDescent="0.25">
      <c r="A22" t="s">
        <v>66</v>
      </c>
      <c r="B22" t="s">
        <v>1</v>
      </c>
      <c r="C22">
        <v>504</v>
      </c>
      <c r="D22">
        <v>424</v>
      </c>
      <c r="E22" s="15">
        <f>Table6[[#This Row],[Pump Capacity]]/Table6[[#This Row],[Operational Capacity (MW) ]]</f>
        <v>0.84126984126984128</v>
      </c>
      <c r="F22" t="s">
        <v>80</v>
      </c>
      <c r="G22" t="s">
        <v>6</v>
      </c>
      <c r="H22">
        <v>8</v>
      </c>
      <c r="I22">
        <v>1967</v>
      </c>
      <c r="J22">
        <v>509.71</v>
      </c>
      <c r="K22" t="s">
        <v>0</v>
      </c>
      <c r="L22" t="s">
        <v>2</v>
      </c>
      <c r="M22" s="1">
        <v>1011.3293650793651</v>
      </c>
      <c r="N22" s="1">
        <f>Table6[[#This Row],[Estimated Energy Storage Rating (GWh)]]*1000/Table6[[#This Row],[Operational Capacity (MW) ]]</f>
        <v>1011.3293650793651</v>
      </c>
      <c r="O22" s="2" t="s">
        <v>58</v>
      </c>
    </row>
    <row r="23" spans="1:15" x14ac:dyDescent="0.25">
      <c r="A23" t="s">
        <v>67</v>
      </c>
      <c r="B23" t="s">
        <v>1</v>
      </c>
      <c r="C23">
        <v>819</v>
      </c>
      <c r="D23">
        <v>390</v>
      </c>
      <c r="E23" s="15">
        <f>Table6[[#This Row],[Pump Capacity]]/Table6[[#This Row],[Operational Capacity (MW) ]]</f>
        <v>0.47619047619047616</v>
      </c>
      <c r="F23" t="s">
        <v>80</v>
      </c>
      <c r="G23" t="s">
        <v>6</v>
      </c>
      <c r="H23">
        <v>3</v>
      </c>
      <c r="I23">
        <v>1967</v>
      </c>
      <c r="J23">
        <v>1858.481</v>
      </c>
      <c r="K23" t="s">
        <v>0</v>
      </c>
      <c r="L23" t="s">
        <v>2</v>
      </c>
      <c r="M23" s="1">
        <v>2269.2075702075704</v>
      </c>
      <c r="N23" s="1">
        <f>Table6[[#This Row],[Estimated Energy Storage Rating (GWh)]]*1000/Table6[[#This Row],[Operational Capacity (MW) ]]</f>
        <v>2269.2075702075704</v>
      </c>
      <c r="O23" s="2" t="s">
        <v>58</v>
      </c>
    </row>
    <row r="24" spans="1:15" x14ac:dyDescent="0.25">
      <c r="A24" t="s">
        <v>29</v>
      </c>
      <c r="B24" t="s">
        <v>1</v>
      </c>
      <c r="C24">
        <v>94.5</v>
      </c>
      <c r="D24">
        <v>9</v>
      </c>
      <c r="E24" s="15">
        <f>Table6[[#This Row],[Pump Capacity]]/Table6[[#This Row],[Operational Capacity (MW) ]]</f>
        <v>9.5238095238095233E-2</v>
      </c>
      <c r="F24" t="s">
        <v>80</v>
      </c>
      <c r="G24" t="s">
        <v>6</v>
      </c>
      <c r="H24">
        <v>8</v>
      </c>
      <c r="I24">
        <v>1954</v>
      </c>
      <c r="J24">
        <v>0</v>
      </c>
      <c r="K24" t="s">
        <v>0</v>
      </c>
      <c r="L24" t="s">
        <v>12</v>
      </c>
      <c r="M24" s="1" t="e">
        <v>#N/A</v>
      </c>
      <c r="N24" s="1">
        <f>Table6[[#This Row],[Estimated Energy Storage Rating (GWh)]]*1000/Table6[[#This Row],[Operational Capacity (MW) ]]</f>
        <v>0</v>
      </c>
      <c r="O24" t="e">
        <v>#N/A</v>
      </c>
    </row>
    <row r="25" spans="1:15" x14ac:dyDescent="0.25">
      <c r="A25" t="s">
        <v>11</v>
      </c>
      <c r="B25" t="s">
        <v>1</v>
      </c>
      <c r="C25">
        <v>324</v>
      </c>
      <c r="D25">
        <v>324</v>
      </c>
      <c r="E25" s="15">
        <f>Table6[[#This Row],[Pump Capacity]]/Table6[[#This Row],[Operational Capacity (MW) ]]</f>
        <v>1</v>
      </c>
      <c r="F25" t="s">
        <v>80</v>
      </c>
      <c r="G25" t="s">
        <v>6</v>
      </c>
      <c r="H25">
        <v>2</v>
      </c>
      <c r="I25">
        <v>1967</v>
      </c>
      <c r="J25">
        <v>1.45</v>
      </c>
      <c r="K25" t="s">
        <v>0</v>
      </c>
      <c r="L25" t="s">
        <v>12</v>
      </c>
      <c r="M25" s="1">
        <v>4.4753086419753085</v>
      </c>
      <c r="N25" s="1">
        <f>Table6[[#This Row],[Estimated Energy Storage Rating (GWh)]]*1000/Table6[[#This Row],[Operational Capacity (MW) ]]</f>
        <v>4.4753086419753085</v>
      </c>
      <c r="O25" t="s">
        <v>32</v>
      </c>
    </row>
    <row r="26" spans="1:15" x14ac:dyDescent="0.25">
      <c r="A26" t="s">
        <v>13</v>
      </c>
      <c r="B26" t="s">
        <v>1</v>
      </c>
      <c r="C26">
        <v>200</v>
      </c>
      <c r="D26">
        <v>200</v>
      </c>
      <c r="E26" s="15">
        <f>Table6[[#This Row],[Pump Capacity]]/Table6[[#This Row],[Operational Capacity (MW) ]]</f>
        <v>1</v>
      </c>
      <c r="F26" t="s">
        <v>82</v>
      </c>
      <c r="G26" t="s">
        <v>6</v>
      </c>
      <c r="H26">
        <v>2</v>
      </c>
      <c r="I26">
        <v>1981</v>
      </c>
      <c r="J26">
        <v>2.41</v>
      </c>
      <c r="K26" t="s">
        <v>0</v>
      </c>
      <c r="L26" t="s">
        <v>12</v>
      </c>
      <c r="M26" s="1">
        <v>12.05</v>
      </c>
      <c r="N26" s="1">
        <f>Table6[[#This Row],[Estimated Energy Storage Rating (GWh)]]*1000/Table6[[#This Row],[Operational Capacity (MW) ]]</f>
        <v>12.05</v>
      </c>
      <c r="O26" s="2" t="s">
        <v>36</v>
      </c>
    </row>
    <row r="27" spans="1:15" x14ac:dyDescent="0.25">
      <c r="A27" t="s">
        <v>56</v>
      </c>
      <c r="B27" t="s">
        <v>1</v>
      </c>
      <c r="C27">
        <v>29</v>
      </c>
      <c r="D27">
        <v>12</v>
      </c>
      <c r="E27" s="15">
        <f>Table6[[#This Row],[Pump Capacity]]/Table6[[#This Row],[Operational Capacity (MW) ]]</f>
        <v>0.41379310344827586</v>
      </c>
      <c r="F27" t="s">
        <v>80</v>
      </c>
      <c r="G27" t="s">
        <v>6</v>
      </c>
      <c r="I27">
        <v>1929</v>
      </c>
      <c r="J27">
        <v>26.79</v>
      </c>
      <c r="K27" t="s">
        <v>0</v>
      </c>
      <c r="L27" t="s">
        <v>57</v>
      </c>
      <c r="M27" s="1">
        <v>923.79310344827582</v>
      </c>
      <c r="N27" s="1">
        <f>Table6[[#This Row],[Estimated Energy Storage Rating (GWh)]]*1000/Table6[[#This Row],[Operational Capacity (MW) ]]</f>
        <v>923.79310344827582</v>
      </c>
      <c r="O27" s="2" t="s">
        <v>58</v>
      </c>
    </row>
    <row r="28" spans="1:15" x14ac:dyDescent="0.25">
      <c r="A28" t="s">
        <v>31</v>
      </c>
      <c r="B28" t="s">
        <v>1</v>
      </c>
      <c r="C28">
        <v>600</v>
      </c>
      <c r="D28">
        <v>300</v>
      </c>
      <c r="E28" s="15">
        <f>Table6[[#This Row],[Pump Capacity]]/Table6[[#This Row],[Operational Capacity (MW) ]]</f>
        <v>0.5</v>
      </c>
      <c r="F28" t="s">
        <v>80</v>
      </c>
      <c r="G28" t="s">
        <v>6</v>
      </c>
      <c r="H28">
        <v>4</v>
      </c>
      <c r="I28">
        <v>1985</v>
      </c>
      <c r="J28">
        <v>0</v>
      </c>
      <c r="K28" t="s">
        <v>0</v>
      </c>
      <c r="L28" t="s">
        <v>15</v>
      </c>
      <c r="M28" s="1" t="e">
        <v>#N/A</v>
      </c>
      <c r="N28" s="1">
        <f>Table6[[#This Row],[Estimated Energy Storage Rating (GWh)]]*1000/Table6[[#This Row],[Operational Capacity (MW) ]]</f>
        <v>0</v>
      </c>
      <c r="O28" t="e">
        <v>#N/A</v>
      </c>
    </row>
    <row r="29" spans="1:15" x14ac:dyDescent="0.25">
      <c r="A29" t="s">
        <v>14</v>
      </c>
      <c r="B29" t="s">
        <v>1</v>
      </c>
      <c r="C29">
        <v>500</v>
      </c>
      <c r="D29">
        <v>250</v>
      </c>
      <c r="E29" s="15">
        <f>Table6[[#This Row],[Pump Capacity]]/Table6[[#This Row],[Operational Capacity (MW) ]]</f>
        <v>0.5</v>
      </c>
      <c r="F29" t="s">
        <v>82</v>
      </c>
      <c r="G29" t="s">
        <v>6</v>
      </c>
      <c r="H29">
        <v>2</v>
      </c>
      <c r="I29">
        <v>1976</v>
      </c>
      <c r="J29">
        <v>1.89</v>
      </c>
      <c r="K29" t="s">
        <v>0</v>
      </c>
      <c r="L29" t="s">
        <v>15</v>
      </c>
      <c r="M29" s="1">
        <v>3.78</v>
      </c>
      <c r="N29" s="1">
        <f>Table6[[#This Row],[Estimated Energy Storage Rating (GWh)]]*1000/Table6[[#This Row],[Operational Capacity (MW) ]]</f>
        <v>3.78</v>
      </c>
      <c r="O29" t="s">
        <v>32</v>
      </c>
    </row>
    <row r="30" spans="1:15" x14ac:dyDescent="0.25">
      <c r="A30" t="s">
        <v>63</v>
      </c>
      <c r="B30" t="s">
        <v>1</v>
      </c>
      <c r="C30">
        <v>321</v>
      </c>
      <c r="D30">
        <v>210</v>
      </c>
      <c r="E30" s="15">
        <f>Table6[[#This Row],[Pump Capacity]]/Table6[[#This Row],[Operational Capacity (MW) ]]</f>
        <v>0.65420560747663548</v>
      </c>
      <c r="F30" t="s">
        <v>80</v>
      </c>
      <c r="G30" t="s">
        <v>6</v>
      </c>
      <c r="H30">
        <v>4</v>
      </c>
      <c r="I30">
        <v>1980</v>
      </c>
      <c r="J30">
        <v>213</v>
      </c>
      <c r="K30" t="s">
        <v>0</v>
      </c>
      <c r="L30" t="s">
        <v>15</v>
      </c>
      <c r="M30" s="1">
        <v>663.55140186915889</v>
      </c>
      <c r="N30" s="1">
        <f>Table6[[#This Row],[Estimated Energy Storage Rating (GWh)]]*1000/Table6[[#This Row],[Operational Capacity (MW) ]]</f>
        <v>663.55140186915889</v>
      </c>
      <c r="O30" s="2" t="s">
        <v>47</v>
      </c>
    </row>
    <row r="31" spans="1:15" x14ac:dyDescent="0.25">
      <c r="A31" t="s">
        <v>16</v>
      </c>
      <c r="B31" t="s">
        <v>1</v>
      </c>
      <c r="C31">
        <v>1095</v>
      </c>
      <c r="D31">
        <v>903</v>
      </c>
      <c r="E31" s="15">
        <f>Table6[[#This Row],[Pump Capacity]]/Table6[[#This Row],[Operational Capacity (MW) ]]</f>
        <v>0.8246575342465754</v>
      </c>
      <c r="F31" t="s">
        <v>82</v>
      </c>
      <c r="G31" t="s">
        <v>6</v>
      </c>
      <c r="H31">
        <v>3</v>
      </c>
      <c r="I31">
        <v>1995</v>
      </c>
      <c r="J31">
        <v>6.08</v>
      </c>
      <c r="K31" t="s">
        <v>0</v>
      </c>
      <c r="L31" t="s">
        <v>15</v>
      </c>
      <c r="M31" s="1">
        <v>5.5525114155251138</v>
      </c>
      <c r="N31" s="1">
        <f>Table6[[#This Row],[Estimated Energy Storage Rating (GWh)]]*1000/Table6[[#This Row],[Operational Capacity (MW) ]]</f>
        <v>5.5525114155251138</v>
      </c>
      <c r="O31" t="s">
        <v>32</v>
      </c>
    </row>
    <row r="32" spans="1:15" x14ac:dyDescent="0.25">
      <c r="A32" t="s">
        <v>18</v>
      </c>
      <c r="B32" t="s">
        <v>1</v>
      </c>
      <c r="C32">
        <v>1124</v>
      </c>
      <c r="D32">
        <v>1080</v>
      </c>
      <c r="E32" s="15">
        <f>Table6[[#This Row],[Pump Capacity]]/Table6[[#This Row],[Operational Capacity (MW) ]]</f>
        <v>0.96085409252669041</v>
      </c>
      <c r="F32" t="s">
        <v>82</v>
      </c>
      <c r="G32" t="s">
        <v>6</v>
      </c>
      <c r="H32">
        <v>4</v>
      </c>
      <c r="I32">
        <v>1972</v>
      </c>
      <c r="J32">
        <v>10.5</v>
      </c>
      <c r="K32" t="s">
        <v>0</v>
      </c>
      <c r="L32" t="s">
        <v>19</v>
      </c>
      <c r="M32" s="1">
        <v>9.3416370106761573</v>
      </c>
      <c r="N32" s="1">
        <f>Table6[[#This Row],[Estimated Energy Storage Rating (GWh)]]*1000/Table6[[#This Row],[Operational Capacity (MW) ]]</f>
        <v>9.3416370106761573</v>
      </c>
      <c r="O32" s="3" t="s">
        <v>33</v>
      </c>
    </row>
    <row r="33" spans="1:15" x14ac:dyDescent="0.25">
      <c r="A33" t="s">
        <v>44</v>
      </c>
      <c r="B33" t="s">
        <v>1</v>
      </c>
      <c r="C33">
        <v>600</v>
      </c>
      <c r="D33">
        <v>600</v>
      </c>
      <c r="E33" s="15">
        <f>Table6[[#This Row],[Pump Capacity]]/Table6[[#This Row],[Operational Capacity (MW) ]]</f>
        <v>1</v>
      </c>
      <c r="F33" t="s">
        <v>80</v>
      </c>
      <c r="G33" t="s">
        <v>6</v>
      </c>
      <c r="H33">
        <v>2</v>
      </c>
      <c r="I33">
        <v>1974</v>
      </c>
      <c r="J33">
        <v>3.69</v>
      </c>
      <c r="K33" t="s">
        <v>0</v>
      </c>
      <c r="L33" t="s">
        <v>45</v>
      </c>
      <c r="M33" s="1">
        <v>6.15</v>
      </c>
      <c r="N33" s="1">
        <f>Table6[[#This Row],[Estimated Energy Storage Rating (GWh)]]*1000/Table6[[#This Row],[Operational Capacity (MW) ]]</f>
        <v>6.15</v>
      </c>
      <c r="O33" s="3" t="s">
        <v>33</v>
      </c>
    </row>
    <row r="34" spans="1:15" x14ac:dyDescent="0.25">
      <c r="A34" t="s">
        <v>28</v>
      </c>
      <c r="B34" t="s">
        <v>1</v>
      </c>
      <c r="C34">
        <v>1872</v>
      </c>
      <c r="D34">
        <v>1872</v>
      </c>
      <c r="E34" s="15">
        <f>Table6[[#This Row],[Pump Capacity]]/Table6[[#This Row],[Operational Capacity (MW) ]]</f>
        <v>1</v>
      </c>
      <c r="F34" t="s">
        <v>82</v>
      </c>
      <c r="G34" t="s">
        <v>6</v>
      </c>
      <c r="H34">
        <v>6</v>
      </c>
      <c r="I34">
        <v>1973</v>
      </c>
      <c r="J34">
        <v>17.2</v>
      </c>
      <c r="K34" t="s">
        <v>0</v>
      </c>
      <c r="L34" t="s">
        <v>52</v>
      </c>
      <c r="M34" s="1">
        <v>9.1880341880341874</v>
      </c>
      <c r="N34" s="1">
        <f>Table6[[#This Row],[Estimated Energy Storage Rating (GWh)]]*1000/Table6[[#This Row],[Operational Capacity (MW) ]]</f>
        <v>9.1880341880341874</v>
      </c>
      <c r="O34" s="3" t="s">
        <v>33</v>
      </c>
    </row>
    <row r="35" spans="1:15" x14ac:dyDescent="0.25">
      <c r="A35" t="s">
        <v>37</v>
      </c>
      <c r="B35" t="s">
        <v>1</v>
      </c>
      <c r="C35">
        <v>58</v>
      </c>
      <c r="D35">
        <v>31</v>
      </c>
      <c r="E35" s="15">
        <f>Table6[[#This Row],[Pump Capacity]]/Table6[[#This Row],[Operational Capacity (MW) ]]</f>
        <v>0.53448275862068961</v>
      </c>
      <c r="F35" t="s">
        <v>80</v>
      </c>
      <c r="G35" t="s">
        <v>6</v>
      </c>
      <c r="H35">
        <v>1</v>
      </c>
      <c r="I35">
        <v>1984</v>
      </c>
      <c r="J35">
        <v>0.28000000000000003</v>
      </c>
      <c r="K35" t="s">
        <v>0</v>
      </c>
      <c r="L35" t="s">
        <v>21</v>
      </c>
      <c r="M35" s="1">
        <v>4.8275862068965516</v>
      </c>
      <c r="N35" s="1">
        <f>Table6[[#This Row],[Estimated Energy Storage Rating (GWh)]]*1000/Table6[[#This Row],[Operational Capacity (MW) ]]</f>
        <v>4.8275862068965516</v>
      </c>
      <c r="O35" t="s">
        <v>32</v>
      </c>
    </row>
    <row r="36" spans="1:15" x14ac:dyDescent="0.25">
      <c r="A36" t="s">
        <v>20</v>
      </c>
      <c r="B36" t="s">
        <v>1</v>
      </c>
      <c r="C36">
        <v>450</v>
      </c>
      <c r="D36">
        <v>440</v>
      </c>
      <c r="E36" s="15">
        <f>Table6[[#This Row],[Pump Capacity]]/Table6[[#This Row],[Operational Capacity (MW) ]]</f>
        <v>0.97777777777777775</v>
      </c>
      <c r="F36" t="s">
        <v>82</v>
      </c>
      <c r="G36" t="s">
        <v>6</v>
      </c>
      <c r="H36">
        <v>2</v>
      </c>
      <c r="I36">
        <v>1963</v>
      </c>
      <c r="J36">
        <v>2.75</v>
      </c>
      <c r="K36" t="s">
        <v>0</v>
      </c>
      <c r="L36" t="s">
        <v>21</v>
      </c>
      <c r="M36" s="1">
        <v>6.1111111111111107</v>
      </c>
      <c r="N36" s="1">
        <f>Table6[[#This Row],[Estimated Energy Storage Rating (GWh)]]*1000/Table6[[#This Row],[Operational Capacity (MW) ]]</f>
        <v>6.1111111111111107</v>
      </c>
      <c r="O36" s="3" t="s">
        <v>33</v>
      </c>
    </row>
    <row r="37" spans="1:15" x14ac:dyDescent="0.25">
      <c r="A37" t="s">
        <v>64</v>
      </c>
      <c r="B37" t="s">
        <v>1</v>
      </c>
      <c r="C37">
        <v>185</v>
      </c>
      <c r="D37">
        <v>185</v>
      </c>
      <c r="E37" s="15">
        <f>Table6[[#This Row],[Pump Capacity]]/Table6[[#This Row],[Operational Capacity (MW) ]]</f>
        <v>1</v>
      </c>
      <c r="F37" t="s">
        <v>80</v>
      </c>
      <c r="G37" t="s">
        <v>6</v>
      </c>
      <c r="H37">
        <v>1</v>
      </c>
      <c r="I37">
        <v>1940</v>
      </c>
      <c r="J37">
        <v>289.2</v>
      </c>
      <c r="K37" t="s">
        <v>0</v>
      </c>
      <c r="L37" t="s">
        <v>65</v>
      </c>
      <c r="M37" s="1">
        <v>1563.2432432432433</v>
      </c>
      <c r="N37" s="1">
        <f>Table6[[#This Row],[Estimated Energy Storage Rating (GWh)]]*1000/Table6[[#This Row],[Operational Capacity (MW) ]]</f>
        <v>1563.2432432432433</v>
      </c>
      <c r="O37" s="2" t="s">
        <v>58</v>
      </c>
    </row>
    <row r="38" spans="1:15" x14ac:dyDescent="0.25">
      <c r="A38" t="s">
        <v>22</v>
      </c>
      <c r="B38" t="s">
        <v>1</v>
      </c>
      <c r="C38">
        <v>453</v>
      </c>
      <c r="D38">
        <v>420</v>
      </c>
      <c r="E38" s="15">
        <f>Table6[[#This Row],[Pump Capacity]]/Table6[[#This Row],[Operational Capacity (MW) ]]</f>
        <v>0.92715231788079466</v>
      </c>
      <c r="F38" t="s">
        <v>82</v>
      </c>
      <c r="G38" t="s">
        <v>6</v>
      </c>
      <c r="H38">
        <v>3</v>
      </c>
      <c r="I38">
        <v>1965</v>
      </c>
      <c r="J38">
        <v>2.8</v>
      </c>
      <c r="K38" t="s">
        <v>0</v>
      </c>
      <c r="L38" t="s">
        <v>23</v>
      </c>
      <c r="M38" s="1">
        <v>6.1810154525386309</v>
      </c>
      <c r="N38" s="1">
        <f>Table6[[#This Row],[Estimated Energy Storage Rating (GWh)]]*1000/Table6[[#This Row],[Operational Capacity (MW) ]]</f>
        <v>6.1810154525386309</v>
      </c>
      <c r="O38" s="3" t="s">
        <v>33</v>
      </c>
    </row>
    <row r="39" spans="1:15" x14ac:dyDescent="0.25">
      <c r="A39" t="s">
        <v>50</v>
      </c>
      <c r="B39" t="s">
        <v>1</v>
      </c>
      <c r="C39">
        <v>1160</v>
      </c>
      <c r="D39">
        <v>1160</v>
      </c>
      <c r="E39" s="15">
        <f>Table6[[#This Row],[Pump Capacity]]/Table6[[#This Row],[Operational Capacity (MW) ]]</f>
        <v>1</v>
      </c>
      <c r="F39" t="s">
        <v>80</v>
      </c>
      <c r="G39" t="s">
        <v>6</v>
      </c>
      <c r="H39">
        <v>4</v>
      </c>
      <c r="I39">
        <v>1973</v>
      </c>
      <c r="J39">
        <v>12</v>
      </c>
      <c r="K39" t="s">
        <v>0</v>
      </c>
      <c r="L39" t="s">
        <v>25</v>
      </c>
      <c r="M39" s="1">
        <v>10.344827586206897</v>
      </c>
      <c r="N39" s="1">
        <f>Table6[[#This Row],[Estimated Energy Storage Rating (GWh)]]*1000/Table6[[#This Row],[Operational Capacity (MW) ]]</f>
        <v>10.344827586206897</v>
      </c>
      <c r="O39" s="3" t="s">
        <v>33</v>
      </c>
    </row>
    <row r="40" spans="1:15" x14ac:dyDescent="0.25">
      <c r="A40" t="s">
        <v>24</v>
      </c>
      <c r="B40" t="s">
        <v>1</v>
      </c>
      <c r="C40">
        <v>240</v>
      </c>
      <c r="D40">
        <v>240</v>
      </c>
      <c r="E40" s="15">
        <f>Table6[[#This Row],[Pump Capacity]]/Table6[[#This Row],[Operational Capacity (MW) ]]</f>
        <v>1</v>
      </c>
      <c r="F40" t="s">
        <v>82</v>
      </c>
      <c r="G40" t="s">
        <v>6</v>
      </c>
      <c r="H40">
        <v>12</v>
      </c>
      <c r="I40">
        <v>1961</v>
      </c>
      <c r="J40">
        <v>4.8</v>
      </c>
      <c r="K40" t="s">
        <v>0</v>
      </c>
      <c r="L40" t="s">
        <v>25</v>
      </c>
      <c r="M40" s="1">
        <v>20</v>
      </c>
      <c r="N40" s="1">
        <f>Table6[[#This Row],[Estimated Energy Storage Rating (GWh)]]*1000/Table6[[#This Row],[Operational Capacity (MW) ]]</f>
        <v>20</v>
      </c>
      <c r="O40" s="2" t="s">
        <v>36</v>
      </c>
    </row>
    <row r="41" spans="1:15" x14ac:dyDescent="0.25">
      <c r="A41" t="s">
        <v>39</v>
      </c>
      <c r="B41" t="s">
        <v>1</v>
      </c>
      <c r="C41">
        <v>260</v>
      </c>
      <c r="D41">
        <v>260</v>
      </c>
      <c r="E41" s="15">
        <f>Table6[[#This Row],[Pump Capacity]]/Table6[[#This Row],[Operational Capacity (MW) ]]</f>
        <v>1</v>
      </c>
      <c r="F41" t="s">
        <v>80</v>
      </c>
      <c r="G41" t="s">
        <v>6</v>
      </c>
      <c r="H41">
        <v>6</v>
      </c>
      <c r="I41">
        <v>1968</v>
      </c>
      <c r="J41">
        <v>2.65</v>
      </c>
      <c r="K41" t="s">
        <v>0</v>
      </c>
      <c r="L41" t="s">
        <v>40</v>
      </c>
      <c r="M41" s="1">
        <v>10.192307692307692</v>
      </c>
      <c r="N41" s="1">
        <f>Table6[[#This Row],[Estimated Energy Storage Rating (GWh)]]*1000/Table6[[#This Row],[Operational Capacity (MW) ]]</f>
        <v>10.192307692307692</v>
      </c>
      <c r="O41" s="3" t="s">
        <v>33</v>
      </c>
    </row>
    <row r="42" spans="1:15" x14ac:dyDescent="0.25">
      <c r="A42" t="s">
        <v>46</v>
      </c>
      <c r="B42" t="s">
        <v>1</v>
      </c>
      <c r="C42">
        <v>469</v>
      </c>
      <c r="D42">
        <v>440</v>
      </c>
      <c r="E42" s="15">
        <f>Table6[[#This Row],[Pump Capacity]]/Table6[[#This Row],[Operational Capacity (MW) ]]</f>
        <v>0.93816631130063965</v>
      </c>
      <c r="F42" t="s">
        <v>80</v>
      </c>
      <c r="G42" t="s">
        <v>6</v>
      </c>
      <c r="H42">
        <v>2</v>
      </c>
      <c r="I42">
        <v>1970</v>
      </c>
      <c r="J42">
        <v>3.92</v>
      </c>
      <c r="K42" t="s">
        <v>0</v>
      </c>
      <c r="L42" t="s">
        <v>3</v>
      </c>
      <c r="M42" s="1">
        <v>8.3582089552238799</v>
      </c>
      <c r="N42" s="1">
        <f>Table6[[#This Row],[Estimated Energy Storage Rating (GWh)]]*1000/Table6[[#This Row],[Operational Capacity (MW) ]]</f>
        <v>8.3582089552238799</v>
      </c>
      <c r="O42" s="3" t="s">
        <v>33</v>
      </c>
    </row>
    <row r="43" spans="1:15" x14ac:dyDescent="0.25">
      <c r="A43" t="s">
        <v>48</v>
      </c>
      <c r="B43" t="s">
        <v>1</v>
      </c>
      <c r="C43">
        <v>1072</v>
      </c>
      <c r="D43">
        <v>1072</v>
      </c>
      <c r="E43" s="15">
        <f>Table6[[#This Row],[Pump Capacity]]/Table6[[#This Row],[Operational Capacity (MW) ]]</f>
        <v>1</v>
      </c>
      <c r="F43" t="s">
        <v>80</v>
      </c>
      <c r="G43" t="s">
        <v>6</v>
      </c>
      <c r="H43">
        <v>8</v>
      </c>
      <c r="I43">
        <v>1966</v>
      </c>
      <c r="J43">
        <v>11.1</v>
      </c>
      <c r="K43" t="s">
        <v>0</v>
      </c>
      <c r="L43" t="s">
        <v>3</v>
      </c>
      <c r="M43" s="1">
        <v>10.354477611940299</v>
      </c>
      <c r="N43" s="1">
        <f>Table6[[#This Row],[Estimated Energy Storage Rating (GWh)]]*1000/Table6[[#This Row],[Operational Capacity (MW) ]]</f>
        <v>10.354477611940299</v>
      </c>
      <c r="O43" s="3" t="s">
        <v>33</v>
      </c>
    </row>
    <row r="44" spans="1:15" x14ac:dyDescent="0.25">
      <c r="A44" t="s">
        <v>26</v>
      </c>
      <c r="B44" t="s">
        <v>1</v>
      </c>
      <c r="C44">
        <v>576</v>
      </c>
      <c r="D44">
        <v>576</v>
      </c>
      <c r="E44" s="15">
        <f>Table6[[#This Row],[Pump Capacity]]/Table6[[#This Row],[Operational Capacity (MW) ]]</f>
        <v>1</v>
      </c>
      <c r="F44" t="s">
        <v>82</v>
      </c>
      <c r="G44" t="s">
        <v>6</v>
      </c>
      <c r="H44">
        <v>8</v>
      </c>
      <c r="I44">
        <v>1978</v>
      </c>
      <c r="J44">
        <v>4.0999999999999996</v>
      </c>
      <c r="K44" t="s">
        <v>0</v>
      </c>
      <c r="L44" t="s">
        <v>27</v>
      </c>
      <c r="M44" s="1">
        <v>7.1180555555555554</v>
      </c>
      <c r="N44" s="1">
        <f>Table6[[#This Row],[Estimated Energy Storage Rating (GWh)]]*1000/Table6[[#This Row],[Operational Capacity (MW) ]]</f>
        <v>7.1180555555555554</v>
      </c>
      <c r="O44" s="3" t="s">
        <v>33</v>
      </c>
    </row>
    <row r="45" spans="1:15" x14ac:dyDescent="0.25">
      <c r="A45" t="s">
        <v>55</v>
      </c>
      <c r="B45" t="s">
        <v>1</v>
      </c>
      <c r="C45">
        <v>1065.2</v>
      </c>
      <c r="D45">
        <v>1065</v>
      </c>
      <c r="E45" s="15">
        <f>Table6[[#This Row],[Pump Capacity]]/Table6[[#This Row],[Operational Capacity (MW) ]]</f>
        <v>0.99981224183251971</v>
      </c>
      <c r="F45" t="s">
        <v>80</v>
      </c>
      <c r="G45" t="s">
        <v>6</v>
      </c>
      <c r="H45">
        <v>4</v>
      </c>
      <c r="I45">
        <v>1991</v>
      </c>
      <c r="J45">
        <v>24</v>
      </c>
      <c r="K45" t="s">
        <v>0</v>
      </c>
      <c r="L45" t="s">
        <v>27</v>
      </c>
      <c r="M45" s="1">
        <v>22.530980097634245</v>
      </c>
      <c r="N45" s="1">
        <f>Table6[[#This Row],[Estimated Energy Storage Rating (GWh)]]*1000/Table6[[#This Row],[Operational Capacity (MW) ]]</f>
        <v>22.530980097634245</v>
      </c>
      <c r="O45" s="2" t="s">
        <v>36</v>
      </c>
    </row>
    <row r="46" spans="1:15" x14ac:dyDescent="0.25">
      <c r="A46" t="s">
        <v>61</v>
      </c>
      <c r="B46" t="s">
        <v>1</v>
      </c>
      <c r="C46">
        <v>710</v>
      </c>
      <c r="D46">
        <v>710</v>
      </c>
      <c r="E46" s="15">
        <f>Table6[[#This Row],[Pump Capacity]]/Table6[[#This Row],[Operational Capacity (MW) ]]</f>
        <v>1</v>
      </c>
      <c r="F46" t="s">
        <v>80</v>
      </c>
      <c r="G46" t="s">
        <v>6</v>
      </c>
      <c r="H46">
        <v>4</v>
      </c>
      <c r="I46">
        <v>1973</v>
      </c>
      <c r="J46">
        <v>57.54</v>
      </c>
      <c r="K46" t="s">
        <v>0</v>
      </c>
      <c r="L46" t="s">
        <v>27</v>
      </c>
      <c r="M46" s="1">
        <v>81.042253521126767</v>
      </c>
      <c r="N46" s="1">
        <f>Table6[[#This Row],[Estimated Energy Storage Rating (GWh)]]*1000/Table6[[#This Row],[Operational Capacity (MW) ]]</f>
        <v>81.042253521126767</v>
      </c>
      <c r="O46" s="2" t="s">
        <v>38</v>
      </c>
    </row>
    <row r="47" spans="1:15" x14ac:dyDescent="0.25">
      <c r="A47" t="s">
        <v>59</v>
      </c>
      <c r="B47" t="s">
        <v>1</v>
      </c>
      <c r="C47">
        <v>1652</v>
      </c>
      <c r="D47">
        <v>1652</v>
      </c>
      <c r="E47" s="15">
        <f>Table6[[#This Row],[Pump Capacity]]/Table6[[#This Row],[Operational Capacity (MW) ]]</f>
        <v>1</v>
      </c>
      <c r="F47" t="s">
        <v>80</v>
      </c>
      <c r="G47" t="s">
        <v>6</v>
      </c>
      <c r="H47">
        <v>4</v>
      </c>
      <c r="I47">
        <v>1978</v>
      </c>
      <c r="J47">
        <v>32.130000000000003</v>
      </c>
      <c r="K47" t="s">
        <v>0</v>
      </c>
      <c r="L47" t="s">
        <v>60</v>
      </c>
      <c r="M47" s="1">
        <v>19.449152542372882</v>
      </c>
      <c r="N47" s="1">
        <f>Table6[[#This Row],[Estimated Energy Storage Rating (GWh)]]*1000/Table6[[#This Row],[Operational Capacity (MW) ]]</f>
        <v>19.449152542372882</v>
      </c>
      <c r="O47" s="2" t="s">
        <v>36</v>
      </c>
    </row>
    <row r="48" spans="1:15" x14ac:dyDescent="0.25">
      <c r="A48" t="s">
        <v>42</v>
      </c>
      <c r="B48" t="s">
        <v>1</v>
      </c>
      <c r="C48">
        <v>560</v>
      </c>
      <c r="D48">
        <v>100</v>
      </c>
      <c r="E48" s="15">
        <f>Table6[[#This Row],[Pump Capacity]]/Table6[[#This Row],[Operational Capacity (MW) ]]</f>
        <v>0.17857142857142858</v>
      </c>
      <c r="F48" t="s">
        <v>80</v>
      </c>
      <c r="G48" t="s">
        <v>6</v>
      </c>
      <c r="H48">
        <v>3</v>
      </c>
      <c r="I48">
        <v>1965</v>
      </c>
      <c r="J48">
        <v>3.33</v>
      </c>
      <c r="K48" t="s">
        <v>0</v>
      </c>
      <c r="L48" t="s">
        <v>43</v>
      </c>
      <c r="M48" s="1">
        <v>5.9464285714285712</v>
      </c>
      <c r="N48" s="1">
        <f>Table6[[#This Row],[Estimated Energy Storage Rating (GWh)]]*1000/Table6[[#This Row],[Operational Capacity (MW) ]]</f>
        <v>5.9464285714285712</v>
      </c>
      <c r="O48" t="s">
        <v>32</v>
      </c>
    </row>
    <row r="49" spans="1:16" x14ac:dyDescent="0.25">
      <c r="A49" t="s">
        <v>54</v>
      </c>
      <c r="B49" t="s">
        <v>1</v>
      </c>
      <c r="C49">
        <v>3003</v>
      </c>
      <c r="D49">
        <v>2880</v>
      </c>
      <c r="E49" s="15">
        <f>Table6[[#This Row],[Pump Capacity]]/Table6[[#This Row],[Operational Capacity (MW) ]]</f>
        <v>0.9590409590409591</v>
      </c>
      <c r="F49" t="s">
        <v>80</v>
      </c>
      <c r="G49" t="s">
        <v>6</v>
      </c>
      <c r="H49">
        <v>6</v>
      </c>
      <c r="I49">
        <v>1985</v>
      </c>
      <c r="J49">
        <v>23.7</v>
      </c>
      <c r="K49" t="s">
        <v>0</v>
      </c>
      <c r="L49" t="s">
        <v>43</v>
      </c>
      <c r="M49" s="1">
        <v>7.8921078921078918</v>
      </c>
      <c r="N49" s="1">
        <f>Table6[[#This Row],[Estimated Energy Storage Rating (GWh)]]*1000/Table6[[#This Row],[Operational Capacity (MW) ]]</f>
        <v>7.8921078921078918</v>
      </c>
      <c r="O49" s="3" t="s">
        <v>33</v>
      </c>
    </row>
    <row r="50" spans="1:16" x14ac:dyDescent="0.25">
      <c r="A50" t="s">
        <v>49</v>
      </c>
      <c r="B50" t="s">
        <v>1</v>
      </c>
      <c r="C50">
        <v>314</v>
      </c>
      <c r="D50">
        <v>314</v>
      </c>
      <c r="E50" s="15">
        <f>Table6[[#This Row],[Pump Capacity]]/Table6[[#This Row],[Operational Capacity (MW) ]]</f>
        <v>1</v>
      </c>
      <c r="F50" t="s">
        <v>80</v>
      </c>
      <c r="G50" t="s">
        <v>6</v>
      </c>
      <c r="H50">
        <v>6</v>
      </c>
      <c r="I50">
        <v>1941</v>
      </c>
      <c r="J50">
        <v>11.12</v>
      </c>
      <c r="K50" t="s">
        <v>0</v>
      </c>
      <c r="L50" t="s">
        <v>4</v>
      </c>
      <c r="M50" s="1">
        <v>35.414012738853501</v>
      </c>
      <c r="N50" s="1">
        <f>Table6[[#This Row],[Estimated Energy Storage Rating (GWh)]]*1000/Table6[[#This Row],[Operational Capacity (MW) ]]</f>
        <v>35.414012738853501</v>
      </c>
      <c r="O50" s="2" t="s">
        <v>38</v>
      </c>
    </row>
    <row r="51" spans="1:16" x14ac:dyDescent="0.25">
      <c r="A51" t="s">
        <v>92</v>
      </c>
      <c r="B51" t="s">
        <v>1</v>
      </c>
      <c r="C51">
        <v>500</v>
      </c>
      <c r="D51">
        <v>600</v>
      </c>
      <c r="E51">
        <f>Table6[[#This Row],[Pump Capacity]]/Table6[[#This Row],[Operational Capacity (MW) ]]</f>
        <v>1.2</v>
      </c>
      <c r="F51" t="s">
        <v>82</v>
      </c>
      <c r="G51" t="s">
        <v>89</v>
      </c>
      <c r="I51">
        <v>2025</v>
      </c>
      <c r="J51">
        <v>11.39</v>
      </c>
      <c r="K51" t="s">
        <v>0</v>
      </c>
      <c r="L51" t="s">
        <v>2</v>
      </c>
      <c r="N51" s="1">
        <f>Table6[[#This Row],[Estimated Energy Storage Rating (GWh)]]*1000/Table6[[#This Row],[Operational Capacity (MW) ]]</f>
        <v>22.78</v>
      </c>
      <c r="O51" s="2"/>
      <c r="P51" t="s">
        <v>109</v>
      </c>
    </row>
    <row r="52" spans="1:16" x14ac:dyDescent="0.25">
      <c r="A52" t="s">
        <v>88</v>
      </c>
      <c r="B52" t="s">
        <v>1</v>
      </c>
      <c r="C52">
        <v>150</v>
      </c>
      <c r="D52">
        <v>150</v>
      </c>
      <c r="E52">
        <f>Table6[[#This Row],[Pump Capacity]]/Table6[[#This Row],[Operational Capacity (MW) ]]</f>
        <v>1</v>
      </c>
      <c r="F52" t="s">
        <v>80</v>
      </c>
      <c r="G52" t="s">
        <v>89</v>
      </c>
      <c r="I52">
        <v>2025</v>
      </c>
      <c r="J52">
        <v>3.24</v>
      </c>
      <c r="K52" t="s">
        <v>0</v>
      </c>
      <c r="L52" t="s">
        <v>90</v>
      </c>
      <c r="N52" s="1">
        <f>Table6[[#This Row],[Estimated Energy Storage Rating (GWh)]]*1000/Table6[[#This Row],[Operational Capacity (MW) ]]</f>
        <v>21.6</v>
      </c>
      <c r="O52" s="2"/>
      <c r="P52" t="s">
        <v>109</v>
      </c>
    </row>
    <row r="53" spans="1:16" x14ac:dyDescent="0.25">
      <c r="A53" t="s">
        <v>105</v>
      </c>
      <c r="B53" t="s">
        <v>1</v>
      </c>
      <c r="C53">
        <v>250</v>
      </c>
      <c r="D53">
        <v>250</v>
      </c>
      <c r="E53">
        <f>Table6[[#This Row],[Pump Capacity]]/Table6[[#This Row],[Operational Capacity (MW) ]]</f>
        <v>1</v>
      </c>
      <c r="F53" t="s">
        <v>82</v>
      </c>
      <c r="G53" t="s">
        <v>89</v>
      </c>
      <c r="J53">
        <v>4.71</v>
      </c>
      <c r="K53" t="s">
        <v>0</v>
      </c>
      <c r="L53" t="s">
        <v>3</v>
      </c>
      <c r="N53" s="1">
        <f>Table6[[#This Row],[Estimated Energy Storage Rating (GWh)]]*1000/Table6[[#This Row],[Operational Capacity (MW) ]]</f>
        <v>18.84</v>
      </c>
      <c r="O53" s="2"/>
      <c r="P53" t="s">
        <v>109</v>
      </c>
    </row>
    <row r="54" spans="1:16" x14ac:dyDescent="0.25">
      <c r="A54" t="s">
        <v>94</v>
      </c>
      <c r="B54" t="s">
        <v>1</v>
      </c>
      <c r="C54">
        <v>1000</v>
      </c>
      <c r="D54">
        <v>1000</v>
      </c>
      <c r="E54">
        <f>Table6[[#This Row],[Pump Capacity]]/Table6[[#This Row],[Operational Capacity (MW) ]]</f>
        <v>1</v>
      </c>
      <c r="F54" t="s">
        <v>82</v>
      </c>
      <c r="G54" t="s">
        <v>89</v>
      </c>
      <c r="I54">
        <v>2025</v>
      </c>
      <c r="J54">
        <v>13.51</v>
      </c>
      <c r="K54" t="s">
        <v>0</v>
      </c>
      <c r="L54" t="s">
        <v>95</v>
      </c>
      <c r="N54" s="1">
        <f>Table6[[#This Row],[Estimated Energy Storage Rating (GWh)]]*1000/Table6[[#This Row],[Operational Capacity (MW) ]]</f>
        <v>13.51</v>
      </c>
      <c r="O54" s="2"/>
      <c r="P54" t="s">
        <v>109</v>
      </c>
    </row>
    <row r="55" spans="1:16" x14ac:dyDescent="0.25">
      <c r="A55" t="s">
        <v>91</v>
      </c>
      <c r="B55" t="s">
        <v>1</v>
      </c>
      <c r="C55">
        <v>393</v>
      </c>
      <c r="D55">
        <v>393</v>
      </c>
      <c r="E55">
        <f>Table6[[#This Row],[Pump Capacity]]/Table6[[#This Row],[Operational Capacity (MW) ]]</f>
        <v>1</v>
      </c>
      <c r="F55" t="s">
        <v>82</v>
      </c>
      <c r="G55" t="s">
        <v>89</v>
      </c>
      <c r="I55">
        <v>2022</v>
      </c>
      <c r="J55">
        <v>4.51</v>
      </c>
      <c r="K55" t="s">
        <v>86</v>
      </c>
      <c r="L55" t="s">
        <v>2</v>
      </c>
      <c r="N55" s="1">
        <f>Table6[[#This Row],[Estimated Energy Storage Rating (GWh)]]*1000/Table6[[#This Row],[Operational Capacity (MW) ]]</f>
        <v>11.475826972010179</v>
      </c>
      <c r="P55" t="s">
        <v>109</v>
      </c>
    </row>
    <row r="56" spans="1:16" x14ac:dyDescent="0.25">
      <c r="A56" t="s">
        <v>96</v>
      </c>
      <c r="B56" t="s">
        <v>1</v>
      </c>
      <c r="C56">
        <v>400</v>
      </c>
      <c r="D56">
        <v>400</v>
      </c>
      <c r="E56">
        <f>Table6[[#This Row],[Pump Capacity]]/Table6[[#This Row],[Operational Capacity (MW) ]]</f>
        <v>1</v>
      </c>
      <c r="F56" t="s">
        <v>82</v>
      </c>
      <c r="G56" t="s">
        <v>89</v>
      </c>
      <c r="I56">
        <v>2025</v>
      </c>
      <c r="J56">
        <v>4.17</v>
      </c>
      <c r="K56" t="s">
        <v>0</v>
      </c>
      <c r="L56" t="s">
        <v>97</v>
      </c>
      <c r="N56" s="1">
        <f>Table6[[#This Row],[Estimated Energy Storage Rating (GWh)]]*1000/Table6[[#This Row],[Operational Capacity (MW) ]]</f>
        <v>10.425000000000001</v>
      </c>
      <c r="P56" t="s">
        <v>109</v>
      </c>
    </row>
    <row r="57" spans="1:16" x14ac:dyDescent="0.25">
      <c r="A57" t="s">
        <v>106</v>
      </c>
      <c r="B57" t="s">
        <v>1</v>
      </c>
      <c r="C57">
        <v>230</v>
      </c>
      <c r="D57">
        <v>230</v>
      </c>
      <c r="E57">
        <f>Table6[[#This Row],[Pump Capacity]]/Table6[[#This Row],[Operational Capacity (MW) ]]</f>
        <v>1</v>
      </c>
      <c r="F57" t="s">
        <v>82</v>
      </c>
      <c r="G57" t="s">
        <v>89</v>
      </c>
      <c r="I57">
        <v>2027</v>
      </c>
      <c r="J57">
        <v>2.2000000000000002</v>
      </c>
      <c r="K57" t="s">
        <v>0</v>
      </c>
      <c r="L57" t="s">
        <v>3</v>
      </c>
      <c r="N57" s="1">
        <f>Table6[[#This Row],[Estimated Energy Storage Rating (GWh)]]*1000/Table6[[#This Row],[Operational Capacity (MW) ]]</f>
        <v>9.5652173913043477</v>
      </c>
      <c r="P57" t="s">
        <v>109</v>
      </c>
    </row>
    <row r="58" spans="1:16" x14ac:dyDescent="0.25">
      <c r="A58" t="s">
        <v>108</v>
      </c>
      <c r="B58" t="s">
        <v>1</v>
      </c>
      <c r="C58">
        <v>240</v>
      </c>
      <c r="D58">
        <v>240</v>
      </c>
      <c r="E58">
        <f>Table6[[#This Row],[Pump Capacity]]/Table6[[#This Row],[Operational Capacity (MW) ]]</f>
        <v>1</v>
      </c>
      <c r="F58" t="s">
        <v>82</v>
      </c>
      <c r="G58" t="s">
        <v>89</v>
      </c>
      <c r="I58">
        <v>2030</v>
      </c>
      <c r="J58">
        <v>1.5</v>
      </c>
      <c r="K58" t="s">
        <v>0</v>
      </c>
      <c r="L58" t="s">
        <v>25</v>
      </c>
      <c r="N58" s="1">
        <f>Table6[[#This Row],[Estimated Energy Storage Rating (GWh)]]*1000/Table6[[#This Row],[Operational Capacity (MW) ]]</f>
        <v>6.25</v>
      </c>
      <c r="P58" t="s">
        <v>109</v>
      </c>
    </row>
  </sheetData>
  <conditionalFormatting sqref="M4:M42">
    <cfRule type="cellIs" dxfId="5" priority="2" operator="greaterThan">
      <formula>12</formula>
    </cfRule>
  </conditionalFormatting>
  <conditionalFormatting sqref="N4:N58">
    <cfRule type="cellIs" dxfId="4" priority="1" operator="greaterThan">
      <formula>12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8F43-C241-4D23-914F-DA0DB2A7B99D}">
  <dimension ref="A1:B40"/>
  <sheetViews>
    <sheetView topLeftCell="A16" workbookViewId="0">
      <selection activeCell="I23" sqref="I23"/>
    </sheetView>
  </sheetViews>
  <sheetFormatPr defaultRowHeight="15" x14ac:dyDescent="0.25"/>
  <cols>
    <col min="1" max="1" width="26.28515625" customWidth="1"/>
  </cols>
  <sheetData>
    <row r="1" spans="1:2" ht="60" x14ac:dyDescent="0.25">
      <c r="A1" s="23" t="s">
        <v>70</v>
      </c>
      <c r="B1" s="23" t="s">
        <v>110</v>
      </c>
    </row>
    <row r="2" spans="1:2" x14ac:dyDescent="0.25">
      <c r="A2">
        <v>94.5</v>
      </c>
      <c r="B2" s="1"/>
    </row>
    <row r="3" spans="1:2" x14ac:dyDescent="0.25">
      <c r="A3">
        <v>560</v>
      </c>
      <c r="B3" s="1">
        <v>5.9464285714285712</v>
      </c>
    </row>
    <row r="4" spans="1:2" x14ac:dyDescent="0.25">
      <c r="A4">
        <v>68</v>
      </c>
      <c r="B4" s="1">
        <v>2.7941176470588234</v>
      </c>
    </row>
    <row r="5" spans="1:2" x14ac:dyDescent="0.25">
      <c r="A5">
        <v>29</v>
      </c>
      <c r="B5" s="1">
        <v>923.79310344827582</v>
      </c>
    </row>
    <row r="6" spans="1:2" x14ac:dyDescent="0.25">
      <c r="A6">
        <v>819</v>
      </c>
      <c r="B6" s="1">
        <v>2269.2075702075704</v>
      </c>
    </row>
    <row r="7" spans="1:2" x14ac:dyDescent="0.25">
      <c r="A7">
        <v>500</v>
      </c>
      <c r="B7" s="1">
        <v>3.78</v>
      </c>
    </row>
    <row r="8" spans="1:2" x14ac:dyDescent="0.25">
      <c r="A8">
        <v>600</v>
      </c>
      <c r="B8" s="1"/>
    </row>
    <row r="9" spans="1:2" x14ac:dyDescent="0.25">
      <c r="A9">
        <v>58</v>
      </c>
      <c r="B9" s="1">
        <v>4.8275862068965516</v>
      </c>
    </row>
    <row r="10" spans="1:2" x14ac:dyDescent="0.25">
      <c r="A10">
        <v>321</v>
      </c>
      <c r="B10" s="1">
        <v>663.55140186915889</v>
      </c>
    </row>
    <row r="11" spans="1:2" x14ac:dyDescent="0.25">
      <c r="A11">
        <v>120</v>
      </c>
      <c r="B11" s="1">
        <v>11.508333333333333</v>
      </c>
    </row>
    <row r="12" spans="1:2" x14ac:dyDescent="0.25">
      <c r="A12">
        <v>130</v>
      </c>
      <c r="B12" s="1">
        <v>181.53846153846155</v>
      </c>
    </row>
    <row r="13" spans="1:2" x14ac:dyDescent="0.25">
      <c r="A13">
        <v>1095</v>
      </c>
      <c r="B13" s="1">
        <v>5.5525114155251138</v>
      </c>
    </row>
    <row r="14" spans="1:2" x14ac:dyDescent="0.25">
      <c r="A14">
        <v>60</v>
      </c>
      <c r="B14" s="1">
        <v>46</v>
      </c>
    </row>
    <row r="15" spans="1:2" x14ac:dyDescent="0.25">
      <c r="A15">
        <v>504</v>
      </c>
      <c r="B15" s="1">
        <v>1011.3293650793651</v>
      </c>
    </row>
    <row r="16" spans="1:2" x14ac:dyDescent="0.25">
      <c r="A16">
        <v>453</v>
      </c>
      <c r="B16" s="1">
        <v>6.1810154525386309</v>
      </c>
    </row>
    <row r="17" spans="1:2" x14ac:dyDescent="0.25">
      <c r="A17">
        <v>469</v>
      </c>
      <c r="B17" s="1">
        <v>8.3582089552238799</v>
      </c>
    </row>
    <row r="18" spans="1:2" x14ac:dyDescent="0.25">
      <c r="A18">
        <v>3003</v>
      </c>
      <c r="B18" s="1">
        <v>7.8921078921078918</v>
      </c>
    </row>
    <row r="19" spans="1:2" x14ac:dyDescent="0.25">
      <c r="A19">
        <v>1124</v>
      </c>
      <c r="B19" s="1">
        <v>9.3416370106761573</v>
      </c>
    </row>
    <row r="20" spans="1:2" x14ac:dyDescent="0.25">
      <c r="A20">
        <v>1556</v>
      </c>
      <c r="B20" s="1"/>
    </row>
    <row r="21" spans="1:2" x14ac:dyDescent="0.25">
      <c r="A21">
        <v>450</v>
      </c>
      <c r="B21" s="1">
        <v>6.1111111111111107</v>
      </c>
    </row>
    <row r="22" spans="1:2" x14ac:dyDescent="0.25">
      <c r="A22">
        <v>1065.2</v>
      </c>
      <c r="B22" s="1">
        <v>22.530980097634245</v>
      </c>
    </row>
    <row r="23" spans="1:2" x14ac:dyDescent="0.25">
      <c r="A23">
        <v>324</v>
      </c>
      <c r="B23" s="1">
        <v>4.4753086419753085</v>
      </c>
    </row>
    <row r="24" spans="1:2" x14ac:dyDescent="0.25">
      <c r="A24">
        <v>600</v>
      </c>
      <c r="B24" s="1">
        <v>6.15</v>
      </c>
    </row>
    <row r="25" spans="1:2" x14ac:dyDescent="0.25">
      <c r="A25">
        <v>1160</v>
      </c>
      <c r="B25" s="1">
        <v>10.344827586206897</v>
      </c>
    </row>
    <row r="26" spans="1:2" x14ac:dyDescent="0.25">
      <c r="A26">
        <v>576</v>
      </c>
      <c r="B26" s="1">
        <v>7.1180555555555554</v>
      </c>
    </row>
    <row r="27" spans="1:2" x14ac:dyDescent="0.25">
      <c r="A27">
        <v>1872</v>
      </c>
      <c r="B27" s="1">
        <v>9.1880341880341874</v>
      </c>
    </row>
    <row r="28" spans="1:2" x14ac:dyDescent="0.25">
      <c r="A28">
        <v>1072</v>
      </c>
      <c r="B28" s="1">
        <v>10.354477611940299</v>
      </c>
    </row>
    <row r="29" spans="1:2" x14ac:dyDescent="0.25">
      <c r="A29">
        <v>260</v>
      </c>
      <c r="B29" s="1">
        <v>10.192307692307692</v>
      </c>
    </row>
    <row r="30" spans="1:2" x14ac:dyDescent="0.25">
      <c r="A30">
        <v>45</v>
      </c>
      <c r="B30" s="1">
        <v>6.5333333333333332</v>
      </c>
    </row>
    <row r="31" spans="1:2" x14ac:dyDescent="0.25">
      <c r="A31">
        <v>240</v>
      </c>
      <c r="B31" s="1">
        <v>20</v>
      </c>
    </row>
    <row r="32" spans="1:2" x14ac:dyDescent="0.25">
      <c r="A32">
        <v>200</v>
      </c>
      <c r="B32" s="1">
        <v>12.05</v>
      </c>
    </row>
    <row r="33" spans="1:2" x14ac:dyDescent="0.25">
      <c r="A33">
        <v>1652</v>
      </c>
      <c r="B33" s="1">
        <v>19.449152542372882</v>
      </c>
    </row>
    <row r="34" spans="1:2" x14ac:dyDescent="0.25">
      <c r="A34">
        <v>1212</v>
      </c>
      <c r="B34" s="1">
        <v>151.8151815181518</v>
      </c>
    </row>
    <row r="35" spans="1:2" x14ac:dyDescent="0.25">
      <c r="A35">
        <v>710</v>
      </c>
      <c r="B35" s="1">
        <v>81.042253521126767</v>
      </c>
    </row>
    <row r="36" spans="1:2" x14ac:dyDescent="0.25">
      <c r="A36">
        <v>314</v>
      </c>
      <c r="B36" s="1">
        <v>35.414012738853501</v>
      </c>
    </row>
    <row r="37" spans="1:2" x14ac:dyDescent="0.25">
      <c r="A37">
        <v>40</v>
      </c>
      <c r="B37" s="1">
        <v>394.8</v>
      </c>
    </row>
    <row r="38" spans="1:2" x14ac:dyDescent="0.25">
      <c r="A38">
        <v>185</v>
      </c>
      <c r="B38" s="1">
        <v>1563.2432432432433</v>
      </c>
    </row>
    <row r="39" spans="1:2" x14ac:dyDescent="0.25">
      <c r="A39">
        <v>199.8</v>
      </c>
      <c r="B39" s="1">
        <v>8.0080080080080069</v>
      </c>
    </row>
    <row r="40" spans="1:2" x14ac:dyDescent="0.25">
      <c r="A40">
        <v>25.2</v>
      </c>
      <c r="B40" s="1"/>
    </row>
  </sheetData>
  <conditionalFormatting sqref="B2:B40">
    <cfRule type="cellIs" dxfId="3" priority="1" operator="greaterThan">
      <formula>12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3376-254E-44ED-9A26-33DBE577CE04}">
  <dimension ref="A1:J40"/>
  <sheetViews>
    <sheetView topLeftCell="A4" workbookViewId="0">
      <selection activeCell="B13" sqref="B13"/>
    </sheetView>
  </sheetViews>
  <sheetFormatPr defaultRowHeight="15" x14ac:dyDescent="0.25"/>
  <cols>
    <col min="1" max="1" width="28.140625" bestFit="1" customWidth="1"/>
  </cols>
  <sheetData>
    <row r="1" spans="1:10" s="22" customFormat="1" ht="75" x14ac:dyDescent="0.25">
      <c r="A1" s="23" t="s">
        <v>153</v>
      </c>
      <c r="B1" s="23" t="s">
        <v>118</v>
      </c>
      <c r="C1" s="23" t="s">
        <v>155</v>
      </c>
      <c r="D1" s="23" t="s">
        <v>79</v>
      </c>
      <c r="E1" s="23" t="s">
        <v>156</v>
      </c>
      <c r="F1" s="23" t="s">
        <v>78</v>
      </c>
      <c r="G1" s="23" t="s">
        <v>154</v>
      </c>
    </row>
    <row r="2" spans="1:10" x14ac:dyDescent="0.25">
      <c r="A2" t="s">
        <v>29</v>
      </c>
      <c r="B2" t="s">
        <v>12</v>
      </c>
      <c r="C2">
        <v>94.5</v>
      </c>
      <c r="D2">
        <v>9</v>
      </c>
      <c r="E2" s="15">
        <v>9.5238095238095233E-2</v>
      </c>
      <c r="F2" t="s">
        <v>157</v>
      </c>
      <c r="G2" s="1" t="s">
        <v>157</v>
      </c>
      <c r="J2" s="7" t="s">
        <v>6</v>
      </c>
    </row>
    <row r="3" spans="1:10" x14ac:dyDescent="0.25">
      <c r="A3" t="s">
        <v>42</v>
      </c>
      <c r="B3" t="s">
        <v>43</v>
      </c>
      <c r="C3">
        <v>560</v>
      </c>
      <c r="D3">
        <v>100</v>
      </c>
      <c r="E3" s="15">
        <v>0.17857142857142858</v>
      </c>
      <c r="F3">
        <v>3.33</v>
      </c>
      <c r="G3" s="1">
        <v>5.9464285714285712</v>
      </c>
      <c r="J3" s="9" t="s">
        <v>6</v>
      </c>
    </row>
    <row r="4" spans="1:10" x14ac:dyDescent="0.25">
      <c r="A4" t="s">
        <v>34</v>
      </c>
      <c r="B4" t="s">
        <v>35</v>
      </c>
      <c r="C4">
        <v>68</v>
      </c>
      <c r="D4">
        <v>28</v>
      </c>
      <c r="E4" s="15">
        <v>0.41176470588235292</v>
      </c>
      <c r="F4">
        <v>0.19</v>
      </c>
      <c r="G4" s="1">
        <v>2.7941176470588234</v>
      </c>
      <c r="J4" s="7" t="s">
        <v>6</v>
      </c>
    </row>
    <row r="5" spans="1:10" x14ac:dyDescent="0.25">
      <c r="A5" t="s">
        <v>56</v>
      </c>
      <c r="B5" t="s">
        <v>57</v>
      </c>
      <c r="C5">
        <v>29</v>
      </c>
      <c r="D5">
        <v>12</v>
      </c>
      <c r="E5" s="15">
        <v>0.41379310344827586</v>
      </c>
      <c r="F5">
        <v>26.79</v>
      </c>
      <c r="G5" s="1">
        <v>923.79310344827582</v>
      </c>
      <c r="J5" s="9" t="s">
        <v>6</v>
      </c>
    </row>
    <row r="6" spans="1:10" x14ac:dyDescent="0.25">
      <c r="A6" t="s">
        <v>67</v>
      </c>
      <c r="B6" t="s">
        <v>2</v>
      </c>
      <c r="C6">
        <v>819</v>
      </c>
      <c r="D6">
        <v>390</v>
      </c>
      <c r="E6" s="15">
        <v>0.47619047619047616</v>
      </c>
      <c r="F6">
        <v>1858.481</v>
      </c>
      <c r="G6" s="1">
        <v>2269.2075702075704</v>
      </c>
      <c r="J6" s="7" t="s">
        <v>6</v>
      </c>
    </row>
    <row r="7" spans="1:10" x14ac:dyDescent="0.25">
      <c r="A7" t="s">
        <v>14</v>
      </c>
      <c r="B7" t="s">
        <v>15</v>
      </c>
      <c r="C7">
        <v>500</v>
      </c>
      <c r="D7">
        <v>250</v>
      </c>
      <c r="E7" s="15">
        <v>0.5</v>
      </c>
      <c r="F7">
        <v>1.89</v>
      </c>
      <c r="G7" s="1">
        <v>3.78</v>
      </c>
      <c r="J7" s="9" t="s">
        <v>6</v>
      </c>
    </row>
    <row r="8" spans="1:10" x14ac:dyDescent="0.25">
      <c r="A8" t="s">
        <v>31</v>
      </c>
      <c r="B8" t="s">
        <v>15</v>
      </c>
      <c r="C8">
        <v>600</v>
      </c>
      <c r="D8">
        <v>300</v>
      </c>
      <c r="E8" s="15">
        <v>0.5</v>
      </c>
      <c r="F8" t="s">
        <v>157</v>
      </c>
      <c r="G8" s="1" t="s">
        <v>157</v>
      </c>
      <c r="J8" s="7" t="s">
        <v>6</v>
      </c>
    </row>
    <row r="9" spans="1:10" x14ac:dyDescent="0.25">
      <c r="A9" t="s">
        <v>37</v>
      </c>
      <c r="B9" t="s">
        <v>21</v>
      </c>
      <c r="C9">
        <v>58</v>
      </c>
      <c r="D9">
        <v>31</v>
      </c>
      <c r="E9" s="15">
        <v>0.53448275862068961</v>
      </c>
      <c r="F9">
        <v>0.28000000000000003</v>
      </c>
      <c r="G9" s="1">
        <v>4.8275862068965516</v>
      </c>
      <c r="J9" s="9" t="s">
        <v>6</v>
      </c>
    </row>
    <row r="10" spans="1:10" x14ac:dyDescent="0.25">
      <c r="A10" t="s">
        <v>63</v>
      </c>
      <c r="B10" t="s">
        <v>15</v>
      </c>
      <c r="C10">
        <v>321</v>
      </c>
      <c r="D10">
        <v>210</v>
      </c>
      <c r="E10" s="15">
        <v>0.65420560747663548</v>
      </c>
      <c r="F10">
        <v>213</v>
      </c>
      <c r="G10" s="1">
        <v>663.55140186915889</v>
      </c>
      <c r="J10" s="7" t="s">
        <v>6</v>
      </c>
    </row>
    <row r="11" spans="1:10" x14ac:dyDescent="0.25">
      <c r="A11" t="s">
        <v>10</v>
      </c>
      <c r="B11" t="s">
        <v>2</v>
      </c>
      <c r="C11">
        <v>120</v>
      </c>
      <c r="D11">
        <v>84</v>
      </c>
      <c r="E11" s="15">
        <v>0.7</v>
      </c>
      <c r="F11">
        <v>1.381</v>
      </c>
      <c r="G11" s="1">
        <v>11.508333333333333</v>
      </c>
      <c r="J11" s="9" t="s">
        <v>6</v>
      </c>
    </row>
    <row r="12" spans="1:10" x14ac:dyDescent="0.25">
      <c r="A12" t="s">
        <v>53</v>
      </c>
      <c r="B12" t="s">
        <v>7</v>
      </c>
      <c r="C12">
        <v>130</v>
      </c>
      <c r="D12">
        <v>97</v>
      </c>
      <c r="E12" s="15">
        <v>0.74615384615384617</v>
      </c>
      <c r="F12">
        <v>23.6</v>
      </c>
      <c r="G12" s="1">
        <v>181.53846153846155</v>
      </c>
      <c r="J12" s="7" t="s">
        <v>6</v>
      </c>
    </row>
    <row r="13" spans="1:10" x14ac:dyDescent="0.25">
      <c r="A13" t="s">
        <v>16</v>
      </c>
      <c r="B13" t="s">
        <v>17</v>
      </c>
      <c r="C13">
        <v>1095</v>
      </c>
      <c r="D13">
        <v>903</v>
      </c>
      <c r="E13" s="15">
        <v>0.8246575342465754</v>
      </c>
      <c r="F13">
        <v>6.08</v>
      </c>
      <c r="G13" s="1">
        <v>5.5525114155251138</v>
      </c>
      <c r="J13" s="9" t="s">
        <v>6</v>
      </c>
    </row>
    <row r="14" spans="1:10" x14ac:dyDescent="0.25">
      <c r="A14" t="s">
        <v>41</v>
      </c>
      <c r="B14" t="s">
        <v>7</v>
      </c>
      <c r="C14">
        <v>60</v>
      </c>
      <c r="D14">
        <v>50</v>
      </c>
      <c r="E14" s="15">
        <v>0.83333333333333337</v>
      </c>
      <c r="F14">
        <v>2.76</v>
      </c>
      <c r="G14" s="1">
        <v>46</v>
      </c>
      <c r="J14" s="7" t="s">
        <v>6</v>
      </c>
    </row>
    <row r="15" spans="1:10" x14ac:dyDescent="0.25">
      <c r="A15" t="s">
        <v>66</v>
      </c>
      <c r="B15" t="s">
        <v>2</v>
      </c>
      <c r="C15">
        <v>504</v>
      </c>
      <c r="D15">
        <v>424</v>
      </c>
      <c r="E15" s="15">
        <v>0.84126984126984128</v>
      </c>
      <c r="F15">
        <v>509.71</v>
      </c>
      <c r="G15" s="1">
        <v>1011.3293650793651</v>
      </c>
      <c r="J15" s="9" t="s">
        <v>6</v>
      </c>
    </row>
    <row r="16" spans="1:10" x14ac:dyDescent="0.25">
      <c r="A16" t="s">
        <v>22</v>
      </c>
      <c r="B16" t="s">
        <v>23</v>
      </c>
      <c r="C16">
        <v>453</v>
      </c>
      <c r="D16">
        <v>420</v>
      </c>
      <c r="E16" s="15">
        <v>0.92715231788079466</v>
      </c>
      <c r="F16">
        <v>2.8</v>
      </c>
      <c r="G16" s="1">
        <v>6.1810154525386309</v>
      </c>
      <c r="J16" s="7" t="s">
        <v>6</v>
      </c>
    </row>
    <row r="17" spans="1:10" x14ac:dyDescent="0.25">
      <c r="A17" t="s">
        <v>46</v>
      </c>
      <c r="B17" t="s">
        <v>3</v>
      </c>
      <c r="C17">
        <v>469</v>
      </c>
      <c r="D17">
        <v>440</v>
      </c>
      <c r="E17" s="15">
        <v>0.93816631130063965</v>
      </c>
      <c r="F17">
        <v>3.92</v>
      </c>
      <c r="G17" s="1">
        <v>8.3582089552238799</v>
      </c>
      <c r="J17" s="9" t="s">
        <v>6</v>
      </c>
    </row>
    <row r="18" spans="1:10" x14ac:dyDescent="0.25">
      <c r="A18" t="s">
        <v>54</v>
      </c>
      <c r="B18" t="s">
        <v>43</v>
      </c>
      <c r="C18">
        <v>3003</v>
      </c>
      <c r="D18">
        <v>2880</v>
      </c>
      <c r="E18" s="15">
        <v>0.9590409590409591</v>
      </c>
      <c r="F18">
        <v>23.7</v>
      </c>
      <c r="G18" s="1">
        <v>7.8921078921078918</v>
      </c>
      <c r="J18" s="7" t="s">
        <v>6</v>
      </c>
    </row>
    <row r="19" spans="1:10" x14ac:dyDescent="0.25">
      <c r="A19" t="s">
        <v>18</v>
      </c>
      <c r="B19" t="s">
        <v>19</v>
      </c>
      <c r="C19">
        <v>1124</v>
      </c>
      <c r="D19">
        <v>1080</v>
      </c>
      <c r="E19" s="15">
        <v>0.96085409252669041</v>
      </c>
      <c r="F19">
        <v>10.5</v>
      </c>
      <c r="G19" s="1">
        <v>9.3416370106761573</v>
      </c>
      <c r="J19" s="9" t="s">
        <v>6</v>
      </c>
    </row>
    <row r="20" spans="1:10" x14ac:dyDescent="0.25">
      <c r="A20" t="s">
        <v>8</v>
      </c>
      <c r="B20" t="s">
        <v>2</v>
      </c>
      <c r="C20">
        <v>1556</v>
      </c>
      <c r="D20">
        <v>1500</v>
      </c>
      <c r="E20" s="15">
        <v>0.96401028277634959</v>
      </c>
      <c r="F20" t="s">
        <v>157</v>
      </c>
      <c r="G20" s="1" t="s">
        <v>157</v>
      </c>
      <c r="J20" s="7" t="s">
        <v>6</v>
      </c>
    </row>
    <row r="21" spans="1:10" x14ac:dyDescent="0.25">
      <c r="A21" t="s">
        <v>20</v>
      </c>
      <c r="B21" t="s">
        <v>21</v>
      </c>
      <c r="C21">
        <v>450</v>
      </c>
      <c r="D21">
        <v>440</v>
      </c>
      <c r="E21" s="15">
        <v>0.97777777777777775</v>
      </c>
      <c r="F21">
        <v>2.75</v>
      </c>
      <c r="G21" s="1">
        <v>6.1111111111111107</v>
      </c>
      <c r="J21" s="9" t="s">
        <v>6</v>
      </c>
    </row>
    <row r="22" spans="1:10" x14ac:dyDescent="0.25">
      <c r="J22" s="7" t="s">
        <v>6</v>
      </c>
    </row>
    <row r="23" spans="1:10" x14ac:dyDescent="0.25">
      <c r="J23" s="9" t="s">
        <v>6</v>
      </c>
    </row>
    <row r="24" spans="1:10" x14ac:dyDescent="0.25">
      <c r="J24" s="7" t="s">
        <v>6</v>
      </c>
    </row>
    <row r="25" spans="1:10" x14ac:dyDescent="0.25">
      <c r="J25" s="9" t="s">
        <v>6</v>
      </c>
    </row>
    <row r="26" spans="1:10" x14ac:dyDescent="0.25">
      <c r="J26" s="7" t="s">
        <v>6</v>
      </c>
    </row>
    <row r="27" spans="1:10" x14ac:dyDescent="0.25">
      <c r="J27" s="9" t="s">
        <v>6</v>
      </c>
    </row>
    <row r="28" spans="1:10" x14ac:dyDescent="0.25">
      <c r="J28" s="7" t="s">
        <v>6</v>
      </c>
    </row>
    <row r="29" spans="1:10" x14ac:dyDescent="0.25">
      <c r="J29" s="9" t="s">
        <v>6</v>
      </c>
    </row>
    <row r="30" spans="1:10" x14ac:dyDescent="0.25">
      <c r="J30" s="7" t="s">
        <v>6</v>
      </c>
    </row>
    <row r="31" spans="1:10" x14ac:dyDescent="0.25">
      <c r="J31" s="9" t="s">
        <v>6</v>
      </c>
    </row>
    <row r="32" spans="1:10" x14ac:dyDescent="0.25">
      <c r="J32" s="7" t="s">
        <v>6</v>
      </c>
    </row>
    <row r="33" spans="10:10" x14ac:dyDescent="0.25">
      <c r="J33" s="9" t="s">
        <v>6</v>
      </c>
    </row>
    <row r="34" spans="10:10" x14ac:dyDescent="0.25">
      <c r="J34" s="7" t="s">
        <v>6</v>
      </c>
    </row>
    <row r="35" spans="10:10" x14ac:dyDescent="0.25">
      <c r="J35" s="9" t="s">
        <v>6</v>
      </c>
    </row>
    <row r="36" spans="10:10" x14ac:dyDescent="0.25">
      <c r="J36" s="7" t="s">
        <v>6</v>
      </c>
    </row>
    <row r="37" spans="10:10" x14ac:dyDescent="0.25">
      <c r="J37" s="9" t="s">
        <v>6</v>
      </c>
    </row>
    <row r="38" spans="10:10" x14ac:dyDescent="0.25">
      <c r="J38" s="7" t="s">
        <v>6</v>
      </c>
    </row>
    <row r="39" spans="10:10" x14ac:dyDescent="0.25">
      <c r="J39" s="9" t="s">
        <v>6</v>
      </c>
    </row>
    <row r="40" spans="10:10" x14ac:dyDescent="0.25">
      <c r="J40" s="7" t="s">
        <v>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4192-8275-4CBD-8066-F15F8B25D04A}">
  <dimension ref="A1:AP40"/>
  <sheetViews>
    <sheetView zoomScale="85" zoomScaleNormal="85" workbookViewId="0">
      <selection activeCell="I7" sqref="I7"/>
    </sheetView>
  </sheetViews>
  <sheetFormatPr defaultRowHeight="15" x14ac:dyDescent="0.25"/>
  <cols>
    <col min="2" max="2" width="32.5703125" bestFit="1" customWidth="1"/>
    <col min="3" max="3" width="26.140625" bestFit="1" customWidth="1"/>
    <col min="4" max="4" width="14.140625" bestFit="1" customWidth="1"/>
    <col min="5" max="5" width="26.5703125" bestFit="1" customWidth="1"/>
    <col min="6" max="6" width="26.5703125" customWidth="1"/>
    <col min="7" max="7" width="25.28515625" bestFit="1" customWidth="1"/>
    <col min="9" max="9" width="17.140625" bestFit="1" customWidth="1"/>
    <col min="10" max="10" width="18.85546875" bestFit="1" customWidth="1"/>
    <col min="11" max="11" width="25.7109375" bestFit="1" customWidth="1"/>
    <col min="12" max="12" width="20.42578125" bestFit="1" customWidth="1"/>
    <col min="13" max="13" width="20.42578125" customWidth="1"/>
    <col min="20" max="20" width="32.85546875" bestFit="1" customWidth="1"/>
    <col min="21" max="21" width="12.28515625" bestFit="1" customWidth="1"/>
    <col min="22" max="24" width="6.140625" bestFit="1" customWidth="1"/>
    <col min="25" max="25" width="5.140625" bestFit="1" customWidth="1"/>
    <col min="26" max="30" width="6.140625" bestFit="1" customWidth="1"/>
    <col min="31" max="32" width="5.140625" bestFit="1" customWidth="1"/>
    <col min="33" max="33" width="4.85546875" customWidth="1"/>
    <col min="34" max="34" width="5.140625" bestFit="1" customWidth="1"/>
    <col min="35" max="35" width="4.7109375" customWidth="1"/>
    <col min="36" max="36" width="10.28515625" bestFit="1" customWidth="1"/>
    <col min="37" max="37" width="6.140625" bestFit="1" customWidth="1"/>
    <col min="38" max="38" width="7.140625" bestFit="1" customWidth="1"/>
    <col min="39" max="39" width="6.140625" bestFit="1" customWidth="1"/>
    <col min="40" max="40" width="5.140625" bestFit="1" customWidth="1"/>
    <col min="41" max="41" width="7.140625" bestFit="1" customWidth="1"/>
    <col min="42" max="42" width="6.140625" bestFit="1" customWidth="1"/>
    <col min="43" max="43" width="20.85546875" bestFit="1" customWidth="1"/>
    <col min="44" max="44" width="32.85546875" bestFit="1" customWidth="1"/>
    <col min="45" max="45" width="20.85546875" bestFit="1" customWidth="1"/>
    <col min="46" max="46" width="32.85546875" bestFit="1" customWidth="1"/>
    <col min="47" max="47" width="20.85546875" bestFit="1" customWidth="1"/>
    <col min="48" max="48" width="32.85546875" bestFit="1" customWidth="1"/>
    <col min="49" max="49" width="20.85546875" bestFit="1" customWidth="1"/>
    <col min="50" max="50" width="32.85546875" bestFit="1" customWidth="1"/>
    <col min="51" max="51" width="20.85546875" bestFit="1" customWidth="1"/>
    <col min="52" max="52" width="32.85546875" bestFit="1" customWidth="1"/>
    <col min="53" max="53" width="20.85546875" bestFit="1" customWidth="1"/>
    <col min="54" max="54" width="32.85546875" bestFit="1" customWidth="1"/>
    <col min="55" max="55" width="20.85546875" bestFit="1" customWidth="1"/>
    <col min="56" max="56" width="32.85546875" bestFit="1" customWidth="1"/>
    <col min="57" max="57" width="20.85546875" bestFit="1" customWidth="1"/>
    <col min="58" max="58" width="32.85546875" bestFit="1" customWidth="1"/>
    <col min="59" max="59" width="20.85546875" bestFit="1" customWidth="1"/>
    <col min="60" max="60" width="32.85546875" bestFit="1" customWidth="1"/>
    <col min="61" max="61" width="20.85546875" bestFit="1" customWidth="1"/>
    <col min="62" max="62" width="32.85546875" bestFit="1" customWidth="1"/>
    <col min="63" max="63" width="20.85546875" bestFit="1" customWidth="1"/>
    <col min="64" max="64" width="38" bestFit="1" customWidth="1"/>
    <col min="65" max="65" width="26" bestFit="1" customWidth="1"/>
  </cols>
  <sheetData>
    <row r="1" spans="1:42" x14ac:dyDescent="0.25">
      <c r="A1" t="s">
        <v>113</v>
      </c>
      <c r="B1" s="4" t="s">
        <v>68</v>
      </c>
      <c r="C1" s="5" t="s">
        <v>70</v>
      </c>
      <c r="D1" s="5" t="s">
        <v>79</v>
      </c>
      <c r="E1" s="5" t="s">
        <v>150</v>
      </c>
      <c r="F1" s="12" t="s">
        <v>147</v>
      </c>
      <c r="G1" s="12" t="s">
        <v>112</v>
      </c>
      <c r="H1" s="12" t="s">
        <v>121</v>
      </c>
      <c r="I1" s="12" t="s">
        <v>114</v>
      </c>
      <c r="J1" s="12" t="s">
        <v>115</v>
      </c>
      <c r="K1" s="12" t="s">
        <v>116</v>
      </c>
      <c r="L1" s="12" t="s">
        <v>117</v>
      </c>
      <c r="M1" s="12"/>
      <c r="N1" s="12" t="s">
        <v>118</v>
      </c>
      <c r="O1" s="12" t="s">
        <v>119</v>
      </c>
      <c r="P1" s="12" t="s">
        <v>120</v>
      </c>
    </row>
    <row r="2" spans="1:42" x14ac:dyDescent="0.25">
      <c r="A2">
        <v>1</v>
      </c>
      <c r="B2" s="6" t="s">
        <v>67</v>
      </c>
      <c r="C2" s="7">
        <v>819</v>
      </c>
      <c r="D2" s="7">
        <v>390</v>
      </c>
      <c r="E2" s="10">
        <v>2269.2075702075704</v>
      </c>
      <c r="F2" s="1">
        <f t="shared" ref="F2:F40" si="0">E2*C2</f>
        <v>1858481.0000000002</v>
      </c>
      <c r="G2">
        <f>SUM(C$2:C2)</f>
        <v>819</v>
      </c>
      <c r="H2" s="13">
        <f t="shared" ref="H2:H40" si="1">G2/G$40</f>
        <v>3.4461429707519663E-2</v>
      </c>
      <c r="I2" s="14">
        <f t="shared" ref="I2:I40" si="2">E2/24</f>
        <v>94.550315425315432</v>
      </c>
      <c r="J2" s="17">
        <f t="shared" ref="J2:J40" si="3">I2/7</f>
        <v>13.507187917902204</v>
      </c>
      <c r="K2" s="15">
        <f t="shared" ref="K2:K40" si="4">J2/(52/4)</f>
        <v>1.0390144552232465</v>
      </c>
      <c r="L2" s="20">
        <f t="shared" ref="L2:L40" si="5">1-K2</f>
        <v>-3.9014455223246536E-2</v>
      </c>
      <c r="M2" s="20">
        <f>1-E2/(24*7*(52/4))</f>
        <v>-3.9014455223246536E-2</v>
      </c>
      <c r="N2" s="7" t="s">
        <v>2</v>
      </c>
      <c r="O2">
        <f>ROUND(D2/C2,2)</f>
        <v>0.48</v>
      </c>
      <c r="P2" t="s">
        <v>131</v>
      </c>
    </row>
    <row r="3" spans="1:42" x14ac:dyDescent="0.25">
      <c r="A3">
        <f>A2+1</f>
        <v>2</v>
      </c>
      <c r="B3" s="8" t="s">
        <v>64</v>
      </c>
      <c r="C3" s="9">
        <v>185</v>
      </c>
      <c r="D3" s="9">
        <v>185</v>
      </c>
      <c r="E3" s="11">
        <v>1563.2432432432433</v>
      </c>
      <c r="F3" s="1">
        <f t="shared" si="0"/>
        <v>289200</v>
      </c>
      <c r="G3">
        <f>SUM(C$2:C3)</f>
        <v>1004</v>
      </c>
      <c r="H3" s="13">
        <f t="shared" si="1"/>
        <v>4.2245757541330572E-2</v>
      </c>
      <c r="I3" s="14">
        <f t="shared" si="2"/>
        <v>65.135135135135144</v>
      </c>
      <c r="J3" s="17">
        <f t="shared" si="3"/>
        <v>9.3050193050193055</v>
      </c>
      <c r="K3" s="15">
        <f t="shared" si="4"/>
        <v>0.71577071577071583</v>
      </c>
      <c r="L3" s="21">
        <f t="shared" si="5"/>
        <v>0.28422928422928417</v>
      </c>
      <c r="M3" s="20">
        <f t="shared" ref="M3:M40" si="6">1-E3/(24*7*(52/4))</f>
        <v>0.28422928422928417</v>
      </c>
      <c r="N3" s="9" t="s">
        <v>65</v>
      </c>
      <c r="O3" t="s">
        <v>151</v>
      </c>
      <c r="P3" t="s">
        <v>133</v>
      </c>
      <c r="U3" s="18" t="s">
        <v>120</v>
      </c>
    </row>
    <row r="4" spans="1:42" x14ac:dyDescent="0.25">
      <c r="A4">
        <f t="shared" ref="A4:A40" si="7">A3+1</f>
        <v>3</v>
      </c>
      <c r="B4" s="6" t="s">
        <v>66</v>
      </c>
      <c r="C4" s="7">
        <v>504</v>
      </c>
      <c r="D4" s="7">
        <v>424</v>
      </c>
      <c r="E4" s="10">
        <v>1011.3293650793651</v>
      </c>
      <c r="F4" s="1">
        <f t="shared" si="0"/>
        <v>509710</v>
      </c>
      <c r="G4">
        <f>SUM(C$2:C4)</f>
        <v>1508</v>
      </c>
      <c r="H4" s="13">
        <f t="shared" si="1"/>
        <v>6.3452791207496514E-2</v>
      </c>
      <c r="I4" s="14">
        <f t="shared" si="2"/>
        <v>42.138723544973544</v>
      </c>
      <c r="J4" s="17">
        <f t="shared" si="3"/>
        <v>6.0198176492819346</v>
      </c>
      <c r="K4" s="15">
        <f t="shared" si="4"/>
        <v>0.46306289609861034</v>
      </c>
      <c r="L4" s="21">
        <f t="shared" si="5"/>
        <v>0.53693710390138971</v>
      </c>
      <c r="M4" s="20">
        <f t="shared" si="6"/>
        <v>0.5369371039013896</v>
      </c>
      <c r="N4" s="7" t="s">
        <v>2</v>
      </c>
      <c r="O4">
        <f t="shared" ref="O4:O40" si="8">ROUND(D4/C4,2)</f>
        <v>0.84</v>
      </c>
      <c r="P4" t="s">
        <v>131</v>
      </c>
      <c r="U4" t="s">
        <v>128</v>
      </c>
      <c r="V4" t="s">
        <v>136</v>
      </c>
      <c r="W4" t="s">
        <v>143</v>
      </c>
      <c r="X4" t="s">
        <v>137</v>
      </c>
      <c r="Y4" t="s">
        <v>142</v>
      </c>
      <c r="Z4" t="s">
        <v>125</v>
      </c>
      <c r="AA4" t="s">
        <v>124</v>
      </c>
      <c r="AB4" t="s">
        <v>139</v>
      </c>
      <c r="AC4" t="s">
        <v>134</v>
      </c>
      <c r="AD4" t="s">
        <v>135</v>
      </c>
      <c r="AE4" t="s">
        <v>126</v>
      </c>
      <c r="AF4" t="s">
        <v>140</v>
      </c>
      <c r="AG4" t="s">
        <v>129</v>
      </c>
      <c r="AH4" t="s">
        <v>141</v>
      </c>
      <c r="AI4" t="s">
        <v>130</v>
      </c>
      <c r="AJ4" t="s">
        <v>131</v>
      </c>
      <c r="AK4" t="s">
        <v>138</v>
      </c>
      <c r="AL4" t="s">
        <v>127</v>
      </c>
      <c r="AM4" t="s">
        <v>122</v>
      </c>
      <c r="AN4" t="s">
        <v>132</v>
      </c>
      <c r="AO4" t="s">
        <v>133</v>
      </c>
      <c r="AP4" t="s">
        <v>123</v>
      </c>
    </row>
    <row r="5" spans="1:42" x14ac:dyDescent="0.25">
      <c r="A5">
        <f t="shared" si="7"/>
        <v>4</v>
      </c>
      <c r="B5" s="8" t="s">
        <v>56</v>
      </c>
      <c r="C5" s="9">
        <v>29</v>
      </c>
      <c r="D5" s="9">
        <v>12</v>
      </c>
      <c r="E5" s="11">
        <v>923.79310344827582</v>
      </c>
      <c r="F5" s="1">
        <f t="shared" si="0"/>
        <v>26790</v>
      </c>
      <c r="G5">
        <f>SUM(C$2:C5)</f>
        <v>1537</v>
      </c>
      <c r="H5" s="13">
        <f t="shared" si="1"/>
        <v>6.4673037192256061E-2</v>
      </c>
      <c r="I5" s="14">
        <f t="shared" si="2"/>
        <v>38.491379310344826</v>
      </c>
      <c r="J5" s="17">
        <f t="shared" si="3"/>
        <v>5.4987684729064039</v>
      </c>
      <c r="K5" s="15">
        <f t="shared" si="4"/>
        <v>0.42298219022356953</v>
      </c>
      <c r="L5" s="21">
        <f t="shared" si="5"/>
        <v>0.57701780977643047</v>
      </c>
      <c r="M5" s="20">
        <f t="shared" si="6"/>
        <v>0.57701780977643047</v>
      </c>
      <c r="N5" s="9" t="s">
        <v>57</v>
      </c>
      <c r="O5">
        <f t="shared" si="8"/>
        <v>0.41</v>
      </c>
      <c r="P5" t="s">
        <v>139</v>
      </c>
      <c r="T5" t="s">
        <v>148</v>
      </c>
      <c r="U5">
        <v>18672</v>
      </c>
      <c r="V5">
        <v>17200</v>
      </c>
      <c r="W5">
        <v>15792</v>
      </c>
      <c r="X5">
        <v>15020</v>
      </c>
      <c r="Y5">
        <v>2800</v>
      </c>
      <c r="Z5">
        <v>16800</v>
      </c>
      <c r="AA5">
        <v>14190</v>
      </c>
      <c r="AB5">
        <v>26790</v>
      </c>
      <c r="AC5">
        <v>26654</v>
      </c>
      <c r="AD5">
        <v>11120</v>
      </c>
      <c r="AE5">
        <v>4994</v>
      </c>
      <c r="AF5">
        <v>2650</v>
      </c>
      <c r="AG5">
        <v>280</v>
      </c>
      <c r="AH5">
        <v>2750</v>
      </c>
      <c r="AI5">
        <v>190</v>
      </c>
      <c r="AJ5">
        <v>2555474.4000000004</v>
      </c>
      <c r="AK5">
        <v>32130</v>
      </c>
      <c r="AL5">
        <v>228170</v>
      </c>
      <c r="AM5">
        <v>81540</v>
      </c>
      <c r="AN5">
        <v>4100</v>
      </c>
      <c r="AO5">
        <v>289200</v>
      </c>
      <c r="AP5">
        <v>27030</v>
      </c>
    </row>
    <row r="6" spans="1:42" x14ac:dyDescent="0.25">
      <c r="A6">
        <f t="shared" si="7"/>
        <v>5</v>
      </c>
      <c r="B6" s="6" t="s">
        <v>63</v>
      </c>
      <c r="C6" s="7">
        <v>321</v>
      </c>
      <c r="D6" s="7">
        <v>210</v>
      </c>
      <c r="E6" s="10">
        <v>663.55140186915889</v>
      </c>
      <c r="F6" s="1">
        <f t="shared" si="0"/>
        <v>213000</v>
      </c>
      <c r="G6">
        <f>SUM(C$2:C6)</f>
        <v>1858</v>
      </c>
      <c r="H6" s="13">
        <f t="shared" si="1"/>
        <v>7.8179897920111749E-2</v>
      </c>
      <c r="I6" s="14">
        <f t="shared" si="2"/>
        <v>27.647975077881622</v>
      </c>
      <c r="J6" s="17">
        <f t="shared" si="3"/>
        <v>3.9497107254116601</v>
      </c>
      <c r="K6" s="15">
        <f t="shared" si="4"/>
        <v>0.30382390195474307</v>
      </c>
      <c r="L6" s="21">
        <f t="shared" si="5"/>
        <v>0.69617609804525693</v>
      </c>
      <c r="M6" s="20">
        <f t="shared" si="6"/>
        <v>0.69617609804525693</v>
      </c>
      <c r="N6" s="7" t="s">
        <v>15</v>
      </c>
      <c r="O6">
        <f t="shared" si="8"/>
        <v>0.65</v>
      </c>
      <c r="P6" t="s">
        <v>127</v>
      </c>
    </row>
    <row r="7" spans="1:42" x14ac:dyDescent="0.25">
      <c r="A7">
        <f t="shared" si="7"/>
        <v>6</v>
      </c>
      <c r="B7" s="8" t="s">
        <v>51</v>
      </c>
      <c r="C7" s="9">
        <v>40</v>
      </c>
      <c r="D7" s="9">
        <v>40</v>
      </c>
      <c r="E7" s="11">
        <v>394.8</v>
      </c>
      <c r="F7" s="1">
        <f t="shared" si="0"/>
        <v>15792</v>
      </c>
      <c r="G7">
        <f>SUM(C$2:C7)</f>
        <v>1898</v>
      </c>
      <c r="H7" s="13">
        <f t="shared" si="1"/>
        <v>7.9862995830124919E-2</v>
      </c>
      <c r="I7" s="14">
        <f t="shared" si="2"/>
        <v>16.45</v>
      </c>
      <c r="J7" s="17">
        <f t="shared" si="3"/>
        <v>2.35</v>
      </c>
      <c r="K7" s="15">
        <f t="shared" si="4"/>
        <v>0.18076923076923077</v>
      </c>
      <c r="L7" s="21">
        <f t="shared" si="5"/>
        <v>0.81923076923076921</v>
      </c>
      <c r="M7" s="20">
        <f t="shared" si="6"/>
        <v>0.81923076923076921</v>
      </c>
      <c r="N7" s="9" t="s">
        <v>2</v>
      </c>
      <c r="O7">
        <f t="shared" si="8"/>
        <v>1</v>
      </c>
      <c r="P7" t="s">
        <v>143</v>
      </c>
    </row>
    <row r="8" spans="1:42" x14ac:dyDescent="0.25">
      <c r="A8">
        <f t="shared" si="7"/>
        <v>7</v>
      </c>
      <c r="B8" s="6" t="s">
        <v>53</v>
      </c>
      <c r="C8" s="7">
        <v>130</v>
      </c>
      <c r="D8" s="7">
        <v>97</v>
      </c>
      <c r="E8" s="10">
        <v>181.53846153846155</v>
      </c>
      <c r="F8" s="1">
        <f t="shared" si="0"/>
        <v>23600</v>
      </c>
      <c r="G8">
        <f>SUM(C$2:C8)</f>
        <v>2028</v>
      </c>
      <c r="H8" s="13">
        <f t="shared" si="1"/>
        <v>8.533306403766773E-2</v>
      </c>
      <c r="I8" s="14">
        <f t="shared" si="2"/>
        <v>7.5641025641025648</v>
      </c>
      <c r="J8" s="17">
        <f t="shared" si="3"/>
        <v>1.0805860805860807</v>
      </c>
      <c r="K8" s="15">
        <f t="shared" si="4"/>
        <v>8.3122006198929288E-2</v>
      </c>
      <c r="L8" s="21">
        <f t="shared" si="5"/>
        <v>0.91687799380107071</v>
      </c>
      <c r="M8" s="20">
        <f t="shared" si="6"/>
        <v>0.91687799380107071</v>
      </c>
      <c r="N8" s="7" t="s">
        <v>7</v>
      </c>
      <c r="O8">
        <f t="shared" si="8"/>
        <v>0.75</v>
      </c>
      <c r="P8" t="s">
        <v>134</v>
      </c>
      <c r="T8" s="19"/>
      <c r="U8" s="19" t="s">
        <v>128</v>
      </c>
      <c r="V8" s="19" t="s">
        <v>136</v>
      </c>
      <c r="W8" s="19" t="s">
        <v>143</v>
      </c>
      <c r="X8" s="19" t="s">
        <v>137</v>
      </c>
      <c r="Y8" s="19" t="s">
        <v>142</v>
      </c>
      <c r="Z8" s="19" t="s">
        <v>125</v>
      </c>
      <c r="AA8" s="19" t="s">
        <v>124</v>
      </c>
      <c r="AB8" s="19" t="s">
        <v>139</v>
      </c>
      <c r="AC8" s="19" t="s">
        <v>134</v>
      </c>
      <c r="AD8" s="19" t="s">
        <v>135</v>
      </c>
      <c r="AE8" s="19" t="s">
        <v>126</v>
      </c>
      <c r="AF8" s="19" t="s">
        <v>140</v>
      </c>
      <c r="AG8" s="19" t="s">
        <v>129</v>
      </c>
      <c r="AH8" s="19" t="s">
        <v>141</v>
      </c>
      <c r="AI8" s="19" t="s">
        <v>130</v>
      </c>
      <c r="AJ8" s="19" t="s">
        <v>131</v>
      </c>
      <c r="AK8" s="19" t="s">
        <v>138</v>
      </c>
      <c r="AL8" s="19" t="s">
        <v>127</v>
      </c>
      <c r="AM8" s="19" t="s">
        <v>122</v>
      </c>
      <c r="AN8" s="19" t="s">
        <v>132</v>
      </c>
      <c r="AO8" s="19" t="s">
        <v>133</v>
      </c>
      <c r="AP8" s="19" t="s">
        <v>123</v>
      </c>
    </row>
    <row r="9" spans="1:42" x14ac:dyDescent="0.25">
      <c r="A9">
        <f t="shared" si="7"/>
        <v>8</v>
      </c>
      <c r="B9" s="8" t="s">
        <v>62</v>
      </c>
      <c r="C9" s="9">
        <v>1212</v>
      </c>
      <c r="D9" s="9">
        <v>1212</v>
      </c>
      <c r="E9" s="11">
        <v>151.8151815181518</v>
      </c>
      <c r="F9" s="1">
        <f t="shared" si="0"/>
        <v>184000</v>
      </c>
      <c r="G9">
        <f>SUM(C$2:C9)</f>
        <v>3240</v>
      </c>
      <c r="H9" s="13">
        <f t="shared" si="1"/>
        <v>0.13633093071106678</v>
      </c>
      <c r="I9" s="14">
        <f t="shared" si="2"/>
        <v>6.3256325632563248</v>
      </c>
      <c r="J9" s="16">
        <f t="shared" si="3"/>
        <v>0.90366179475090358</v>
      </c>
      <c r="K9" s="15">
        <f t="shared" si="4"/>
        <v>6.9512445750069513E-2</v>
      </c>
      <c r="L9" s="20">
        <f t="shared" si="5"/>
        <v>0.93048755424993046</v>
      </c>
      <c r="M9" s="20">
        <f t="shared" si="6"/>
        <v>0.93048755424993046</v>
      </c>
      <c r="N9" s="9" t="s">
        <v>2</v>
      </c>
      <c r="O9">
        <f t="shared" si="8"/>
        <v>1</v>
      </c>
      <c r="P9" t="s">
        <v>131</v>
      </c>
      <c r="T9" t="s">
        <v>144</v>
      </c>
      <c r="U9">
        <v>1556</v>
      </c>
      <c r="V9">
        <v>1872</v>
      </c>
      <c r="W9">
        <v>40</v>
      </c>
      <c r="X9">
        <v>1541</v>
      </c>
      <c r="Y9">
        <v>453</v>
      </c>
      <c r="Z9">
        <v>1400</v>
      </c>
      <c r="AA9">
        <v>1724</v>
      </c>
      <c r="AB9">
        <v>29</v>
      </c>
      <c r="AC9">
        <v>235</v>
      </c>
      <c r="AD9">
        <v>314</v>
      </c>
      <c r="AE9">
        <v>618.5</v>
      </c>
      <c r="AF9">
        <v>260</v>
      </c>
      <c r="AG9">
        <v>58</v>
      </c>
      <c r="AH9">
        <v>450</v>
      </c>
      <c r="AI9">
        <v>68</v>
      </c>
      <c r="AJ9">
        <v>2880</v>
      </c>
      <c r="AK9">
        <v>1652</v>
      </c>
      <c r="AL9">
        <v>2516</v>
      </c>
      <c r="AM9">
        <v>1775.2</v>
      </c>
      <c r="AN9">
        <v>576</v>
      </c>
      <c r="AO9">
        <v>185</v>
      </c>
      <c r="AP9">
        <v>3563</v>
      </c>
    </row>
    <row r="10" spans="1:42" x14ac:dyDescent="0.25">
      <c r="A10">
        <f t="shared" si="7"/>
        <v>9</v>
      </c>
      <c r="B10" s="6" t="s">
        <v>61</v>
      </c>
      <c r="C10" s="7">
        <v>710</v>
      </c>
      <c r="D10" s="7">
        <v>710</v>
      </c>
      <c r="E10" s="10">
        <v>81.042253521126767</v>
      </c>
      <c r="F10" s="1">
        <f t="shared" si="0"/>
        <v>57540.000000000007</v>
      </c>
      <c r="G10">
        <f>SUM(C$2:C10)</f>
        <v>3950</v>
      </c>
      <c r="H10" s="13">
        <f t="shared" si="1"/>
        <v>0.16620591861380055</v>
      </c>
      <c r="I10" s="14">
        <f t="shared" si="2"/>
        <v>3.376760563380282</v>
      </c>
      <c r="J10" s="16">
        <f t="shared" si="3"/>
        <v>0.48239436619718312</v>
      </c>
      <c r="K10" s="15">
        <f t="shared" si="4"/>
        <v>3.7107258938244854E-2</v>
      </c>
      <c r="L10" s="20">
        <f t="shared" si="5"/>
        <v>0.96289274106175515</v>
      </c>
      <c r="M10" s="20">
        <f t="shared" si="6"/>
        <v>0.96289274106175515</v>
      </c>
      <c r="N10" s="7" t="s">
        <v>27</v>
      </c>
      <c r="O10">
        <f t="shared" si="8"/>
        <v>1</v>
      </c>
      <c r="P10" t="s">
        <v>122</v>
      </c>
      <c r="T10" t="s">
        <v>145</v>
      </c>
      <c r="U10">
        <v>1500</v>
      </c>
      <c r="V10">
        <v>1872</v>
      </c>
      <c r="W10">
        <v>40</v>
      </c>
      <c r="X10">
        <v>1512</v>
      </c>
      <c r="Y10">
        <v>420</v>
      </c>
      <c r="Z10">
        <v>1400</v>
      </c>
      <c r="AA10">
        <v>1680</v>
      </c>
      <c r="AB10">
        <v>12</v>
      </c>
      <c r="AC10">
        <v>192</v>
      </c>
      <c r="AD10">
        <v>314</v>
      </c>
      <c r="AE10">
        <v>533</v>
      </c>
      <c r="AF10">
        <v>260</v>
      </c>
      <c r="AG10">
        <v>31</v>
      </c>
      <c r="AH10">
        <v>440</v>
      </c>
      <c r="AI10">
        <v>28</v>
      </c>
      <c r="AJ10">
        <v>2337</v>
      </c>
      <c r="AK10">
        <v>1652</v>
      </c>
      <c r="AL10">
        <v>1663</v>
      </c>
      <c r="AM10">
        <v>1775</v>
      </c>
      <c r="AN10">
        <v>576</v>
      </c>
      <c r="AO10">
        <v>185</v>
      </c>
      <c r="AP10">
        <v>2980</v>
      </c>
    </row>
    <row r="11" spans="1:42" x14ac:dyDescent="0.25">
      <c r="A11">
        <f t="shared" si="7"/>
        <v>10</v>
      </c>
      <c r="B11" s="8" t="s">
        <v>41</v>
      </c>
      <c r="C11" s="9">
        <v>60</v>
      </c>
      <c r="D11" s="9">
        <v>50</v>
      </c>
      <c r="E11" s="11">
        <v>46</v>
      </c>
      <c r="F11" s="1">
        <f t="shared" si="0"/>
        <v>2760</v>
      </c>
      <c r="G11">
        <f>SUM(C$2:C11)</f>
        <v>4010</v>
      </c>
      <c r="H11" s="13">
        <f t="shared" si="1"/>
        <v>0.16873056547882032</v>
      </c>
      <c r="I11" s="14">
        <f t="shared" si="2"/>
        <v>1.9166666666666667</v>
      </c>
      <c r="J11" s="16">
        <f t="shared" si="3"/>
        <v>0.27380952380952384</v>
      </c>
      <c r="K11" s="15">
        <f t="shared" si="4"/>
        <v>2.1062271062271064E-2</v>
      </c>
      <c r="L11" s="20">
        <f t="shared" si="5"/>
        <v>0.9789377289377289</v>
      </c>
      <c r="M11" s="20">
        <f t="shared" si="6"/>
        <v>0.9789377289377289</v>
      </c>
      <c r="N11" s="9" t="s">
        <v>7</v>
      </c>
      <c r="O11">
        <f t="shared" si="8"/>
        <v>0.83</v>
      </c>
      <c r="P11" t="s">
        <v>134</v>
      </c>
      <c r="T11" t="s">
        <v>146</v>
      </c>
      <c r="U11" s="15">
        <f>ROUND(U10/U9,2)</f>
        <v>0.96</v>
      </c>
      <c r="V11" s="15">
        <f t="shared" ref="V11:AP11" si="9">ROUND(V10/V9,2)</f>
        <v>1</v>
      </c>
      <c r="W11" s="15">
        <f t="shared" si="9"/>
        <v>1</v>
      </c>
      <c r="X11" s="15">
        <f t="shared" si="9"/>
        <v>0.98</v>
      </c>
      <c r="Y11" s="15">
        <f t="shared" si="9"/>
        <v>0.93</v>
      </c>
      <c r="Z11" s="15">
        <f t="shared" si="9"/>
        <v>1</v>
      </c>
      <c r="AA11" s="15">
        <f t="shared" si="9"/>
        <v>0.97</v>
      </c>
      <c r="AB11" s="15">
        <f t="shared" si="9"/>
        <v>0.41</v>
      </c>
      <c r="AC11" s="15">
        <f t="shared" si="9"/>
        <v>0.82</v>
      </c>
      <c r="AD11" s="15">
        <f t="shared" si="9"/>
        <v>1</v>
      </c>
      <c r="AE11" s="15">
        <f t="shared" si="9"/>
        <v>0.86</v>
      </c>
      <c r="AF11" s="15">
        <f t="shared" si="9"/>
        <v>1</v>
      </c>
      <c r="AG11" s="15">
        <f t="shared" si="9"/>
        <v>0.53</v>
      </c>
      <c r="AH11" s="15">
        <f t="shared" si="9"/>
        <v>0.98</v>
      </c>
      <c r="AI11" s="15">
        <f t="shared" si="9"/>
        <v>0.41</v>
      </c>
      <c r="AJ11" s="15">
        <f t="shared" si="9"/>
        <v>0.81</v>
      </c>
      <c r="AK11" s="15">
        <f t="shared" si="9"/>
        <v>1</v>
      </c>
      <c r="AL11" s="15">
        <f t="shared" si="9"/>
        <v>0.66</v>
      </c>
      <c r="AM11" s="15">
        <f t="shared" si="9"/>
        <v>1</v>
      </c>
      <c r="AN11" s="15">
        <f t="shared" si="9"/>
        <v>1</v>
      </c>
      <c r="AO11" s="15">
        <f t="shared" si="9"/>
        <v>1</v>
      </c>
      <c r="AP11" s="15">
        <f t="shared" si="9"/>
        <v>0.84</v>
      </c>
    </row>
    <row r="12" spans="1:42" x14ac:dyDescent="0.25">
      <c r="A12">
        <f t="shared" si="7"/>
        <v>11</v>
      </c>
      <c r="B12" s="6" t="s">
        <v>49</v>
      </c>
      <c r="C12" s="7">
        <v>314</v>
      </c>
      <c r="D12" s="7">
        <v>314</v>
      </c>
      <c r="E12" s="10">
        <v>35.414012738853501</v>
      </c>
      <c r="F12" s="1">
        <f t="shared" si="0"/>
        <v>11120</v>
      </c>
      <c r="G12">
        <f>SUM(C$2:C12)</f>
        <v>4324</v>
      </c>
      <c r="H12" s="13">
        <f t="shared" si="1"/>
        <v>0.18194288407242371</v>
      </c>
      <c r="I12" s="14">
        <f t="shared" si="2"/>
        <v>1.4755838641188959</v>
      </c>
      <c r="J12" s="16">
        <f t="shared" si="3"/>
        <v>0.21079769487412797</v>
      </c>
      <c r="K12" s="15">
        <f t="shared" si="4"/>
        <v>1.6215207298009845E-2</v>
      </c>
      <c r="L12" s="20">
        <f t="shared" si="5"/>
        <v>0.98378479270199015</v>
      </c>
      <c r="M12" s="20">
        <f t="shared" si="6"/>
        <v>0.98378479270199015</v>
      </c>
      <c r="N12" s="7" t="s">
        <v>4</v>
      </c>
      <c r="O12">
        <f t="shared" si="8"/>
        <v>1</v>
      </c>
      <c r="P12" t="s">
        <v>135</v>
      </c>
    </row>
    <row r="13" spans="1:42" x14ac:dyDescent="0.25">
      <c r="A13">
        <f t="shared" si="7"/>
        <v>12</v>
      </c>
      <c r="B13" s="8" t="s">
        <v>55</v>
      </c>
      <c r="C13" s="11">
        <v>1065.2</v>
      </c>
      <c r="D13" s="9">
        <v>1065</v>
      </c>
      <c r="E13" s="11">
        <v>22.530980097634245</v>
      </c>
      <c r="F13" s="1">
        <f t="shared" si="0"/>
        <v>24000</v>
      </c>
      <c r="G13">
        <f>SUM(C$2:C13)</f>
        <v>5389.2</v>
      </c>
      <c r="H13" s="13">
        <f t="shared" si="1"/>
        <v>0.22676378141607442</v>
      </c>
      <c r="I13" s="14">
        <f t="shared" si="2"/>
        <v>0.93879083740142688</v>
      </c>
      <c r="J13" s="16">
        <f t="shared" si="3"/>
        <v>0.13411297677163242</v>
      </c>
      <c r="K13" s="15">
        <f t="shared" si="4"/>
        <v>1.0316382828587109E-2</v>
      </c>
      <c r="L13" s="20">
        <f t="shared" si="5"/>
        <v>0.98968361717141284</v>
      </c>
      <c r="M13" s="20">
        <f t="shared" si="6"/>
        <v>0.98968361717141284</v>
      </c>
      <c r="N13" s="9" t="s">
        <v>27</v>
      </c>
      <c r="O13">
        <f t="shared" si="8"/>
        <v>1</v>
      </c>
      <c r="P13" t="s">
        <v>122</v>
      </c>
      <c r="T13" s="19"/>
      <c r="U13" s="19" t="s">
        <v>128</v>
      </c>
      <c r="V13" s="19" t="s">
        <v>136</v>
      </c>
      <c r="W13" s="19" t="s">
        <v>143</v>
      </c>
      <c r="X13" s="19" t="s">
        <v>137</v>
      </c>
      <c r="Y13" s="19" t="s">
        <v>142</v>
      </c>
      <c r="Z13" s="19" t="s">
        <v>125</v>
      </c>
      <c r="AA13" s="19" t="s">
        <v>124</v>
      </c>
      <c r="AB13" s="19" t="s">
        <v>139</v>
      </c>
      <c r="AC13" s="19" t="s">
        <v>134</v>
      </c>
      <c r="AD13" s="19" t="s">
        <v>135</v>
      </c>
      <c r="AE13" s="19" t="s">
        <v>126</v>
      </c>
      <c r="AF13" s="19" t="s">
        <v>140</v>
      </c>
      <c r="AG13" s="19" t="s">
        <v>129</v>
      </c>
      <c r="AH13" s="19" t="s">
        <v>141</v>
      </c>
      <c r="AI13" s="19" t="s">
        <v>130</v>
      </c>
      <c r="AJ13" s="19" t="s">
        <v>131</v>
      </c>
      <c r="AK13" s="19" t="s">
        <v>138</v>
      </c>
      <c r="AL13" s="19" t="s">
        <v>127</v>
      </c>
      <c r="AM13" s="19" t="s">
        <v>122</v>
      </c>
      <c r="AN13" s="19" t="s">
        <v>132</v>
      </c>
      <c r="AO13" s="19" t="s">
        <v>133</v>
      </c>
      <c r="AP13" s="19" t="s">
        <v>123</v>
      </c>
    </row>
    <row r="14" spans="1:42" x14ac:dyDescent="0.25">
      <c r="A14">
        <f t="shared" si="7"/>
        <v>13</v>
      </c>
      <c r="B14" s="6" t="s">
        <v>24</v>
      </c>
      <c r="C14" s="7">
        <v>240</v>
      </c>
      <c r="D14" s="7">
        <v>240</v>
      </c>
      <c r="E14" s="10">
        <v>20</v>
      </c>
      <c r="F14" s="1">
        <f t="shared" si="0"/>
        <v>4800</v>
      </c>
      <c r="G14">
        <f>SUM(C$2:C14)</f>
        <v>5629.2</v>
      </c>
      <c r="H14" s="13">
        <f t="shared" si="1"/>
        <v>0.23686236887615345</v>
      </c>
      <c r="I14" s="14">
        <f t="shared" si="2"/>
        <v>0.83333333333333337</v>
      </c>
      <c r="J14" s="16">
        <f t="shared" si="3"/>
        <v>0.11904761904761905</v>
      </c>
      <c r="K14" s="15">
        <f t="shared" si="4"/>
        <v>9.1575091575091579E-3</v>
      </c>
      <c r="L14" s="20">
        <f t="shared" si="5"/>
        <v>0.99084249084249088</v>
      </c>
      <c r="M14" s="20">
        <f t="shared" si="6"/>
        <v>0.99084249084249088</v>
      </c>
      <c r="N14" s="7" t="s">
        <v>25</v>
      </c>
      <c r="O14">
        <f t="shared" si="8"/>
        <v>1</v>
      </c>
      <c r="P14" t="s">
        <v>125</v>
      </c>
      <c r="T14" t="s">
        <v>148</v>
      </c>
      <c r="U14">
        <v>18672</v>
      </c>
      <c r="V14">
        <v>17200</v>
      </c>
      <c r="W14">
        <v>15792</v>
      </c>
      <c r="X14">
        <v>15020</v>
      </c>
      <c r="Y14">
        <v>2800</v>
      </c>
      <c r="Z14">
        <v>16800</v>
      </c>
      <c r="AA14">
        <v>14190</v>
      </c>
      <c r="AB14">
        <v>26790</v>
      </c>
      <c r="AC14">
        <v>26654</v>
      </c>
      <c r="AD14">
        <v>11120</v>
      </c>
      <c r="AE14">
        <v>4994</v>
      </c>
      <c r="AF14">
        <v>2650</v>
      </c>
      <c r="AG14">
        <v>280</v>
      </c>
      <c r="AH14">
        <v>2750</v>
      </c>
      <c r="AI14">
        <v>190</v>
      </c>
      <c r="AJ14">
        <v>2555474.4000000004</v>
      </c>
      <c r="AK14">
        <v>32130</v>
      </c>
      <c r="AL14">
        <v>228170</v>
      </c>
      <c r="AM14">
        <v>81540</v>
      </c>
      <c r="AN14">
        <v>4100</v>
      </c>
      <c r="AO14">
        <v>289200</v>
      </c>
      <c r="AP14">
        <v>27030</v>
      </c>
    </row>
    <row r="15" spans="1:42" x14ac:dyDescent="0.25">
      <c r="A15">
        <f t="shared" si="7"/>
        <v>14</v>
      </c>
      <c r="B15" s="8" t="s">
        <v>59</v>
      </c>
      <c r="C15" s="9">
        <v>1652</v>
      </c>
      <c r="D15" s="9">
        <v>1652</v>
      </c>
      <c r="E15" s="11">
        <v>19.449152542372882</v>
      </c>
      <c r="F15" s="1">
        <f t="shared" si="0"/>
        <v>32130</v>
      </c>
      <c r="G15">
        <f>SUM(C$2:C15)</f>
        <v>7281.2</v>
      </c>
      <c r="H15" s="13">
        <f t="shared" si="1"/>
        <v>0.30637431255969738</v>
      </c>
      <c r="I15" s="14">
        <f t="shared" si="2"/>
        <v>0.8103813559322034</v>
      </c>
      <c r="J15" s="16">
        <f t="shared" si="3"/>
        <v>0.11576876513317191</v>
      </c>
      <c r="K15" s="15">
        <f t="shared" si="4"/>
        <v>8.9052896256286082E-3</v>
      </c>
      <c r="L15" s="20">
        <f t="shared" si="5"/>
        <v>0.99109471037437136</v>
      </c>
      <c r="M15" s="20">
        <f t="shared" si="6"/>
        <v>0.99109471037437136</v>
      </c>
      <c r="N15" s="9" t="s">
        <v>60</v>
      </c>
      <c r="O15">
        <f t="shared" si="8"/>
        <v>1</v>
      </c>
      <c r="P15" t="s">
        <v>138</v>
      </c>
      <c r="T15" t="s">
        <v>144</v>
      </c>
      <c r="U15">
        <v>1556</v>
      </c>
      <c r="V15">
        <v>1872</v>
      </c>
      <c r="W15">
        <v>40</v>
      </c>
      <c r="X15">
        <v>1541</v>
      </c>
      <c r="Y15">
        <v>453</v>
      </c>
      <c r="Z15">
        <v>1400</v>
      </c>
      <c r="AA15">
        <v>1724</v>
      </c>
      <c r="AB15">
        <v>29</v>
      </c>
      <c r="AC15">
        <v>235</v>
      </c>
      <c r="AD15">
        <v>314</v>
      </c>
      <c r="AE15">
        <v>618.5</v>
      </c>
      <c r="AF15">
        <v>260</v>
      </c>
      <c r="AG15">
        <v>58</v>
      </c>
      <c r="AH15">
        <v>450</v>
      </c>
      <c r="AI15">
        <v>68</v>
      </c>
      <c r="AJ15">
        <v>2880</v>
      </c>
      <c r="AK15">
        <v>1652</v>
      </c>
      <c r="AL15">
        <v>2516</v>
      </c>
      <c r="AM15">
        <v>1775.2</v>
      </c>
      <c r="AN15">
        <v>576</v>
      </c>
      <c r="AO15">
        <v>185</v>
      </c>
      <c r="AP15">
        <v>3563</v>
      </c>
    </row>
    <row r="16" spans="1:42" x14ac:dyDescent="0.25">
      <c r="A16">
        <f t="shared" si="7"/>
        <v>15</v>
      </c>
      <c r="B16" s="6" t="s">
        <v>13</v>
      </c>
      <c r="C16" s="7">
        <v>200</v>
      </c>
      <c r="D16" s="7">
        <v>200</v>
      </c>
      <c r="E16" s="10">
        <v>12.05</v>
      </c>
      <c r="F16" s="1">
        <f t="shared" si="0"/>
        <v>2410</v>
      </c>
      <c r="G16">
        <f>SUM(C$2:C16)</f>
        <v>7481.2</v>
      </c>
      <c r="H16" s="13">
        <f t="shared" si="1"/>
        <v>0.31478980210976321</v>
      </c>
      <c r="I16" s="14">
        <f t="shared" si="2"/>
        <v>0.50208333333333333</v>
      </c>
      <c r="J16" s="16">
        <f t="shared" si="3"/>
        <v>7.1726190476190471E-2</v>
      </c>
      <c r="K16" s="15">
        <f t="shared" si="4"/>
        <v>5.5173992673992669E-3</v>
      </c>
      <c r="L16" s="20">
        <f t="shared" si="5"/>
        <v>0.99448260073260075</v>
      </c>
      <c r="M16" s="20">
        <f t="shared" si="6"/>
        <v>0.99448260073260075</v>
      </c>
      <c r="N16" s="7" t="s">
        <v>12</v>
      </c>
      <c r="O16">
        <f t="shared" si="8"/>
        <v>1</v>
      </c>
      <c r="P16" t="s">
        <v>126</v>
      </c>
      <c r="T16" t="s">
        <v>149</v>
      </c>
      <c r="U16">
        <f>ROUND(U14/U15,1)</f>
        <v>12</v>
      </c>
      <c r="V16">
        <f t="shared" ref="V16:AP16" si="10">ROUND(V14/V15,1)</f>
        <v>9.1999999999999993</v>
      </c>
      <c r="W16">
        <f t="shared" si="10"/>
        <v>394.8</v>
      </c>
      <c r="X16">
        <f t="shared" si="10"/>
        <v>9.6999999999999993</v>
      </c>
      <c r="Y16">
        <f t="shared" si="10"/>
        <v>6.2</v>
      </c>
      <c r="Z16">
        <f t="shared" si="10"/>
        <v>12</v>
      </c>
      <c r="AA16">
        <f t="shared" si="10"/>
        <v>8.1999999999999993</v>
      </c>
      <c r="AB16">
        <f t="shared" si="10"/>
        <v>923.8</v>
      </c>
      <c r="AC16">
        <f t="shared" si="10"/>
        <v>113.4</v>
      </c>
      <c r="AD16">
        <f t="shared" si="10"/>
        <v>35.4</v>
      </c>
      <c r="AE16">
        <f t="shared" si="10"/>
        <v>8.1</v>
      </c>
      <c r="AF16">
        <f t="shared" si="10"/>
        <v>10.199999999999999</v>
      </c>
      <c r="AG16">
        <f t="shared" si="10"/>
        <v>4.8</v>
      </c>
      <c r="AH16">
        <f t="shared" si="10"/>
        <v>6.1</v>
      </c>
      <c r="AI16">
        <f t="shared" si="10"/>
        <v>2.8</v>
      </c>
      <c r="AJ16">
        <f t="shared" si="10"/>
        <v>887.3</v>
      </c>
      <c r="AK16">
        <f t="shared" si="10"/>
        <v>19.399999999999999</v>
      </c>
      <c r="AL16">
        <f t="shared" si="10"/>
        <v>90.7</v>
      </c>
      <c r="AM16">
        <f t="shared" si="10"/>
        <v>45.9</v>
      </c>
      <c r="AN16">
        <f t="shared" si="10"/>
        <v>7.1</v>
      </c>
      <c r="AO16">
        <f t="shared" si="10"/>
        <v>1563.2</v>
      </c>
      <c r="AP16">
        <f t="shared" si="10"/>
        <v>7.6</v>
      </c>
    </row>
    <row r="17" spans="1:32" x14ac:dyDescent="0.25">
      <c r="A17">
        <f t="shared" si="7"/>
        <v>16</v>
      </c>
      <c r="B17" s="8" t="s">
        <v>8</v>
      </c>
      <c r="C17" s="9">
        <v>1556</v>
      </c>
      <c r="D17" s="9">
        <v>1500</v>
      </c>
      <c r="E17" s="11">
        <v>12</v>
      </c>
      <c r="F17" s="1">
        <f t="shared" si="0"/>
        <v>18672</v>
      </c>
      <c r="G17">
        <f>SUM(C$2:C17)</f>
        <v>9037.2000000000007</v>
      </c>
      <c r="H17" s="13">
        <f t="shared" si="1"/>
        <v>0.38026231080927558</v>
      </c>
      <c r="I17" s="14">
        <f t="shared" si="2"/>
        <v>0.5</v>
      </c>
      <c r="J17" s="16">
        <f t="shared" si="3"/>
        <v>7.1428571428571425E-2</v>
      </c>
      <c r="K17" s="15">
        <f t="shared" si="4"/>
        <v>5.4945054945054941E-3</v>
      </c>
      <c r="L17" s="20">
        <f t="shared" si="5"/>
        <v>0.99450549450549453</v>
      </c>
      <c r="M17" s="20">
        <f t="shared" si="6"/>
        <v>0.99450549450549453</v>
      </c>
      <c r="N17" s="9" t="s">
        <v>2</v>
      </c>
      <c r="O17">
        <f t="shared" si="8"/>
        <v>0.96</v>
      </c>
      <c r="P17" t="s">
        <v>128</v>
      </c>
    </row>
    <row r="18" spans="1:32" x14ac:dyDescent="0.25">
      <c r="A18">
        <f t="shared" si="7"/>
        <v>17</v>
      </c>
      <c r="B18" s="6" t="s">
        <v>29</v>
      </c>
      <c r="C18" s="7">
        <v>94.5</v>
      </c>
      <c r="D18" s="7">
        <v>9</v>
      </c>
      <c r="E18" s="10">
        <v>12</v>
      </c>
      <c r="F18" s="1">
        <f t="shared" si="0"/>
        <v>1134</v>
      </c>
      <c r="G18">
        <f>SUM(C$2:C18)</f>
        <v>9131.7000000000007</v>
      </c>
      <c r="H18" s="13">
        <f t="shared" si="1"/>
        <v>0.3842386296216817</v>
      </c>
      <c r="I18" s="14">
        <f t="shared" si="2"/>
        <v>0.5</v>
      </c>
      <c r="J18" s="16">
        <f t="shared" si="3"/>
        <v>7.1428571428571425E-2</v>
      </c>
      <c r="K18" s="15">
        <f t="shared" si="4"/>
        <v>5.4945054945054941E-3</v>
      </c>
      <c r="L18" s="20">
        <f t="shared" si="5"/>
        <v>0.99450549450549453</v>
      </c>
      <c r="M18" s="20">
        <f t="shared" si="6"/>
        <v>0.99450549450549453</v>
      </c>
      <c r="N18" s="7" t="s">
        <v>12</v>
      </c>
      <c r="O18">
        <f t="shared" si="8"/>
        <v>0.1</v>
      </c>
      <c r="P18" t="s">
        <v>126</v>
      </c>
      <c r="AB18">
        <f>29.4*AB11</f>
        <v>12.053999999999998</v>
      </c>
      <c r="AF18">
        <f>258*0.2</f>
        <v>51.6</v>
      </c>
    </row>
    <row r="19" spans="1:32" x14ac:dyDescent="0.25">
      <c r="A19">
        <f t="shared" si="7"/>
        <v>18</v>
      </c>
      <c r="B19" s="8" t="s">
        <v>30</v>
      </c>
      <c r="C19" s="9">
        <v>25.2</v>
      </c>
      <c r="D19" s="9">
        <v>27</v>
      </c>
      <c r="E19" s="11">
        <v>12</v>
      </c>
      <c r="F19" s="1">
        <f t="shared" si="0"/>
        <v>302.39999999999998</v>
      </c>
      <c r="G19">
        <f>SUM(C$2:C19)</f>
        <v>9156.9000000000015</v>
      </c>
      <c r="H19" s="13">
        <f t="shared" si="1"/>
        <v>0.38529898130499002</v>
      </c>
      <c r="I19" s="14">
        <f t="shared" si="2"/>
        <v>0.5</v>
      </c>
      <c r="J19" s="16">
        <f t="shared" si="3"/>
        <v>7.1428571428571425E-2</v>
      </c>
      <c r="K19" s="15">
        <f t="shared" si="4"/>
        <v>5.4945054945054941E-3</v>
      </c>
      <c r="L19" s="20">
        <f t="shared" si="5"/>
        <v>0.99450549450549453</v>
      </c>
      <c r="M19" s="20">
        <f t="shared" si="6"/>
        <v>0.99450549450549453</v>
      </c>
      <c r="N19" s="9" t="s">
        <v>2</v>
      </c>
      <c r="O19">
        <f t="shared" si="8"/>
        <v>1.07</v>
      </c>
      <c r="P19" t="s">
        <v>131</v>
      </c>
      <c r="AF19">
        <f>562.5*0.2</f>
        <v>112.5</v>
      </c>
    </row>
    <row r="20" spans="1:32" x14ac:dyDescent="0.25">
      <c r="A20">
        <f t="shared" si="7"/>
        <v>19</v>
      </c>
      <c r="B20" s="6" t="s">
        <v>31</v>
      </c>
      <c r="C20" s="7">
        <v>600</v>
      </c>
      <c r="D20" s="7">
        <v>300</v>
      </c>
      <c r="E20" s="10">
        <v>12</v>
      </c>
      <c r="F20" s="1">
        <f t="shared" si="0"/>
        <v>7200</v>
      </c>
      <c r="G20">
        <f>SUM(C$2:C20)</f>
        <v>9756.9000000000015</v>
      </c>
      <c r="H20" s="13">
        <f t="shared" si="1"/>
        <v>0.41054544995518755</v>
      </c>
      <c r="I20" s="14">
        <f t="shared" si="2"/>
        <v>0.5</v>
      </c>
      <c r="J20" s="16">
        <f t="shared" si="3"/>
        <v>7.1428571428571425E-2</v>
      </c>
      <c r="K20" s="15">
        <f t="shared" si="4"/>
        <v>5.4945054945054941E-3</v>
      </c>
      <c r="L20" s="20">
        <f t="shared" si="5"/>
        <v>0.99450549450549453</v>
      </c>
      <c r="M20" s="20">
        <f t="shared" si="6"/>
        <v>0.99450549450549453</v>
      </c>
      <c r="N20" s="7" t="s">
        <v>15</v>
      </c>
      <c r="O20">
        <f t="shared" si="8"/>
        <v>0.5</v>
      </c>
      <c r="P20" t="s">
        <v>127</v>
      </c>
    </row>
    <row r="21" spans="1:32" x14ac:dyDescent="0.25">
      <c r="A21">
        <f t="shared" si="7"/>
        <v>20</v>
      </c>
      <c r="B21" s="8" t="s">
        <v>10</v>
      </c>
      <c r="C21" s="9">
        <v>120</v>
      </c>
      <c r="D21" s="9">
        <v>84</v>
      </c>
      <c r="E21" s="11">
        <v>11.508333333333333</v>
      </c>
      <c r="F21" s="1">
        <f t="shared" si="0"/>
        <v>1381</v>
      </c>
      <c r="G21">
        <f>SUM(C$2:C21)</f>
        <v>9876.9000000000015</v>
      </c>
      <c r="H21" s="13">
        <f t="shared" si="1"/>
        <v>0.41559474368522709</v>
      </c>
      <c r="I21" s="14">
        <f t="shared" si="2"/>
        <v>0.47951388888888885</v>
      </c>
      <c r="J21" s="16">
        <f t="shared" si="3"/>
        <v>6.850198412698412E-2</v>
      </c>
      <c r="K21" s="15">
        <f t="shared" si="4"/>
        <v>5.2693833943833939E-3</v>
      </c>
      <c r="L21" s="20">
        <f t="shared" si="5"/>
        <v>0.99473061660561657</v>
      </c>
      <c r="M21" s="20">
        <f t="shared" si="6"/>
        <v>0.99473061660561657</v>
      </c>
      <c r="N21" s="9" t="s">
        <v>2</v>
      </c>
      <c r="O21">
        <f t="shared" si="8"/>
        <v>0.7</v>
      </c>
      <c r="P21" t="s">
        <v>131</v>
      </c>
    </row>
    <row r="22" spans="1:32" x14ac:dyDescent="0.25">
      <c r="A22">
        <f t="shared" si="7"/>
        <v>21</v>
      </c>
      <c r="B22" s="6" t="s">
        <v>48</v>
      </c>
      <c r="C22" s="7">
        <v>1072</v>
      </c>
      <c r="D22" s="7">
        <v>1072</v>
      </c>
      <c r="E22" s="10">
        <v>10.354477611940299</v>
      </c>
      <c r="F22" s="1">
        <f t="shared" si="0"/>
        <v>11100</v>
      </c>
      <c r="G22">
        <f>SUM(C$2:C22)</f>
        <v>10948.900000000001</v>
      </c>
      <c r="H22" s="13">
        <f t="shared" si="1"/>
        <v>0.46070176767358006</v>
      </c>
      <c r="I22" s="14">
        <f t="shared" si="2"/>
        <v>0.43143656716417911</v>
      </c>
      <c r="J22" s="16">
        <f t="shared" si="3"/>
        <v>6.1633795309168446E-2</v>
      </c>
      <c r="K22" s="15">
        <f t="shared" si="4"/>
        <v>4.7410611776283421E-3</v>
      </c>
      <c r="L22" s="20">
        <f t="shared" si="5"/>
        <v>0.99525893882237171</v>
      </c>
      <c r="M22" s="20">
        <f t="shared" si="6"/>
        <v>0.99525893882237171</v>
      </c>
      <c r="N22" s="7" t="s">
        <v>3</v>
      </c>
      <c r="O22">
        <f t="shared" si="8"/>
        <v>1</v>
      </c>
      <c r="P22" t="s">
        <v>137</v>
      </c>
    </row>
    <row r="23" spans="1:32" x14ac:dyDescent="0.25">
      <c r="A23">
        <f t="shared" si="7"/>
        <v>22</v>
      </c>
      <c r="B23" s="8" t="s">
        <v>50</v>
      </c>
      <c r="C23" s="9">
        <v>1160</v>
      </c>
      <c r="D23" s="9">
        <v>1160</v>
      </c>
      <c r="E23" s="11">
        <v>10.344827586206897</v>
      </c>
      <c r="F23" s="1">
        <f t="shared" si="0"/>
        <v>12000</v>
      </c>
      <c r="G23">
        <f>SUM(C$2:C23)</f>
        <v>12108.900000000001</v>
      </c>
      <c r="H23" s="13">
        <f t="shared" si="1"/>
        <v>0.50951160706396192</v>
      </c>
      <c r="I23" s="14">
        <f t="shared" si="2"/>
        <v>0.43103448275862072</v>
      </c>
      <c r="J23" s="16">
        <f t="shared" si="3"/>
        <v>6.1576354679802957E-2</v>
      </c>
      <c r="K23" s="15">
        <f t="shared" si="4"/>
        <v>4.7366426676771507E-3</v>
      </c>
      <c r="L23" s="20">
        <f t="shared" si="5"/>
        <v>0.99526335733232285</v>
      </c>
      <c r="M23" s="20">
        <f t="shared" si="6"/>
        <v>0.99526335733232285</v>
      </c>
      <c r="N23" s="9" t="s">
        <v>25</v>
      </c>
      <c r="O23">
        <f t="shared" si="8"/>
        <v>1</v>
      </c>
      <c r="P23" t="s">
        <v>125</v>
      </c>
    </row>
    <row r="24" spans="1:32" x14ac:dyDescent="0.25">
      <c r="A24">
        <f t="shared" si="7"/>
        <v>23</v>
      </c>
      <c r="B24" s="6" t="s">
        <v>39</v>
      </c>
      <c r="C24" s="7">
        <v>260</v>
      </c>
      <c r="D24" s="7">
        <v>260</v>
      </c>
      <c r="E24" s="10">
        <v>10.192307692307692</v>
      </c>
      <c r="F24" s="1">
        <f t="shared" si="0"/>
        <v>2650</v>
      </c>
      <c r="G24">
        <f>SUM(C$2:C24)</f>
        <v>12368.900000000001</v>
      </c>
      <c r="H24" s="13">
        <f t="shared" si="1"/>
        <v>0.52045174347904755</v>
      </c>
      <c r="I24" s="14">
        <f t="shared" si="2"/>
        <v>0.42467948717948717</v>
      </c>
      <c r="J24" s="16">
        <f t="shared" si="3"/>
        <v>6.0668498168498168E-2</v>
      </c>
      <c r="K24" s="15">
        <f t="shared" si="4"/>
        <v>4.6668075514229362E-3</v>
      </c>
      <c r="L24" s="20">
        <f t="shared" si="5"/>
        <v>0.9953331924485771</v>
      </c>
      <c r="M24" s="20">
        <f t="shared" si="6"/>
        <v>0.9953331924485771</v>
      </c>
      <c r="N24" s="7" t="s">
        <v>40</v>
      </c>
      <c r="O24">
        <f t="shared" si="8"/>
        <v>1</v>
      </c>
      <c r="P24" t="s">
        <v>140</v>
      </c>
    </row>
    <row r="25" spans="1:32" x14ac:dyDescent="0.25">
      <c r="A25">
        <f t="shared" si="7"/>
        <v>24</v>
      </c>
      <c r="B25" s="8" t="s">
        <v>18</v>
      </c>
      <c r="C25" s="9">
        <v>1124</v>
      </c>
      <c r="D25" s="9">
        <v>1080</v>
      </c>
      <c r="E25" s="11">
        <v>9.3416370106761573</v>
      </c>
      <c r="F25" s="1">
        <f t="shared" si="0"/>
        <v>10500</v>
      </c>
      <c r="G25">
        <f>SUM(C$2:C25)</f>
        <v>13492.900000000001</v>
      </c>
      <c r="H25" s="13">
        <f t="shared" si="1"/>
        <v>0.56774679475041767</v>
      </c>
      <c r="I25" s="14">
        <f t="shared" si="2"/>
        <v>0.38923487544483987</v>
      </c>
      <c r="J25" s="16">
        <f t="shared" si="3"/>
        <v>5.5604982206405695E-2</v>
      </c>
      <c r="K25" s="15">
        <f t="shared" si="4"/>
        <v>4.2773063235696691E-3</v>
      </c>
      <c r="L25" s="20">
        <f t="shared" si="5"/>
        <v>0.99572269367643029</v>
      </c>
      <c r="M25" s="20">
        <f t="shared" si="6"/>
        <v>0.99572269367643029</v>
      </c>
      <c r="N25" s="9" t="s">
        <v>19</v>
      </c>
      <c r="O25">
        <f t="shared" si="8"/>
        <v>0.96</v>
      </c>
      <c r="P25" t="s">
        <v>124</v>
      </c>
    </row>
    <row r="26" spans="1:32" x14ac:dyDescent="0.25">
      <c r="A26">
        <f t="shared" si="7"/>
        <v>25</v>
      </c>
      <c r="B26" s="6" t="s">
        <v>28</v>
      </c>
      <c r="C26" s="7">
        <v>1872</v>
      </c>
      <c r="D26" s="7">
        <v>1872</v>
      </c>
      <c r="E26" s="10">
        <v>9.1880341880341874</v>
      </c>
      <c r="F26" s="1">
        <f t="shared" si="0"/>
        <v>17200</v>
      </c>
      <c r="G26">
        <f>SUM(C$2:C26)</f>
        <v>15364.900000000001</v>
      </c>
      <c r="H26" s="13">
        <f t="shared" si="1"/>
        <v>0.64651577693903406</v>
      </c>
      <c r="I26" s="14">
        <f t="shared" si="2"/>
        <v>0.38283475783475779</v>
      </c>
      <c r="J26" s="16">
        <f t="shared" si="3"/>
        <v>5.4690679690679686E-2</v>
      </c>
      <c r="K26" s="15">
        <f t="shared" si="4"/>
        <v>4.2069753608215141E-3</v>
      </c>
      <c r="L26" s="20">
        <f t="shared" si="5"/>
        <v>0.99579302463917851</v>
      </c>
      <c r="M26" s="20">
        <f t="shared" si="6"/>
        <v>0.99579302463917851</v>
      </c>
      <c r="N26" s="7" t="s">
        <v>52</v>
      </c>
      <c r="O26">
        <f t="shared" si="8"/>
        <v>1</v>
      </c>
      <c r="P26" t="s">
        <v>136</v>
      </c>
    </row>
    <row r="27" spans="1:32" x14ac:dyDescent="0.25">
      <c r="A27">
        <f t="shared" si="7"/>
        <v>26</v>
      </c>
      <c r="B27" s="8" t="s">
        <v>46</v>
      </c>
      <c r="C27" s="9">
        <v>469</v>
      </c>
      <c r="D27" s="9">
        <v>440</v>
      </c>
      <c r="E27" s="11">
        <v>8.3582089552238799</v>
      </c>
      <c r="F27" s="1">
        <f t="shared" si="0"/>
        <v>3919.9999999999995</v>
      </c>
      <c r="G27">
        <f>SUM(C$2:C27)</f>
        <v>15833.900000000001</v>
      </c>
      <c r="H27" s="13">
        <f t="shared" si="1"/>
        <v>0.66625009993393847</v>
      </c>
      <c r="I27" s="14">
        <f t="shared" si="2"/>
        <v>0.34825870646766166</v>
      </c>
      <c r="J27" s="16">
        <f t="shared" si="3"/>
        <v>4.9751243781094523E-2</v>
      </c>
      <c r="K27" s="15">
        <f t="shared" si="4"/>
        <v>3.8270187523918864E-3</v>
      </c>
      <c r="L27" s="20">
        <f t="shared" si="5"/>
        <v>0.99617298124760811</v>
      </c>
      <c r="M27" s="20">
        <f t="shared" si="6"/>
        <v>0.99617298124760811</v>
      </c>
      <c r="N27" s="9" t="s">
        <v>3</v>
      </c>
      <c r="O27">
        <f t="shared" si="8"/>
        <v>0.94</v>
      </c>
      <c r="P27" t="s">
        <v>137</v>
      </c>
    </row>
    <row r="28" spans="1:32" x14ac:dyDescent="0.25">
      <c r="A28">
        <f t="shared" si="7"/>
        <v>27</v>
      </c>
      <c r="B28" s="6" t="s">
        <v>9</v>
      </c>
      <c r="C28" s="10">
        <v>199.8</v>
      </c>
      <c r="D28" s="7">
        <v>200</v>
      </c>
      <c r="E28" s="10">
        <v>8.0080080080080069</v>
      </c>
      <c r="F28" s="1">
        <f t="shared" si="0"/>
        <v>1599.9999999999998</v>
      </c>
      <c r="G28">
        <f>SUM(C$2:C28)</f>
        <v>16033.7</v>
      </c>
      <c r="H28" s="13">
        <f t="shared" si="1"/>
        <v>0.67465717399445424</v>
      </c>
      <c r="I28" s="14">
        <f t="shared" si="2"/>
        <v>0.33366700033366697</v>
      </c>
      <c r="J28" s="16">
        <f t="shared" si="3"/>
        <v>4.7666714333380995E-2</v>
      </c>
      <c r="K28" s="15">
        <f t="shared" si="4"/>
        <v>3.6666703333369998E-3</v>
      </c>
      <c r="L28" s="20">
        <f t="shared" si="5"/>
        <v>0.99633332966666299</v>
      </c>
      <c r="M28" s="20">
        <f t="shared" si="6"/>
        <v>0.99633332966666299</v>
      </c>
      <c r="N28" s="7" t="s">
        <v>2</v>
      </c>
      <c r="O28">
        <f t="shared" si="8"/>
        <v>1</v>
      </c>
      <c r="P28" t="s">
        <v>131</v>
      </c>
    </row>
    <row r="29" spans="1:32" x14ac:dyDescent="0.25">
      <c r="A29">
        <f t="shared" si="7"/>
        <v>28</v>
      </c>
      <c r="B29" s="8" t="s">
        <v>54</v>
      </c>
      <c r="C29" s="9">
        <v>3003</v>
      </c>
      <c r="D29" s="9">
        <v>2880</v>
      </c>
      <c r="E29" s="11">
        <v>7.8921078921078918</v>
      </c>
      <c r="F29" s="1">
        <f t="shared" si="0"/>
        <v>23700</v>
      </c>
      <c r="G29">
        <f>SUM(C$2:C29)</f>
        <v>19036.7</v>
      </c>
      <c r="H29" s="13">
        <f t="shared" si="1"/>
        <v>0.80101574958869293</v>
      </c>
      <c r="I29" s="14">
        <f t="shared" si="2"/>
        <v>0.32883782883782881</v>
      </c>
      <c r="J29" s="16">
        <f t="shared" si="3"/>
        <v>4.6976832691118402E-2</v>
      </c>
      <c r="K29" s="15">
        <f t="shared" si="4"/>
        <v>3.6136025147014156E-3</v>
      </c>
      <c r="L29" s="20">
        <f t="shared" si="5"/>
        <v>0.99638639748529856</v>
      </c>
      <c r="M29" s="20">
        <f t="shared" si="6"/>
        <v>0.99638639748529856</v>
      </c>
      <c r="N29" s="9" t="s">
        <v>43</v>
      </c>
      <c r="O29">
        <f t="shared" si="8"/>
        <v>0.96</v>
      </c>
      <c r="P29" t="s">
        <v>123</v>
      </c>
    </row>
    <row r="30" spans="1:32" x14ac:dyDescent="0.25">
      <c r="A30">
        <f t="shared" si="7"/>
        <v>29</v>
      </c>
      <c r="B30" s="6" t="s">
        <v>26</v>
      </c>
      <c r="C30" s="7">
        <v>576</v>
      </c>
      <c r="D30" s="7">
        <v>576</v>
      </c>
      <c r="E30" s="10">
        <v>7.1180555555555554</v>
      </c>
      <c r="F30" s="1">
        <f t="shared" si="0"/>
        <v>4100</v>
      </c>
      <c r="G30">
        <f>SUM(C$2:C30)</f>
        <v>19612.7</v>
      </c>
      <c r="H30" s="13">
        <f t="shared" si="1"/>
        <v>0.82525235949288256</v>
      </c>
      <c r="I30" s="14">
        <f t="shared" si="2"/>
        <v>0.29658564814814814</v>
      </c>
      <c r="J30" s="16">
        <f t="shared" si="3"/>
        <v>4.2369378306878307E-2</v>
      </c>
      <c r="K30" s="15">
        <f t="shared" si="4"/>
        <v>3.2591829466829467E-3</v>
      </c>
      <c r="L30" s="20">
        <f t="shared" si="5"/>
        <v>0.99674081705331707</v>
      </c>
      <c r="M30" s="20">
        <f t="shared" si="6"/>
        <v>0.99674081705331707</v>
      </c>
      <c r="N30" s="7" t="s">
        <v>27</v>
      </c>
      <c r="O30">
        <f t="shared" si="8"/>
        <v>1</v>
      </c>
      <c r="P30" t="s">
        <v>132</v>
      </c>
    </row>
    <row r="31" spans="1:32" x14ac:dyDescent="0.25">
      <c r="A31">
        <f t="shared" si="7"/>
        <v>30</v>
      </c>
      <c r="B31" s="8" t="s">
        <v>5</v>
      </c>
      <c r="C31" s="9">
        <v>45</v>
      </c>
      <c r="D31" s="9">
        <v>45</v>
      </c>
      <c r="E31" s="11">
        <v>6.5333333333333332</v>
      </c>
      <c r="F31" s="1">
        <f t="shared" si="0"/>
        <v>294</v>
      </c>
      <c r="G31">
        <f>SUM(C$2:C31)</f>
        <v>19657.7</v>
      </c>
      <c r="H31" s="13">
        <f t="shared" si="1"/>
        <v>0.82714584464164742</v>
      </c>
      <c r="I31" s="14">
        <f t="shared" si="2"/>
        <v>0.2722222222222222</v>
      </c>
      <c r="J31" s="16">
        <f t="shared" si="3"/>
        <v>3.8888888888888883E-2</v>
      </c>
      <c r="K31" s="15">
        <f t="shared" si="4"/>
        <v>2.9914529914529908E-3</v>
      </c>
      <c r="L31" s="20">
        <f t="shared" si="5"/>
        <v>0.99700854700854702</v>
      </c>
      <c r="M31" s="20">
        <f t="shared" si="6"/>
        <v>0.99700854700854702</v>
      </c>
      <c r="N31" s="9" t="s">
        <v>7</v>
      </c>
      <c r="O31">
        <f t="shared" si="8"/>
        <v>1</v>
      </c>
      <c r="P31" t="s">
        <v>134</v>
      </c>
    </row>
    <row r="32" spans="1:32" x14ac:dyDescent="0.25">
      <c r="A32">
        <f t="shared" si="7"/>
        <v>31</v>
      </c>
      <c r="B32" s="6" t="s">
        <v>22</v>
      </c>
      <c r="C32" s="7">
        <v>453</v>
      </c>
      <c r="D32" s="7">
        <v>420</v>
      </c>
      <c r="E32" s="10">
        <v>6.1810154525386309</v>
      </c>
      <c r="F32" s="1">
        <f t="shared" si="0"/>
        <v>2800</v>
      </c>
      <c r="G32">
        <f>SUM(C$2:C32)</f>
        <v>20110.7</v>
      </c>
      <c r="H32" s="13">
        <f t="shared" si="1"/>
        <v>0.84620692847254653</v>
      </c>
      <c r="I32" s="14">
        <f t="shared" si="2"/>
        <v>0.25754231052244297</v>
      </c>
      <c r="J32" s="16">
        <f t="shared" si="3"/>
        <v>3.679175864606328E-2</v>
      </c>
      <c r="K32" s="15">
        <f t="shared" si="4"/>
        <v>2.8301352804664063E-3</v>
      </c>
      <c r="L32" s="20">
        <f t="shared" si="5"/>
        <v>0.99716986471953362</v>
      </c>
      <c r="M32" s="20">
        <f t="shared" si="6"/>
        <v>0.99716986471953362</v>
      </c>
      <c r="N32" s="7" t="s">
        <v>23</v>
      </c>
      <c r="O32">
        <f t="shared" si="8"/>
        <v>0.93</v>
      </c>
      <c r="P32" t="s">
        <v>142</v>
      </c>
    </row>
    <row r="33" spans="1:16" x14ac:dyDescent="0.25">
      <c r="A33">
        <f t="shared" si="7"/>
        <v>32</v>
      </c>
      <c r="B33" s="8" t="s">
        <v>44</v>
      </c>
      <c r="C33" s="9">
        <v>600</v>
      </c>
      <c r="D33" s="9">
        <v>600</v>
      </c>
      <c r="E33" s="11">
        <v>6.15</v>
      </c>
      <c r="F33" s="1">
        <f t="shared" si="0"/>
        <v>3690</v>
      </c>
      <c r="G33">
        <f>SUM(C$2:C33)</f>
        <v>20710.7</v>
      </c>
      <c r="H33" s="13">
        <f t="shared" si="1"/>
        <v>0.87145339712274417</v>
      </c>
      <c r="I33" s="14">
        <f t="shared" si="2"/>
        <v>0.25625000000000003</v>
      </c>
      <c r="J33" s="16">
        <f t="shared" si="3"/>
        <v>3.6607142857142859E-2</v>
      </c>
      <c r="K33" s="15">
        <f t="shared" si="4"/>
        <v>2.8159340659340659E-3</v>
      </c>
      <c r="L33" s="20">
        <f t="shared" si="5"/>
        <v>0.99718406593406594</v>
      </c>
      <c r="M33" s="20">
        <f t="shared" si="6"/>
        <v>0.99718406593406594</v>
      </c>
      <c r="N33" s="9" t="s">
        <v>45</v>
      </c>
      <c r="O33">
        <f t="shared" si="8"/>
        <v>1</v>
      </c>
      <c r="P33" t="s">
        <v>124</v>
      </c>
    </row>
    <row r="34" spans="1:16" x14ac:dyDescent="0.25">
      <c r="A34">
        <f t="shared" si="7"/>
        <v>33</v>
      </c>
      <c r="B34" s="6" t="s">
        <v>20</v>
      </c>
      <c r="C34" s="7">
        <v>450</v>
      </c>
      <c r="D34" s="7">
        <v>440</v>
      </c>
      <c r="E34" s="10">
        <v>6.1111111111111107</v>
      </c>
      <c r="F34" s="1">
        <f t="shared" si="0"/>
        <v>2750</v>
      </c>
      <c r="G34">
        <f>SUM(C$2:C34)</f>
        <v>21160.7</v>
      </c>
      <c r="H34" s="13">
        <f t="shared" si="1"/>
        <v>0.89038824861039234</v>
      </c>
      <c r="I34" s="14">
        <f t="shared" si="2"/>
        <v>0.25462962962962959</v>
      </c>
      <c r="J34" s="16">
        <f t="shared" si="3"/>
        <v>3.6375661375661374E-2</v>
      </c>
      <c r="K34" s="15">
        <f t="shared" si="4"/>
        <v>2.7981277981277979E-3</v>
      </c>
      <c r="L34" s="20">
        <f t="shared" si="5"/>
        <v>0.99720187220187217</v>
      </c>
      <c r="M34" s="20">
        <f t="shared" si="6"/>
        <v>0.99720187220187217</v>
      </c>
      <c r="N34" s="7" t="s">
        <v>21</v>
      </c>
      <c r="O34">
        <f t="shared" si="8"/>
        <v>0.98</v>
      </c>
      <c r="P34" t="s">
        <v>141</v>
      </c>
    </row>
    <row r="35" spans="1:16" x14ac:dyDescent="0.25">
      <c r="A35">
        <f t="shared" si="7"/>
        <v>34</v>
      </c>
      <c r="B35" s="8" t="s">
        <v>42</v>
      </c>
      <c r="C35" s="9">
        <v>560</v>
      </c>
      <c r="D35" s="9">
        <v>100</v>
      </c>
      <c r="E35" s="11">
        <v>5.9464285714285712</v>
      </c>
      <c r="F35" s="1">
        <f t="shared" si="0"/>
        <v>3330</v>
      </c>
      <c r="G35">
        <f>SUM(C$2:C35)</f>
        <v>21720.7</v>
      </c>
      <c r="H35" s="13">
        <f t="shared" si="1"/>
        <v>0.91395161935057667</v>
      </c>
      <c r="I35" s="14">
        <f t="shared" si="2"/>
        <v>0.24776785714285712</v>
      </c>
      <c r="J35" s="16">
        <f t="shared" si="3"/>
        <v>3.53954081632653E-2</v>
      </c>
      <c r="K35" s="15">
        <f t="shared" si="4"/>
        <v>2.7227237048665616E-3</v>
      </c>
      <c r="L35" s="20">
        <f t="shared" si="5"/>
        <v>0.99727727629513341</v>
      </c>
      <c r="M35" s="20">
        <f t="shared" si="6"/>
        <v>0.99727727629513341</v>
      </c>
      <c r="N35" s="9" t="s">
        <v>43</v>
      </c>
      <c r="O35">
        <f t="shared" si="8"/>
        <v>0.18</v>
      </c>
      <c r="P35" t="s">
        <v>123</v>
      </c>
    </row>
    <row r="36" spans="1:16" x14ac:dyDescent="0.25">
      <c r="A36">
        <f t="shared" si="7"/>
        <v>35</v>
      </c>
      <c r="B36" s="6" t="s">
        <v>16</v>
      </c>
      <c r="C36" s="7">
        <v>1095</v>
      </c>
      <c r="D36" s="7">
        <v>903</v>
      </c>
      <c r="E36" s="10">
        <v>5.5525114155251138</v>
      </c>
      <c r="F36" s="1">
        <f t="shared" si="0"/>
        <v>6080</v>
      </c>
      <c r="G36">
        <f>SUM(C$2:C36)</f>
        <v>22815.7</v>
      </c>
      <c r="H36" s="13">
        <f t="shared" si="1"/>
        <v>0.96002642463718724</v>
      </c>
      <c r="I36" s="14">
        <f t="shared" si="2"/>
        <v>0.23135464231354641</v>
      </c>
      <c r="J36" s="16">
        <f t="shared" si="3"/>
        <v>3.3050663187649487E-2</v>
      </c>
      <c r="K36" s="15">
        <f t="shared" si="4"/>
        <v>2.5423587067422682E-3</v>
      </c>
      <c r="L36" s="20">
        <f t="shared" si="5"/>
        <v>0.99745764129325776</v>
      </c>
      <c r="M36" s="20">
        <f t="shared" si="6"/>
        <v>0.99745764129325776</v>
      </c>
      <c r="N36" s="7" t="s">
        <v>17</v>
      </c>
      <c r="O36">
        <f t="shared" si="8"/>
        <v>0.82</v>
      </c>
      <c r="P36" t="s">
        <v>127</v>
      </c>
    </row>
    <row r="37" spans="1:16" x14ac:dyDescent="0.25">
      <c r="A37">
        <f t="shared" si="7"/>
        <v>36</v>
      </c>
      <c r="B37" s="8" t="s">
        <v>37</v>
      </c>
      <c r="C37" s="9">
        <v>58</v>
      </c>
      <c r="D37" s="9">
        <v>31</v>
      </c>
      <c r="E37" s="11">
        <v>4.8275862068965516</v>
      </c>
      <c r="F37" s="1">
        <f t="shared" si="0"/>
        <v>280</v>
      </c>
      <c r="G37">
        <f>SUM(C$2:C37)</f>
        <v>22873.7</v>
      </c>
      <c r="H37" s="13">
        <f t="shared" si="1"/>
        <v>0.96246691660670636</v>
      </c>
      <c r="I37" s="14">
        <f t="shared" si="2"/>
        <v>0.20114942528735633</v>
      </c>
      <c r="J37" s="16">
        <f t="shared" si="3"/>
        <v>2.8735632183908046E-2</v>
      </c>
      <c r="K37" s="15">
        <f t="shared" si="4"/>
        <v>2.2104332449160036E-3</v>
      </c>
      <c r="L37" s="20">
        <f t="shared" si="5"/>
        <v>0.99778956675508401</v>
      </c>
      <c r="M37" s="20">
        <f t="shared" si="6"/>
        <v>0.99778956675508401</v>
      </c>
      <c r="N37" s="9" t="s">
        <v>21</v>
      </c>
      <c r="O37">
        <f t="shared" si="8"/>
        <v>0.53</v>
      </c>
      <c r="P37" t="s">
        <v>129</v>
      </c>
    </row>
    <row r="38" spans="1:16" x14ac:dyDescent="0.25">
      <c r="A38">
        <f t="shared" si="7"/>
        <v>37</v>
      </c>
      <c r="B38" s="6" t="s">
        <v>11</v>
      </c>
      <c r="C38" s="7">
        <v>324</v>
      </c>
      <c r="D38" s="7">
        <v>324</v>
      </c>
      <c r="E38" s="10">
        <v>4.4753086419753085</v>
      </c>
      <c r="F38" s="1">
        <f t="shared" si="0"/>
        <v>1450</v>
      </c>
      <c r="G38">
        <f>SUM(C$2:C38)</f>
        <v>23197.7</v>
      </c>
      <c r="H38" s="13">
        <f t="shared" si="1"/>
        <v>0.97610000967781296</v>
      </c>
      <c r="I38" s="14">
        <f t="shared" si="2"/>
        <v>0.18647119341563786</v>
      </c>
      <c r="J38" s="16">
        <f t="shared" si="3"/>
        <v>2.6638741916519694E-2</v>
      </c>
      <c r="K38" s="15">
        <f t="shared" si="4"/>
        <v>2.0491339935784381E-3</v>
      </c>
      <c r="L38" s="20">
        <f t="shared" si="5"/>
        <v>0.99795086600642158</v>
      </c>
      <c r="M38" s="20">
        <f t="shared" si="6"/>
        <v>0.99795086600642158</v>
      </c>
      <c r="N38" s="7" t="s">
        <v>12</v>
      </c>
      <c r="O38">
        <f t="shared" si="8"/>
        <v>1</v>
      </c>
      <c r="P38" t="s">
        <v>126</v>
      </c>
    </row>
    <row r="39" spans="1:16" x14ac:dyDescent="0.25">
      <c r="A39">
        <f t="shared" si="7"/>
        <v>38</v>
      </c>
      <c r="B39" s="8" t="s">
        <v>14</v>
      </c>
      <c r="C39" s="9">
        <v>500</v>
      </c>
      <c r="D39" s="9">
        <v>250</v>
      </c>
      <c r="E39" s="11">
        <v>3.78</v>
      </c>
      <c r="F39" s="1">
        <f t="shared" si="0"/>
        <v>1890</v>
      </c>
      <c r="G39">
        <f>SUM(C$2:C39)</f>
        <v>23697.7</v>
      </c>
      <c r="H39" s="13">
        <f t="shared" si="1"/>
        <v>0.99713873355297766</v>
      </c>
      <c r="I39" s="14">
        <f t="shared" si="2"/>
        <v>0.1575</v>
      </c>
      <c r="J39" s="16">
        <f t="shared" si="3"/>
        <v>2.2499999999999999E-2</v>
      </c>
      <c r="K39" s="15">
        <f t="shared" si="4"/>
        <v>1.7307692307692306E-3</v>
      </c>
      <c r="L39" s="20">
        <f t="shared" si="5"/>
        <v>0.9982692307692308</v>
      </c>
      <c r="M39" s="20">
        <f t="shared" si="6"/>
        <v>0.9982692307692308</v>
      </c>
      <c r="N39" s="9" t="s">
        <v>15</v>
      </c>
      <c r="O39">
        <f t="shared" si="8"/>
        <v>0.5</v>
      </c>
      <c r="P39" t="s">
        <v>127</v>
      </c>
    </row>
    <row r="40" spans="1:16" x14ac:dyDescent="0.25">
      <c r="A40">
        <f t="shared" si="7"/>
        <v>39</v>
      </c>
      <c r="B40" s="6" t="s">
        <v>34</v>
      </c>
      <c r="C40" s="7">
        <v>68</v>
      </c>
      <c r="D40" s="7">
        <v>28</v>
      </c>
      <c r="E40" s="10">
        <v>2.7941176470588234</v>
      </c>
      <c r="F40" s="1">
        <f t="shared" si="0"/>
        <v>190</v>
      </c>
      <c r="G40">
        <f>SUM(C$2:C40)</f>
        <v>23765.7</v>
      </c>
      <c r="H40" s="13">
        <f t="shared" si="1"/>
        <v>1</v>
      </c>
      <c r="I40" s="14">
        <f t="shared" si="2"/>
        <v>0.11642156862745097</v>
      </c>
      <c r="J40" s="16">
        <f t="shared" si="3"/>
        <v>1.6631652661064426E-2</v>
      </c>
      <c r="K40" s="15">
        <f t="shared" si="4"/>
        <v>1.2793578970049558E-3</v>
      </c>
      <c r="L40" s="20">
        <f t="shared" si="5"/>
        <v>0.99872064210299505</v>
      </c>
      <c r="M40" s="20">
        <f t="shared" si="6"/>
        <v>0.99872064210299505</v>
      </c>
      <c r="N40" s="7" t="s">
        <v>35</v>
      </c>
      <c r="O40">
        <f t="shared" si="8"/>
        <v>0.41</v>
      </c>
      <c r="P40" t="s">
        <v>130</v>
      </c>
    </row>
  </sheetData>
  <autoFilter ref="B1:P1" xr:uid="{DAB14E69-2E46-4421-9AD4-3EBBDA077AE5}">
    <sortState xmlns:xlrd2="http://schemas.microsoft.com/office/spreadsheetml/2017/richdata2" ref="B2:P40">
      <sortCondition ref="L1"/>
    </sortState>
  </autoFilter>
  <conditionalFormatting sqref="E2:E15 E17:E40">
    <cfRule type="cellIs" dxfId="2" priority="3" operator="greaterThan">
      <formula>12</formula>
    </cfRule>
  </conditionalFormatting>
  <conditionalFormatting sqref="E2:E40">
    <cfRule type="cellIs" dxfId="1" priority="1" operator="equal">
      <formula>12</formula>
    </cfRule>
    <cfRule type="cellIs" dxfId="0" priority="2" operator="equal">
      <formula>0</formula>
    </cfRule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 PSH Fleet</vt:lpstr>
      <vt:lpstr>dur</vt:lpstr>
      <vt:lpstr>storinmaxfrac</vt:lpstr>
      <vt:lpstr>Operational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Law</dc:creator>
  <cp:lastModifiedBy>Cohen, Stuart</cp:lastModifiedBy>
  <dcterms:created xsi:type="dcterms:W3CDTF">2020-01-14T16:30:19Z</dcterms:created>
  <dcterms:modified xsi:type="dcterms:W3CDTF">2024-04-29T18:45:01Z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2024-04-29T18:45:01Z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88701d5b-8619-428b-adfb-c8f2d0fe4f0f</vt:lpwstr>
  </property>
  <property fmtid="{D5CDD505-2E9C-101B-9397-08002B2CF9AE}" pid="8" name="MSIP_Label_95965d95-ecc0-4720-b759-1f33c42ed7da_ContentBits">
    <vt:lpwstr>0</vt:lpwstr>
  </property>
</Properties>
</file>