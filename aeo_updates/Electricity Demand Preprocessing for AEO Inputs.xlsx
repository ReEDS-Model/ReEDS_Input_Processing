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ReEDS\ReEDS-2.0_Input_Processing\AEO_Updates\"/>
    </mc:Choice>
  </mc:AlternateContent>
  <xr:revisionPtr revIDLastSave="0" documentId="13_ncr:1_{A50454DC-3673-4095-949F-7CC009A6A60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Adding DGPV to Demand" sheetId="12" r:id="rId1"/>
    <sheet name="Demand by Case" sheetId="4" r:id="rId2"/>
    <sheet name="Demand Ratios" sheetId="6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" i="4" l="1"/>
  <c r="E12" i="4"/>
  <c r="E22" i="4" s="1"/>
  <c r="D13" i="4"/>
  <c r="E13" i="4"/>
  <c r="D14" i="4"/>
  <c r="E14" i="4"/>
  <c r="D15" i="4"/>
  <c r="D25" i="4" s="1"/>
  <c r="E15" i="4"/>
  <c r="D16" i="4"/>
  <c r="E16" i="4"/>
  <c r="D17" i="4"/>
  <c r="E17" i="4"/>
  <c r="D18" i="4"/>
  <c r="E18" i="4"/>
  <c r="D19" i="4"/>
  <c r="D29" i="4" s="1"/>
  <c r="E19" i="4"/>
  <c r="D20" i="4"/>
  <c r="E20" i="4"/>
  <c r="D21" i="4"/>
  <c r="E21" i="4"/>
  <c r="D22" i="4"/>
  <c r="D23" i="4"/>
  <c r="E23" i="4"/>
  <c r="D24" i="4"/>
  <c r="E24" i="4"/>
  <c r="E25" i="4"/>
  <c r="D26" i="4"/>
  <c r="E26" i="4"/>
  <c r="D27" i="4"/>
  <c r="E27" i="4"/>
  <c r="D28" i="4"/>
  <c r="E28" i="4"/>
  <c r="E29" i="4"/>
  <c r="D30" i="4"/>
  <c r="E30" i="4"/>
  <c r="D31" i="4"/>
  <c r="E31" i="4"/>
  <c r="C22" i="4"/>
  <c r="C23" i="4"/>
  <c r="C24" i="4"/>
  <c r="C25" i="4"/>
  <c r="C26" i="4"/>
  <c r="C27" i="4"/>
  <c r="C28" i="4"/>
  <c r="C29" i="4"/>
  <c r="C30" i="4"/>
  <c r="C31" i="4"/>
  <c r="C13" i="4"/>
  <c r="C14" i="4"/>
  <c r="C15" i="4"/>
  <c r="C16" i="4"/>
  <c r="C17" i="4"/>
  <c r="C18" i="4"/>
  <c r="C19" i="4"/>
  <c r="C20" i="4"/>
  <c r="C21" i="4"/>
  <c r="C12" i="4"/>
  <c r="AD80" i="12" l="1"/>
  <c r="AI17" i="4" s="1"/>
  <c r="AI17" i="6" l="1"/>
  <c r="D32" i="12" l="1"/>
  <c r="D2" i="4" s="1"/>
  <c r="E32" i="12"/>
  <c r="E2" i="4" s="1"/>
  <c r="F32" i="12"/>
  <c r="F2" i="4" s="1"/>
  <c r="F12" i="4" s="1"/>
  <c r="F22" i="4" s="1"/>
  <c r="G32" i="12"/>
  <c r="G2" i="4" s="1"/>
  <c r="G12" i="4" s="1"/>
  <c r="G22" i="4" s="1"/>
  <c r="H32" i="12"/>
  <c r="H2" i="4" s="1"/>
  <c r="H12" i="4" s="1"/>
  <c r="H22" i="4" s="1"/>
  <c r="I32" i="12"/>
  <c r="I2" i="4" s="1"/>
  <c r="I12" i="4" s="1"/>
  <c r="I22" i="4" s="1"/>
  <c r="J32" i="12"/>
  <c r="J2" i="4" s="1"/>
  <c r="J12" i="4" s="1"/>
  <c r="J22" i="4" s="1"/>
  <c r="K32" i="12"/>
  <c r="K2" i="4" s="1"/>
  <c r="K12" i="4" s="1"/>
  <c r="K22" i="4" s="1"/>
  <c r="L32" i="12"/>
  <c r="L2" i="4" s="1"/>
  <c r="L12" i="4" s="1"/>
  <c r="L22" i="4" s="1"/>
  <c r="M32" i="12"/>
  <c r="M2" i="4" s="1"/>
  <c r="M12" i="4" s="1"/>
  <c r="M22" i="4" s="1"/>
  <c r="N32" i="12"/>
  <c r="N2" i="4" s="1"/>
  <c r="N12" i="4" s="1"/>
  <c r="N22" i="4" s="1"/>
  <c r="O32" i="12"/>
  <c r="O2" i="4" s="1"/>
  <c r="O12" i="4" s="1"/>
  <c r="O22" i="4" s="1"/>
  <c r="P32" i="12"/>
  <c r="P2" i="4" s="1"/>
  <c r="Q32" i="12"/>
  <c r="Q2" i="4" s="1"/>
  <c r="R32" i="12"/>
  <c r="R2" i="4" s="1"/>
  <c r="S32" i="12"/>
  <c r="S2" i="4" s="1"/>
  <c r="T32" i="12"/>
  <c r="T2" i="4" s="1"/>
  <c r="U32" i="12"/>
  <c r="U2" i="4" s="1"/>
  <c r="V32" i="12"/>
  <c r="V2" i="4" s="1"/>
  <c r="W32" i="12"/>
  <c r="W2" i="4" s="1"/>
  <c r="X32" i="12"/>
  <c r="X2" i="4" s="1"/>
  <c r="Y32" i="12"/>
  <c r="Y2" i="4" s="1"/>
  <c r="Z32" i="12"/>
  <c r="Z2" i="4" s="1"/>
  <c r="AA32" i="12"/>
  <c r="AA2" i="4" s="1"/>
  <c r="AB32" i="12"/>
  <c r="AB2" i="4" s="1"/>
  <c r="AC32" i="12"/>
  <c r="AC2" i="4" s="1"/>
  <c r="AD32" i="12"/>
  <c r="AD2" i="4" s="1"/>
  <c r="AE32" i="12"/>
  <c r="AE2" i="4" s="1"/>
  <c r="AF32" i="12"/>
  <c r="AF2" i="4" s="1"/>
  <c r="AG32" i="12"/>
  <c r="AG2" i="4" s="1"/>
  <c r="D33" i="12"/>
  <c r="D3" i="4" s="1"/>
  <c r="E33" i="12"/>
  <c r="E3" i="4" s="1"/>
  <c r="F33" i="12"/>
  <c r="F3" i="4" s="1"/>
  <c r="F13" i="4" s="1"/>
  <c r="F23" i="4" s="1"/>
  <c r="G33" i="12"/>
  <c r="G3" i="4" s="1"/>
  <c r="G13" i="4" s="1"/>
  <c r="G23" i="4" s="1"/>
  <c r="H33" i="12"/>
  <c r="H3" i="4" s="1"/>
  <c r="H13" i="4" s="1"/>
  <c r="H23" i="4" s="1"/>
  <c r="I33" i="12"/>
  <c r="I3" i="4" s="1"/>
  <c r="I13" i="4" s="1"/>
  <c r="I23" i="4" s="1"/>
  <c r="J33" i="12"/>
  <c r="J3" i="4" s="1"/>
  <c r="J13" i="4" s="1"/>
  <c r="J23" i="4" s="1"/>
  <c r="K33" i="12"/>
  <c r="K3" i="4" s="1"/>
  <c r="K13" i="4" s="1"/>
  <c r="K23" i="4" s="1"/>
  <c r="L33" i="12"/>
  <c r="L3" i="4" s="1"/>
  <c r="L13" i="4" s="1"/>
  <c r="L23" i="4" s="1"/>
  <c r="M33" i="12"/>
  <c r="M3" i="4" s="1"/>
  <c r="M13" i="4" s="1"/>
  <c r="M23" i="4" s="1"/>
  <c r="N33" i="12"/>
  <c r="N3" i="4" s="1"/>
  <c r="N13" i="4" s="1"/>
  <c r="N23" i="4" s="1"/>
  <c r="O33" i="12"/>
  <c r="O3" i="4" s="1"/>
  <c r="O13" i="4" s="1"/>
  <c r="O23" i="4" s="1"/>
  <c r="P33" i="12"/>
  <c r="P3" i="4" s="1"/>
  <c r="Q33" i="12"/>
  <c r="Q3" i="4" s="1"/>
  <c r="R33" i="12"/>
  <c r="R3" i="4" s="1"/>
  <c r="S33" i="12"/>
  <c r="S3" i="4" s="1"/>
  <c r="T33" i="12"/>
  <c r="T3" i="4" s="1"/>
  <c r="U33" i="12"/>
  <c r="U3" i="4" s="1"/>
  <c r="V33" i="12"/>
  <c r="V3" i="4" s="1"/>
  <c r="W33" i="12"/>
  <c r="W3" i="4" s="1"/>
  <c r="X33" i="12"/>
  <c r="X3" i="4" s="1"/>
  <c r="Y33" i="12"/>
  <c r="Y3" i="4" s="1"/>
  <c r="Z33" i="12"/>
  <c r="Z3" i="4" s="1"/>
  <c r="AA33" i="12"/>
  <c r="AA3" i="4" s="1"/>
  <c r="AB33" i="12"/>
  <c r="AB3" i="4" s="1"/>
  <c r="AC33" i="12"/>
  <c r="AC3" i="4" s="1"/>
  <c r="AD33" i="12"/>
  <c r="AD3" i="4" s="1"/>
  <c r="AE33" i="12"/>
  <c r="AE3" i="4" s="1"/>
  <c r="AF33" i="12"/>
  <c r="AF3" i="4" s="1"/>
  <c r="AG33" i="12"/>
  <c r="AG3" i="4" s="1"/>
  <c r="D34" i="12"/>
  <c r="D4" i="4" s="1"/>
  <c r="E34" i="12"/>
  <c r="E4" i="4" s="1"/>
  <c r="F34" i="12"/>
  <c r="F4" i="4" s="1"/>
  <c r="F14" i="4" s="1"/>
  <c r="F24" i="4" s="1"/>
  <c r="G34" i="12"/>
  <c r="G4" i="4" s="1"/>
  <c r="G14" i="4" s="1"/>
  <c r="G24" i="4" s="1"/>
  <c r="H34" i="12"/>
  <c r="H4" i="4" s="1"/>
  <c r="H14" i="4" s="1"/>
  <c r="H24" i="4" s="1"/>
  <c r="I34" i="12"/>
  <c r="I4" i="4" s="1"/>
  <c r="I14" i="4" s="1"/>
  <c r="I24" i="4" s="1"/>
  <c r="J34" i="12"/>
  <c r="J4" i="4" s="1"/>
  <c r="J14" i="4" s="1"/>
  <c r="J24" i="4" s="1"/>
  <c r="K34" i="12"/>
  <c r="K4" i="4" s="1"/>
  <c r="K14" i="4" s="1"/>
  <c r="K24" i="4" s="1"/>
  <c r="L34" i="12"/>
  <c r="L4" i="4" s="1"/>
  <c r="L14" i="4" s="1"/>
  <c r="L24" i="4" s="1"/>
  <c r="M34" i="12"/>
  <c r="M4" i="4" s="1"/>
  <c r="M14" i="4" s="1"/>
  <c r="M24" i="4" s="1"/>
  <c r="N34" i="12"/>
  <c r="N4" i="4" s="1"/>
  <c r="N14" i="4" s="1"/>
  <c r="N24" i="4" s="1"/>
  <c r="O34" i="12"/>
  <c r="O4" i="4" s="1"/>
  <c r="O14" i="4" s="1"/>
  <c r="O24" i="4" s="1"/>
  <c r="P34" i="12"/>
  <c r="P4" i="4" s="1"/>
  <c r="Q34" i="12"/>
  <c r="Q4" i="4" s="1"/>
  <c r="R34" i="12"/>
  <c r="R4" i="4" s="1"/>
  <c r="S34" i="12"/>
  <c r="S4" i="4" s="1"/>
  <c r="T34" i="12"/>
  <c r="T4" i="4" s="1"/>
  <c r="U34" i="12"/>
  <c r="U4" i="4" s="1"/>
  <c r="V34" i="12"/>
  <c r="V4" i="4" s="1"/>
  <c r="W34" i="12"/>
  <c r="W4" i="4" s="1"/>
  <c r="X34" i="12"/>
  <c r="X4" i="4" s="1"/>
  <c r="Y34" i="12"/>
  <c r="Y4" i="4" s="1"/>
  <c r="Z34" i="12"/>
  <c r="Z4" i="4" s="1"/>
  <c r="AA34" i="12"/>
  <c r="AA4" i="4" s="1"/>
  <c r="AB34" i="12"/>
  <c r="AB4" i="4" s="1"/>
  <c r="AC34" i="12"/>
  <c r="AC4" i="4" s="1"/>
  <c r="AD34" i="12"/>
  <c r="AD4" i="4" s="1"/>
  <c r="AE34" i="12"/>
  <c r="AE4" i="4" s="1"/>
  <c r="AF34" i="12"/>
  <c r="AF4" i="4" s="1"/>
  <c r="AG34" i="12"/>
  <c r="AG4" i="4" s="1"/>
  <c r="D35" i="12"/>
  <c r="D5" i="4" s="1"/>
  <c r="E35" i="12"/>
  <c r="E5" i="4" s="1"/>
  <c r="F35" i="12"/>
  <c r="F5" i="4" s="1"/>
  <c r="F15" i="4" s="1"/>
  <c r="F25" i="4" s="1"/>
  <c r="G35" i="12"/>
  <c r="G5" i="4" s="1"/>
  <c r="G15" i="4" s="1"/>
  <c r="G25" i="4" s="1"/>
  <c r="H35" i="12"/>
  <c r="H5" i="4" s="1"/>
  <c r="H15" i="4" s="1"/>
  <c r="H25" i="4" s="1"/>
  <c r="I35" i="12"/>
  <c r="I5" i="4" s="1"/>
  <c r="I15" i="4" s="1"/>
  <c r="I25" i="4" s="1"/>
  <c r="J35" i="12"/>
  <c r="J5" i="4" s="1"/>
  <c r="J15" i="4" s="1"/>
  <c r="J25" i="4" s="1"/>
  <c r="K35" i="12"/>
  <c r="K5" i="4" s="1"/>
  <c r="K15" i="4" s="1"/>
  <c r="K25" i="4" s="1"/>
  <c r="L35" i="12"/>
  <c r="L5" i="4" s="1"/>
  <c r="L15" i="4" s="1"/>
  <c r="L25" i="4" s="1"/>
  <c r="M35" i="12"/>
  <c r="M5" i="4" s="1"/>
  <c r="M15" i="4" s="1"/>
  <c r="M25" i="4" s="1"/>
  <c r="N35" i="12"/>
  <c r="N5" i="4" s="1"/>
  <c r="N15" i="4" s="1"/>
  <c r="N25" i="4" s="1"/>
  <c r="O35" i="12"/>
  <c r="O5" i="4" s="1"/>
  <c r="O15" i="4" s="1"/>
  <c r="O25" i="4" s="1"/>
  <c r="P35" i="12"/>
  <c r="P5" i="4" s="1"/>
  <c r="Q35" i="12"/>
  <c r="Q5" i="4" s="1"/>
  <c r="R35" i="12"/>
  <c r="R5" i="4" s="1"/>
  <c r="S35" i="12"/>
  <c r="S5" i="4" s="1"/>
  <c r="T35" i="12"/>
  <c r="T5" i="4" s="1"/>
  <c r="U35" i="12"/>
  <c r="U5" i="4" s="1"/>
  <c r="V35" i="12"/>
  <c r="V5" i="4" s="1"/>
  <c r="W35" i="12"/>
  <c r="W5" i="4" s="1"/>
  <c r="X35" i="12"/>
  <c r="X5" i="4" s="1"/>
  <c r="Y35" i="12"/>
  <c r="Y5" i="4" s="1"/>
  <c r="Z35" i="12"/>
  <c r="Z5" i="4" s="1"/>
  <c r="AA35" i="12"/>
  <c r="AA5" i="4" s="1"/>
  <c r="AB35" i="12"/>
  <c r="AB5" i="4" s="1"/>
  <c r="AC35" i="12"/>
  <c r="AC5" i="4" s="1"/>
  <c r="AD35" i="12"/>
  <c r="AD5" i="4" s="1"/>
  <c r="AE35" i="12"/>
  <c r="AE5" i="4" s="1"/>
  <c r="AF35" i="12"/>
  <c r="AF5" i="4" s="1"/>
  <c r="AG35" i="12"/>
  <c r="AG5" i="4" s="1"/>
  <c r="D36" i="12"/>
  <c r="D6" i="4" s="1"/>
  <c r="E36" i="12"/>
  <c r="E6" i="4" s="1"/>
  <c r="F36" i="12"/>
  <c r="F6" i="4" s="1"/>
  <c r="F16" i="4" s="1"/>
  <c r="F26" i="4" s="1"/>
  <c r="G36" i="12"/>
  <c r="G6" i="4" s="1"/>
  <c r="G16" i="4" s="1"/>
  <c r="G26" i="4" s="1"/>
  <c r="H36" i="12"/>
  <c r="H6" i="4" s="1"/>
  <c r="H16" i="4" s="1"/>
  <c r="H26" i="4" s="1"/>
  <c r="I36" i="12"/>
  <c r="I6" i="4" s="1"/>
  <c r="I16" i="4" s="1"/>
  <c r="I26" i="4" s="1"/>
  <c r="J36" i="12"/>
  <c r="J6" i="4" s="1"/>
  <c r="J16" i="4" s="1"/>
  <c r="J26" i="4" s="1"/>
  <c r="K36" i="12"/>
  <c r="K6" i="4" s="1"/>
  <c r="K16" i="4" s="1"/>
  <c r="K26" i="4" s="1"/>
  <c r="L36" i="12"/>
  <c r="L6" i="4" s="1"/>
  <c r="L16" i="4" s="1"/>
  <c r="L26" i="4" s="1"/>
  <c r="M36" i="12"/>
  <c r="M6" i="4" s="1"/>
  <c r="M16" i="4" s="1"/>
  <c r="M26" i="4" s="1"/>
  <c r="N36" i="12"/>
  <c r="N6" i="4" s="1"/>
  <c r="N16" i="4" s="1"/>
  <c r="N26" i="4" s="1"/>
  <c r="O36" i="12"/>
  <c r="O6" i="4" s="1"/>
  <c r="O16" i="4" s="1"/>
  <c r="O26" i="4" s="1"/>
  <c r="P36" i="12"/>
  <c r="P6" i="4" s="1"/>
  <c r="Q36" i="12"/>
  <c r="Q6" i="4" s="1"/>
  <c r="R36" i="12"/>
  <c r="R6" i="4" s="1"/>
  <c r="S36" i="12"/>
  <c r="S6" i="4" s="1"/>
  <c r="T36" i="12"/>
  <c r="T6" i="4" s="1"/>
  <c r="U36" i="12"/>
  <c r="U6" i="4" s="1"/>
  <c r="V36" i="12"/>
  <c r="V6" i="4" s="1"/>
  <c r="W36" i="12"/>
  <c r="W6" i="4" s="1"/>
  <c r="X36" i="12"/>
  <c r="X6" i="4" s="1"/>
  <c r="Y36" i="12"/>
  <c r="Y6" i="4" s="1"/>
  <c r="Z36" i="12"/>
  <c r="Z6" i="4" s="1"/>
  <c r="AA36" i="12"/>
  <c r="AA6" i="4" s="1"/>
  <c r="AB36" i="12"/>
  <c r="AB6" i="4" s="1"/>
  <c r="AC36" i="12"/>
  <c r="AC6" i="4" s="1"/>
  <c r="AD36" i="12"/>
  <c r="AD6" i="4" s="1"/>
  <c r="AE36" i="12"/>
  <c r="AE6" i="4" s="1"/>
  <c r="AF36" i="12"/>
  <c r="AF6" i="4" s="1"/>
  <c r="AG36" i="12"/>
  <c r="AG6" i="4" s="1"/>
  <c r="D37" i="12"/>
  <c r="D7" i="4" s="1"/>
  <c r="E37" i="12"/>
  <c r="E7" i="4" s="1"/>
  <c r="F37" i="12"/>
  <c r="F7" i="4" s="1"/>
  <c r="F17" i="4" s="1"/>
  <c r="F27" i="4" s="1"/>
  <c r="G37" i="12"/>
  <c r="G7" i="4" s="1"/>
  <c r="G17" i="4" s="1"/>
  <c r="G27" i="4" s="1"/>
  <c r="H37" i="12"/>
  <c r="H7" i="4" s="1"/>
  <c r="H17" i="4" s="1"/>
  <c r="H27" i="4" s="1"/>
  <c r="I37" i="12"/>
  <c r="I7" i="4" s="1"/>
  <c r="I17" i="4" s="1"/>
  <c r="I27" i="4" s="1"/>
  <c r="J37" i="12"/>
  <c r="J7" i="4" s="1"/>
  <c r="J17" i="4" s="1"/>
  <c r="J27" i="4" s="1"/>
  <c r="K37" i="12"/>
  <c r="K7" i="4" s="1"/>
  <c r="K17" i="4" s="1"/>
  <c r="K27" i="4" s="1"/>
  <c r="L37" i="12"/>
  <c r="L7" i="4" s="1"/>
  <c r="L17" i="4" s="1"/>
  <c r="L27" i="4" s="1"/>
  <c r="M37" i="12"/>
  <c r="M7" i="4" s="1"/>
  <c r="M17" i="4" s="1"/>
  <c r="M27" i="4" s="1"/>
  <c r="N37" i="12"/>
  <c r="N7" i="4" s="1"/>
  <c r="N17" i="4" s="1"/>
  <c r="N27" i="4" s="1"/>
  <c r="O37" i="12"/>
  <c r="O7" i="4" s="1"/>
  <c r="O17" i="4" s="1"/>
  <c r="O27" i="4" s="1"/>
  <c r="P37" i="12"/>
  <c r="P7" i="4" s="1"/>
  <c r="Q37" i="12"/>
  <c r="Q7" i="4" s="1"/>
  <c r="R37" i="12"/>
  <c r="R7" i="4" s="1"/>
  <c r="S37" i="12"/>
  <c r="S7" i="4" s="1"/>
  <c r="T37" i="12"/>
  <c r="T7" i="4" s="1"/>
  <c r="U37" i="12"/>
  <c r="U7" i="4" s="1"/>
  <c r="V37" i="12"/>
  <c r="V7" i="4" s="1"/>
  <c r="W37" i="12"/>
  <c r="W7" i="4" s="1"/>
  <c r="X37" i="12"/>
  <c r="X7" i="4" s="1"/>
  <c r="Y37" i="12"/>
  <c r="Y7" i="4" s="1"/>
  <c r="Z37" i="12"/>
  <c r="Z7" i="4" s="1"/>
  <c r="AA37" i="12"/>
  <c r="AA7" i="4" s="1"/>
  <c r="AB37" i="12"/>
  <c r="AB7" i="4" s="1"/>
  <c r="AC37" i="12"/>
  <c r="AC7" i="4" s="1"/>
  <c r="AD37" i="12"/>
  <c r="AD7" i="4" s="1"/>
  <c r="AE37" i="12"/>
  <c r="AE7" i="4" s="1"/>
  <c r="AF37" i="12"/>
  <c r="AF7" i="4" s="1"/>
  <c r="AG37" i="12"/>
  <c r="AG7" i="4" s="1"/>
  <c r="D38" i="12"/>
  <c r="D8" i="4" s="1"/>
  <c r="E38" i="12"/>
  <c r="E8" i="4" s="1"/>
  <c r="F38" i="12"/>
  <c r="F8" i="4" s="1"/>
  <c r="F18" i="4" s="1"/>
  <c r="F28" i="4" s="1"/>
  <c r="G38" i="12"/>
  <c r="G8" i="4" s="1"/>
  <c r="G18" i="4" s="1"/>
  <c r="G28" i="4" s="1"/>
  <c r="H38" i="12"/>
  <c r="H8" i="4" s="1"/>
  <c r="H18" i="4" s="1"/>
  <c r="H28" i="4" s="1"/>
  <c r="I38" i="12"/>
  <c r="I8" i="4" s="1"/>
  <c r="I18" i="4" s="1"/>
  <c r="I28" i="4" s="1"/>
  <c r="J38" i="12"/>
  <c r="J8" i="4" s="1"/>
  <c r="J18" i="4" s="1"/>
  <c r="J28" i="4" s="1"/>
  <c r="K38" i="12"/>
  <c r="K8" i="4" s="1"/>
  <c r="K18" i="4" s="1"/>
  <c r="K28" i="4" s="1"/>
  <c r="L38" i="12"/>
  <c r="L8" i="4" s="1"/>
  <c r="L18" i="4" s="1"/>
  <c r="L28" i="4" s="1"/>
  <c r="M38" i="12"/>
  <c r="M8" i="4" s="1"/>
  <c r="M18" i="4" s="1"/>
  <c r="M28" i="4" s="1"/>
  <c r="N38" i="12"/>
  <c r="N8" i="4" s="1"/>
  <c r="N18" i="4" s="1"/>
  <c r="N28" i="4" s="1"/>
  <c r="O38" i="12"/>
  <c r="O8" i="4" s="1"/>
  <c r="O18" i="4" s="1"/>
  <c r="O28" i="4" s="1"/>
  <c r="P38" i="12"/>
  <c r="P8" i="4" s="1"/>
  <c r="Q38" i="12"/>
  <c r="Q8" i="4" s="1"/>
  <c r="R38" i="12"/>
  <c r="R8" i="4" s="1"/>
  <c r="S38" i="12"/>
  <c r="S8" i="4" s="1"/>
  <c r="T38" i="12"/>
  <c r="T8" i="4" s="1"/>
  <c r="U38" i="12"/>
  <c r="U8" i="4" s="1"/>
  <c r="V38" i="12"/>
  <c r="V8" i="4" s="1"/>
  <c r="W38" i="12"/>
  <c r="W8" i="4" s="1"/>
  <c r="X38" i="12"/>
  <c r="X8" i="4" s="1"/>
  <c r="Y38" i="12"/>
  <c r="Y8" i="4" s="1"/>
  <c r="Z38" i="12"/>
  <c r="Z8" i="4" s="1"/>
  <c r="AA38" i="12"/>
  <c r="AA8" i="4" s="1"/>
  <c r="AB38" i="12"/>
  <c r="AB8" i="4" s="1"/>
  <c r="AC38" i="12"/>
  <c r="AC8" i="4" s="1"/>
  <c r="AD38" i="12"/>
  <c r="AD8" i="4" s="1"/>
  <c r="AE38" i="12"/>
  <c r="AE8" i="4" s="1"/>
  <c r="AF38" i="12"/>
  <c r="AF8" i="4" s="1"/>
  <c r="AG38" i="12"/>
  <c r="AG8" i="4" s="1"/>
  <c r="D39" i="12"/>
  <c r="D9" i="4" s="1"/>
  <c r="E39" i="12"/>
  <c r="E9" i="4" s="1"/>
  <c r="F39" i="12"/>
  <c r="F9" i="4" s="1"/>
  <c r="F19" i="4" s="1"/>
  <c r="F29" i="4" s="1"/>
  <c r="G39" i="12"/>
  <c r="G9" i="4" s="1"/>
  <c r="G19" i="4" s="1"/>
  <c r="G29" i="4" s="1"/>
  <c r="H39" i="12"/>
  <c r="H9" i="4" s="1"/>
  <c r="H19" i="4" s="1"/>
  <c r="H29" i="4" s="1"/>
  <c r="I39" i="12"/>
  <c r="I9" i="4" s="1"/>
  <c r="I19" i="4" s="1"/>
  <c r="I29" i="4" s="1"/>
  <c r="J39" i="12"/>
  <c r="J9" i="4" s="1"/>
  <c r="J19" i="4" s="1"/>
  <c r="J29" i="4" s="1"/>
  <c r="K39" i="12"/>
  <c r="K9" i="4" s="1"/>
  <c r="K19" i="4" s="1"/>
  <c r="K29" i="4" s="1"/>
  <c r="L39" i="12"/>
  <c r="L9" i="4" s="1"/>
  <c r="L19" i="4" s="1"/>
  <c r="L29" i="4" s="1"/>
  <c r="M39" i="12"/>
  <c r="M9" i="4" s="1"/>
  <c r="M19" i="4" s="1"/>
  <c r="M29" i="4" s="1"/>
  <c r="N39" i="12"/>
  <c r="N9" i="4" s="1"/>
  <c r="N19" i="4" s="1"/>
  <c r="N29" i="4" s="1"/>
  <c r="O39" i="12"/>
  <c r="O9" i="4" s="1"/>
  <c r="O19" i="4" s="1"/>
  <c r="O29" i="4" s="1"/>
  <c r="P39" i="12"/>
  <c r="P9" i="4" s="1"/>
  <c r="Q39" i="12"/>
  <c r="Q9" i="4" s="1"/>
  <c r="R39" i="12"/>
  <c r="R9" i="4" s="1"/>
  <c r="S39" i="12"/>
  <c r="S9" i="4" s="1"/>
  <c r="T39" i="12"/>
  <c r="T9" i="4" s="1"/>
  <c r="U39" i="12"/>
  <c r="U9" i="4" s="1"/>
  <c r="V39" i="12"/>
  <c r="V9" i="4" s="1"/>
  <c r="W39" i="12"/>
  <c r="W9" i="4" s="1"/>
  <c r="X39" i="12"/>
  <c r="X9" i="4" s="1"/>
  <c r="Y39" i="12"/>
  <c r="Y9" i="4" s="1"/>
  <c r="Z39" i="12"/>
  <c r="Z9" i="4" s="1"/>
  <c r="AA39" i="12"/>
  <c r="AA9" i="4" s="1"/>
  <c r="AB39" i="12"/>
  <c r="AB9" i="4" s="1"/>
  <c r="AC39" i="12"/>
  <c r="AC9" i="4" s="1"/>
  <c r="AD39" i="12"/>
  <c r="AD9" i="4" s="1"/>
  <c r="AE39" i="12"/>
  <c r="AE9" i="4" s="1"/>
  <c r="AF39" i="12"/>
  <c r="AF9" i="4" s="1"/>
  <c r="AG39" i="12"/>
  <c r="AG9" i="4" s="1"/>
  <c r="D40" i="12"/>
  <c r="D10" i="4" s="1"/>
  <c r="E40" i="12"/>
  <c r="E10" i="4" s="1"/>
  <c r="F40" i="12"/>
  <c r="F10" i="4" s="1"/>
  <c r="F20" i="4" s="1"/>
  <c r="F30" i="4" s="1"/>
  <c r="G40" i="12"/>
  <c r="G10" i="4" s="1"/>
  <c r="G20" i="4" s="1"/>
  <c r="G30" i="4" s="1"/>
  <c r="H40" i="12"/>
  <c r="H10" i="4" s="1"/>
  <c r="H20" i="4" s="1"/>
  <c r="H30" i="4" s="1"/>
  <c r="I40" i="12"/>
  <c r="I10" i="4" s="1"/>
  <c r="I20" i="4" s="1"/>
  <c r="I30" i="4" s="1"/>
  <c r="J40" i="12"/>
  <c r="J10" i="4" s="1"/>
  <c r="J20" i="4" s="1"/>
  <c r="J30" i="4" s="1"/>
  <c r="K40" i="12"/>
  <c r="K10" i="4" s="1"/>
  <c r="K20" i="4" s="1"/>
  <c r="K30" i="4" s="1"/>
  <c r="L40" i="12"/>
  <c r="L10" i="4" s="1"/>
  <c r="L20" i="4" s="1"/>
  <c r="L30" i="4" s="1"/>
  <c r="M40" i="12"/>
  <c r="M10" i="4" s="1"/>
  <c r="M20" i="4" s="1"/>
  <c r="M30" i="4" s="1"/>
  <c r="N40" i="12"/>
  <c r="N10" i="4" s="1"/>
  <c r="N20" i="4" s="1"/>
  <c r="N30" i="4" s="1"/>
  <c r="O40" i="12"/>
  <c r="O10" i="4" s="1"/>
  <c r="O20" i="4" s="1"/>
  <c r="O30" i="4" s="1"/>
  <c r="P40" i="12"/>
  <c r="P10" i="4" s="1"/>
  <c r="Q40" i="12"/>
  <c r="Q10" i="4" s="1"/>
  <c r="R40" i="12"/>
  <c r="R10" i="4" s="1"/>
  <c r="S40" i="12"/>
  <c r="S10" i="4" s="1"/>
  <c r="T40" i="12"/>
  <c r="T10" i="4" s="1"/>
  <c r="U40" i="12"/>
  <c r="U10" i="4" s="1"/>
  <c r="V40" i="12"/>
  <c r="V10" i="4" s="1"/>
  <c r="W40" i="12"/>
  <c r="W10" i="4" s="1"/>
  <c r="X40" i="12"/>
  <c r="X10" i="4" s="1"/>
  <c r="Y40" i="12"/>
  <c r="Y10" i="4" s="1"/>
  <c r="Z40" i="12"/>
  <c r="Z10" i="4" s="1"/>
  <c r="AA40" i="12"/>
  <c r="AA10" i="4" s="1"/>
  <c r="AB40" i="12"/>
  <c r="AB10" i="4" s="1"/>
  <c r="AC40" i="12"/>
  <c r="AC10" i="4" s="1"/>
  <c r="AD40" i="12"/>
  <c r="AD10" i="4" s="1"/>
  <c r="AE40" i="12"/>
  <c r="AE10" i="4" s="1"/>
  <c r="AF40" i="12"/>
  <c r="AF10" i="4" s="1"/>
  <c r="AG40" i="12"/>
  <c r="AG10" i="4" s="1"/>
  <c r="D41" i="12"/>
  <c r="D11" i="4" s="1"/>
  <c r="E41" i="12"/>
  <c r="E11" i="4" s="1"/>
  <c r="F41" i="12"/>
  <c r="F11" i="4" s="1"/>
  <c r="F21" i="4" s="1"/>
  <c r="F31" i="4" s="1"/>
  <c r="G41" i="12"/>
  <c r="G11" i="4" s="1"/>
  <c r="G21" i="4" s="1"/>
  <c r="G31" i="4" s="1"/>
  <c r="H41" i="12"/>
  <c r="H11" i="4" s="1"/>
  <c r="H21" i="4" s="1"/>
  <c r="H31" i="4" s="1"/>
  <c r="I41" i="12"/>
  <c r="I11" i="4" s="1"/>
  <c r="I21" i="4" s="1"/>
  <c r="I31" i="4" s="1"/>
  <c r="J41" i="12"/>
  <c r="J11" i="4" s="1"/>
  <c r="J21" i="4" s="1"/>
  <c r="J31" i="4" s="1"/>
  <c r="K41" i="12"/>
  <c r="K11" i="4" s="1"/>
  <c r="K21" i="4" s="1"/>
  <c r="K31" i="4" s="1"/>
  <c r="L41" i="12"/>
  <c r="L11" i="4" s="1"/>
  <c r="L21" i="4" s="1"/>
  <c r="L31" i="4" s="1"/>
  <c r="M41" i="12"/>
  <c r="M11" i="4" s="1"/>
  <c r="M21" i="4" s="1"/>
  <c r="M31" i="4" s="1"/>
  <c r="N41" i="12"/>
  <c r="N11" i="4" s="1"/>
  <c r="N21" i="4" s="1"/>
  <c r="N31" i="4" s="1"/>
  <c r="O41" i="12"/>
  <c r="O11" i="4" s="1"/>
  <c r="O21" i="4" s="1"/>
  <c r="O31" i="4" s="1"/>
  <c r="P41" i="12"/>
  <c r="P11" i="4" s="1"/>
  <c r="Q41" i="12"/>
  <c r="Q11" i="4" s="1"/>
  <c r="R41" i="12"/>
  <c r="R11" i="4" s="1"/>
  <c r="S41" i="12"/>
  <c r="S11" i="4" s="1"/>
  <c r="T41" i="12"/>
  <c r="T11" i="4" s="1"/>
  <c r="U41" i="12"/>
  <c r="U11" i="4" s="1"/>
  <c r="V41" i="12"/>
  <c r="V11" i="4" s="1"/>
  <c r="W41" i="12"/>
  <c r="W11" i="4" s="1"/>
  <c r="X41" i="12"/>
  <c r="X11" i="4" s="1"/>
  <c r="Y41" i="12"/>
  <c r="Y11" i="4" s="1"/>
  <c r="Z41" i="12"/>
  <c r="Z11" i="4" s="1"/>
  <c r="AA41" i="12"/>
  <c r="AA11" i="4" s="1"/>
  <c r="AB41" i="12"/>
  <c r="AB11" i="4" s="1"/>
  <c r="AC41" i="12"/>
  <c r="AC11" i="4" s="1"/>
  <c r="AD41" i="12"/>
  <c r="AD11" i="4" s="1"/>
  <c r="AE41" i="12"/>
  <c r="AE11" i="4" s="1"/>
  <c r="AF41" i="12"/>
  <c r="AF11" i="4" s="1"/>
  <c r="AG41" i="12"/>
  <c r="AG11" i="4" s="1"/>
  <c r="C33" i="12"/>
  <c r="C3" i="4" s="1"/>
  <c r="C34" i="12"/>
  <c r="C4" i="4" s="1"/>
  <c r="C35" i="12"/>
  <c r="C5" i="4" s="1"/>
  <c r="C36" i="12"/>
  <c r="C6" i="4" s="1"/>
  <c r="C37" i="12"/>
  <c r="C7" i="4" s="1"/>
  <c r="C38" i="12"/>
  <c r="C8" i="4" s="1"/>
  <c r="C39" i="12"/>
  <c r="C9" i="4" s="1"/>
  <c r="C40" i="12"/>
  <c r="C10" i="4" s="1"/>
  <c r="C41" i="12"/>
  <c r="C11" i="4" s="1"/>
  <c r="C32" i="12"/>
  <c r="C2" i="4" s="1"/>
  <c r="AC75" i="12"/>
  <c r="AH12" i="4" s="1"/>
  <c r="AC76" i="12"/>
  <c r="AH13" i="4" s="1"/>
  <c r="AC77" i="12"/>
  <c r="AH14" i="4" s="1"/>
  <c r="AC78" i="12"/>
  <c r="AH15" i="4" s="1"/>
  <c r="AC79" i="12"/>
  <c r="AH16" i="4" s="1"/>
  <c r="AC80" i="12"/>
  <c r="AH17" i="4" s="1"/>
  <c r="AC81" i="12"/>
  <c r="AH18" i="4" s="1"/>
  <c r="AC82" i="12"/>
  <c r="AH19" i="4" s="1"/>
  <c r="AC83" i="12"/>
  <c r="AH20" i="4" s="1"/>
  <c r="AC84" i="12"/>
  <c r="AH21" i="4" s="1"/>
  <c r="AB76" i="12"/>
  <c r="AG13" i="4" s="1"/>
  <c r="AB77" i="12"/>
  <c r="AG14" i="4" s="1"/>
  <c r="AB78" i="12"/>
  <c r="AG15" i="4" s="1"/>
  <c r="AB79" i="12"/>
  <c r="AG16" i="4" s="1"/>
  <c r="AB80" i="12"/>
  <c r="AG17" i="4" s="1"/>
  <c r="AB81" i="12"/>
  <c r="AG18" i="4" s="1"/>
  <c r="AB82" i="12"/>
  <c r="AG19" i="4" s="1"/>
  <c r="AB83" i="12"/>
  <c r="AG20" i="4" s="1"/>
  <c r="AB84" i="12"/>
  <c r="AG21" i="4" s="1"/>
  <c r="AB75" i="12"/>
  <c r="AG12" i="4" s="1"/>
  <c r="AD84" i="12"/>
  <c r="AI21" i="4" s="1"/>
  <c r="AD83" i="12"/>
  <c r="AI20" i="4" s="1"/>
  <c r="AL80" i="12"/>
  <c r="AQ17" i="4" s="1"/>
  <c r="AD79" i="12"/>
  <c r="AI16" i="4" s="1"/>
  <c r="AL76" i="12"/>
  <c r="AQ13" i="4" s="1"/>
  <c r="AD75" i="12"/>
  <c r="AI12" i="4" s="1"/>
  <c r="AH12" i="6" l="1"/>
  <c r="AI16" i="6"/>
  <c r="AH19" i="6"/>
  <c r="AH18" i="6"/>
  <c r="AH21" i="6"/>
  <c r="AI20" i="6"/>
  <c r="AH17" i="6"/>
  <c r="AI12" i="6"/>
  <c r="AQ13" i="6"/>
  <c r="AQ17" i="6"/>
  <c r="AI21" i="6"/>
  <c r="AH16" i="6"/>
  <c r="AH13" i="6"/>
  <c r="AH15" i="6"/>
  <c r="AH20" i="6"/>
  <c r="AH14" i="6"/>
  <c r="AD76" i="12"/>
  <c r="AI13" i="4" s="1"/>
  <c r="AL83" i="12"/>
  <c r="AQ20" i="4" s="1"/>
  <c r="AL84" i="12"/>
  <c r="AQ21" i="4" s="1"/>
  <c r="AL75" i="12"/>
  <c r="AQ12" i="4" s="1"/>
  <c r="AD82" i="12"/>
  <c r="AI19" i="4" s="1"/>
  <c r="AD78" i="12"/>
  <c r="AI15" i="4" s="1"/>
  <c r="AF83" i="12"/>
  <c r="AK20" i="4" s="1"/>
  <c r="AE78" i="12"/>
  <c r="AJ15" i="4" s="1"/>
  <c r="AE82" i="12"/>
  <c r="AJ19" i="4" s="1"/>
  <c r="AE77" i="12"/>
  <c r="AJ14" i="4" s="1"/>
  <c r="AE81" i="12"/>
  <c r="AJ18" i="4" s="1"/>
  <c r="AH80" i="12"/>
  <c r="AM17" i="4" s="1"/>
  <c r="AK80" i="12"/>
  <c r="AP17" i="4" s="1"/>
  <c r="AG80" i="12"/>
  <c r="AL17" i="4" s="1"/>
  <c r="AK76" i="12"/>
  <c r="AP13" i="4" s="1"/>
  <c r="AG76" i="12"/>
  <c r="AL13" i="4" s="1"/>
  <c r="AD81" i="12"/>
  <c r="AI18" i="4" s="1"/>
  <c r="AJ80" i="12"/>
  <c r="AO17" i="4" s="1"/>
  <c r="AF80" i="12"/>
  <c r="AK17" i="4" s="1"/>
  <c r="AD77" i="12"/>
  <c r="AI14" i="4" s="1"/>
  <c r="AJ76" i="12"/>
  <c r="AO13" i="4" s="1"/>
  <c r="AF76" i="12"/>
  <c r="AK13" i="4" s="1"/>
  <c r="AH76" i="12"/>
  <c r="AM13" i="4" s="1"/>
  <c r="AI83" i="12"/>
  <c r="AN20" i="4" s="1"/>
  <c r="AG83" i="12"/>
  <c r="AL20" i="4" s="1"/>
  <c r="AI80" i="12"/>
  <c r="AN17" i="4" s="1"/>
  <c r="AE80" i="12"/>
  <c r="AJ17" i="4" s="1"/>
  <c r="AI76" i="12"/>
  <c r="AN13" i="4" s="1"/>
  <c r="AE76" i="12"/>
  <c r="AJ13" i="4" s="1"/>
  <c r="AI37" i="12"/>
  <c r="AI7" i="4" s="1"/>
  <c r="AI38" i="12"/>
  <c r="AI8" i="4" s="1"/>
  <c r="AH33" i="12"/>
  <c r="AH3" i="4" s="1"/>
  <c r="AH34" i="12"/>
  <c r="AH4" i="4" s="1"/>
  <c r="AH35" i="12"/>
  <c r="AH5" i="4" s="1"/>
  <c r="AH36" i="12"/>
  <c r="AH6" i="4" s="1"/>
  <c r="AH37" i="12"/>
  <c r="AH7" i="4" s="1"/>
  <c r="AH38" i="12"/>
  <c r="AH8" i="4" s="1"/>
  <c r="AH39" i="12"/>
  <c r="AH9" i="4" s="1"/>
  <c r="AH40" i="12"/>
  <c r="AH10" i="4" s="1"/>
  <c r="AH41" i="12"/>
  <c r="AH11" i="4" s="1"/>
  <c r="AH32" i="12"/>
  <c r="AH2" i="4" s="1"/>
  <c r="AJ17" i="6" l="1"/>
  <c r="AQ20" i="6"/>
  <c r="AJ19" i="6"/>
  <c r="AN20" i="6"/>
  <c r="AL13" i="6"/>
  <c r="AJ15" i="6"/>
  <c r="AQ21" i="6"/>
  <c r="AN17" i="6"/>
  <c r="AI18" i="6"/>
  <c r="AP13" i="6"/>
  <c r="AJ18" i="6"/>
  <c r="AO17" i="6"/>
  <c r="AI13" i="6"/>
  <c r="AM13" i="6"/>
  <c r="AK20" i="6"/>
  <c r="AK13" i="6"/>
  <c r="AL17" i="6"/>
  <c r="AI15" i="6"/>
  <c r="AK17" i="6"/>
  <c r="AJ14" i="6"/>
  <c r="AL20" i="6"/>
  <c r="AJ13" i="6"/>
  <c r="AO13" i="6"/>
  <c r="AP17" i="6"/>
  <c r="AI19" i="6"/>
  <c r="AN13" i="6"/>
  <c r="AI14" i="6"/>
  <c r="AM17" i="6"/>
  <c r="AQ12" i="6"/>
  <c r="AH10" i="6"/>
  <c r="AH8" i="6"/>
  <c r="AH11" i="6"/>
  <c r="AH7" i="6"/>
  <c r="AI8" i="6"/>
  <c r="AH9" i="6"/>
  <c r="AH3" i="6"/>
  <c r="AI7" i="6"/>
  <c r="AH6" i="6"/>
  <c r="AH5" i="6"/>
  <c r="AH2" i="6"/>
  <c r="AH4" i="6"/>
  <c r="AG84" i="12"/>
  <c r="AL21" i="4" s="1"/>
  <c r="AK83" i="12"/>
  <c r="AP20" i="4" s="1"/>
  <c r="AK84" i="12"/>
  <c r="AP21" i="4" s="1"/>
  <c r="AH83" i="12"/>
  <c r="AM20" i="4" s="1"/>
  <c r="AE84" i="12"/>
  <c r="AJ21" i="4" s="1"/>
  <c r="AE83" i="12"/>
  <c r="AJ20" i="4" s="1"/>
  <c r="AJ83" i="12"/>
  <c r="AO20" i="4" s="1"/>
  <c r="AF75" i="12"/>
  <c r="AK12" i="4" s="1"/>
  <c r="AG75" i="12"/>
  <c r="AL12" i="4" s="1"/>
  <c r="AI84" i="12"/>
  <c r="AN21" i="4" s="1"/>
  <c r="AJ84" i="12"/>
  <c r="AO21" i="4" s="1"/>
  <c r="AI75" i="12"/>
  <c r="AN12" i="4" s="1"/>
  <c r="AE75" i="12"/>
  <c r="AJ12" i="4" s="1"/>
  <c r="AK75" i="12"/>
  <c r="AP12" i="4" s="1"/>
  <c r="AH75" i="12"/>
  <c r="AM12" i="4" s="1"/>
  <c r="AF84" i="12"/>
  <c r="AK21" i="4" s="1"/>
  <c r="AJ75" i="12"/>
  <c r="AO12" i="4" s="1"/>
  <c r="AH84" i="12"/>
  <c r="AM21" i="4" s="1"/>
  <c r="AF79" i="12"/>
  <c r="AK16" i="4" s="1"/>
  <c r="AE79" i="12"/>
  <c r="AJ16" i="4" s="1"/>
  <c r="AF82" i="12"/>
  <c r="AK19" i="4" s="1"/>
  <c r="AF81" i="12"/>
  <c r="AK18" i="4" s="1"/>
  <c r="AF77" i="12"/>
  <c r="AK14" i="4" s="1"/>
  <c r="AF78" i="12"/>
  <c r="AK15" i="4" s="1"/>
  <c r="C75" i="12"/>
  <c r="D75" i="12"/>
  <c r="E75" i="12"/>
  <c r="F75" i="12"/>
  <c r="G75" i="12"/>
  <c r="H75" i="12"/>
  <c r="I75" i="12"/>
  <c r="J75" i="12"/>
  <c r="K75" i="12"/>
  <c r="P12" i="4" s="1"/>
  <c r="L75" i="12"/>
  <c r="Q12" i="4" s="1"/>
  <c r="M75" i="12"/>
  <c r="R12" i="4" s="1"/>
  <c r="N75" i="12"/>
  <c r="S12" i="4" s="1"/>
  <c r="O75" i="12"/>
  <c r="T12" i="4" s="1"/>
  <c r="P75" i="12"/>
  <c r="U12" i="4" s="1"/>
  <c r="Q75" i="12"/>
  <c r="V12" i="4" s="1"/>
  <c r="R75" i="12"/>
  <c r="W12" i="4" s="1"/>
  <c r="S75" i="12"/>
  <c r="X12" i="4" s="1"/>
  <c r="T75" i="12"/>
  <c r="Y12" i="4" s="1"/>
  <c r="U75" i="12"/>
  <c r="Z12" i="4" s="1"/>
  <c r="V75" i="12"/>
  <c r="AA12" i="4" s="1"/>
  <c r="W75" i="12"/>
  <c r="AB12" i="4" s="1"/>
  <c r="X75" i="12"/>
  <c r="AC12" i="4" s="1"/>
  <c r="Y75" i="12"/>
  <c r="AD12" i="4" s="1"/>
  <c r="Z75" i="12"/>
  <c r="AE12" i="4" s="1"/>
  <c r="AA75" i="12"/>
  <c r="AF12" i="4" s="1"/>
  <c r="C76" i="12"/>
  <c r="D76" i="12"/>
  <c r="E76" i="12"/>
  <c r="F76" i="12"/>
  <c r="G76" i="12"/>
  <c r="H76" i="12"/>
  <c r="I76" i="12"/>
  <c r="J76" i="12"/>
  <c r="K76" i="12"/>
  <c r="P13" i="4" s="1"/>
  <c r="L76" i="12"/>
  <c r="Q13" i="4" s="1"/>
  <c r="M76" i="12"/>
  <c r="R13" i="4" s="1"/>
  <c r="N76" i="12"/>
  <c r="S13" i="4" s="1"/>
  <c r="O76" i="12"/>
  <c r="T13" i="4" s="1"/>
  <c r="P76" i="12"/>
  <c r="U13" i="4" s="1"/>
  <c r="Q76" i="12"/>
  <c r="V13" i="4" s="1"/>
  <c r="R76" i="12"/>
  <c r="W13" i="4" s="1"/>
  <c r="S76" i="12"/>
  <c r="X13" i="4" s="1"/>
  <c r="T76" i="12"/>
  <c r="Y13" i="4" s="1"/>
  <c r="U76" i="12"/>
  <c r="Z13" i="4" s="1"/>
  <c r="V76" i="12"/>
  <c r="AA13" i="4" s="1"/>
  <c r="W76" i="12"/>
  <c r="AB13" i="4" s="1"/>
  <c r="X76" i="12"/>
  <c r="AC13" i="4" s="1"/>
  <c r="Y76" i="12"/>
  <c r="AD13" i="4" s="1"/>
  <c r="Z76" i="12"/>
  <c r="AE13" i="4" s="1"/>
  <c r="AA76" i="12"/>
  <c r="AF13" i="4" s="1"/>
  <c r="C77" i="12"/>
  <c r="D77" i="12"/>
  <c r="E77" i="12"/>
  <c r="F77" i="12"/>
  <c r="G77" i="12"/>
  <c r="H77" i="12"/>
  <c r="I77" i="12"/>
  <c r="J77" i="12"/>
  <c r="K77" i="12"/>
  <c r="P14" i="4" s="1"/>
  <c r="L77" i="12"/>
  <c r="Q14" i="4" s="1"/>
  <c r="M77" i="12"/>
  <c r="R14" i="4" s="1"/>
  <c r="N77" i="12"/>
  <c r="S14" i="4" s="1"/>
  <c r="O77" i="12"/>
  <c r="T14" i="4" s="1"/>
  <c r="P77" i="12"/>
  <c r="U14" i="4" s="1"/>
  <c r="Q77" i="12"/>
  <c r="V14" i="4" s="1"/>
  <c r="R77" i="12"/>
  <c r="W14" i="4" s="1"/>
  <c r="S77" i="12"/>
  <c r="X14" i="4" s="1"/>
  <c r="T77" i="12"/>
  <c r="Y14" i="4" s="1"/>
  <c r="U77" i="12"/>
  <c r="Z14" i="4" s="1"/>
  <c r="V77" i="12"/>
  <c r="AA14" i="4" s="1"/>
  <c r="W77" i="12"/>
  <c r="AB14" i="4" s="1"/>
  <c r="X77" i="12"/>
  <c r="AC14" i="4" s="1"/>
  <c r="Y77" i="12"/>
  <c r="AD14" i="4" s="1"/>
  <c r="Z77" i="12"/>
  <c r="AE14" i="4" s="1"/>
  <c r="AA77" i="12"/>
  <c r="AF14" i="4" s="1"/>
  <c r="C78" i="12"/>
  <c r="D78" i="12"/>
  <c r="E78" i="12"/>
  <c r="F78" i="12"/>
  <c r="G78" i="12"/>
  <c r="H78" i="12"/>
  <c r="I78" i="12"/>
  <c r="J78" i="12"/>
  <c r="K78" i="12"/>
  <c r="P15" i="4" s="1"/>
  <c r="L78" i="12"/>
  <c r="Q15" i="4" s="1"/>
  <c r="M78" i="12"/>
  <c r="R15" i="4" s="1"/>
  <c r="N78" i="12"/>
  <c r="S15" i="4" s="1"/>
  <c r="O78" i="12"/>
  <c r="T15" i="4" s="1"/>
  <c r="P78" i="12"/>
  <c r="U15" i="4" s="1"/>
  <c r="Q78" i="12"/>
  <c r="V15" i="4" s="1"/>
  <c r="R78" i="12"/>
  <c r="W15" i="4" s="1"/>
  <c r="S78" i="12"/>
  <c r="X15" i="4" s="1"/>
  <c r="T78" i="12"/>
  <c r="Y15" i="4" s="1"/>
  <c r="U78" i="12"/>
  <c r="Z15" i="4" s="1"/>
  <c r="V78" i="12"/>
  <c r="AA15" i="4" s="1"/>
  <c r="W78" i="12"/>
  <c r="AB15" i="4" s="1"/>
  <c r="X78" i="12"/>
  <c r="AC15" i="4" s="1"/>
  <c r="Y78" i="12"/>
  <c r="AD15" i="4" s="1"/>
  <c r="Z78" i="12"/>
  <c r="AE15" i="4" s="1"/>
  <c r="AA78" i="12"/>
  <c r="AF15" i="4" s="1"/>
  <c r="C79" i="12"/>
  <c r="D79" i="12"/>
  <c r="E79" i="12"/>
  <c r="F79" i="12"/>
  <c r="G79" i="12"/>
  <c r="H79" i="12"/>
  <c r="I79" i="12"/>
  <c r="J79" i="12"/>
  <c r="K79" i="12"/>
  <c r="P16" i="4" s="1"/>
  <c r="L79" i="12"/>
  <c r="Q16" i="4" s="1"/>
  <c r="M79" i="12"/>
  <c r="R16" i="4" s="1"/>
  <c r="N79" i="12"/>
  <c r="S16" i="4" s="1"/>
  <c r="O79" i="12"/>
  <c r="T16" i="4" s="1"/>
  <c r="P79" i="12"/>
  <c r="U16" i="4" s="1"/>
  <c r="Q79" i="12"/>
  <c r="V16" i="4" s="1"/>
  <c r="R79" i="12"/>
  <c r="W16" i="4" s="1"/>
  <c r="S79" i="12"/>
  <c r="X16" i="4" s="1"/>
  <c r="T79" i="12"/>
  <c r="Y16" i="4" s="1"/>
  <c r="U79" i="12"/>
  <c r="Z16" i="4" s="1"/>
  <c r="V79" i="12"/>
  <c r="AA16" i="4" s="1"/>
  <c r="W79" i="12"/>
  <c r="AB16" i="4" s="1"/>
  <c r="X79" i="12"/>
  <c r="AC16" i="4" s="1"/>
  <c r="Y79" i="12"/>
  <c r="AD16" i="4" s="1"/>
  <c r="Z79" i="12"/>
  <c r="AE16" i="4" s="1"/>
  <c r="AA79" i="12"/>
  <c r="AF16" i="4" s="1"/>
  <c r="C80" i="12"/>
  <c r="D80" i="12"/>
  <c r="E80" i="12"/>
  <c r="F80" i="12"/>
  <c r="G80" i="12"/>
  <c r="H80" i="12"/>
  <c r="I80" i="12"/>
  <c r="J80" i="12"/>
  <c r="K80" i="12"/>
  <c r="P17" i="4" s="1"/>
  <c r="L80" i="12"/>
  <c r="Q17" i="4" s="1"/>
  <c r="M80" i="12"/>
  <c r="R17" i="4" s="1"/>
  <c r="N80" i="12"/>
  <c r="S17" i="4" s="1"/>
  <c r="O80" i="12"/>
  <c r="T17" i="4" s="1"/>
  <c r="P80" i="12"/>
  <c r="U17" i="4" s="1"/>
  <c r="Q80" i="12"/>
  <c r="V17" i="4" s="1"/>
  <c r="R80" i="12"/>
  <c r="W17" i="4" s="1"/>
  <c r="S80" i="12"/>
  <c r="X17" i="4" s="1"/>
  <c r="T80" i="12"/>
  <c r="Y17" i="4" s="1"/>
  <c r="U80" i="12"/>
  <c r="Z17" i="4" s="1"/>
  <c r="V80" i="12"/>
  <c r="AA17" i="4" s="1"/>
  <c r="W80" i="12"/>
  <c r="AB17" i="4" s="1"/>
  <c r="X80" i="12"/>
  <c r="AC17" i="4" s="1"/>
  <c r="Y80" i="12"/>
  <c r="AD17" i="4" s="1"/>
  <c r="Z80" i="12"/>
  <c r="AE17" i="4" s="1"/>
  <c r="AA80" i="12"/>
  <c r="AF17" i="4" s="1"/>
  <c r="C81" i="12"/>
  <c r="D81" i="12"/>
  <c r="E81" i="12"/>
  <c r="F81" i="12"/>
  <c r="G81" i="12"/>
  <c r="H81" i="12"/>
  <c r="I81" i="12"/>
  <c r="J81" i="12"/>
  <c r="K81" i="12"/>
  <c r="P18" i="4" s="1"/>
  <c r="L81" i="12"/>
  <c r="Q18" i="4" s="1"/>
  <c r="M81" i="12"/>
  <c r="R18" i="4" s="1"/>
  <c r="N81" i="12"/>
  <c r="S18" i="4" s="1"/>
  <c r="O81" i="12"/>
  <c r="T18" i="4" s="1"/>
  <c r="P81" i="12"/>
  <c r="U18" i="4" s="1"/>
  <c r="Q81" i="12"/>
  <c r="V18" i="4" s="1"/>
  <c r="R81" i="12"/>
  <c r="W18" i="4" s="1"/>
  <c r="S81" i="12"/>
  <c r="X18" i="4" s="1"/>
  <c r="T81" i="12"/>
  <c r="Y18" i="4" s="1"/>
  <c r="U81" i="12"/>
  <c r="Z18" i="4" s="1"/>
  <c r="V81" i="12"/>
  <c r="AA18" i="4" s="1"/>
  <c r="W81" i="12"/>
  <c r="AB18" i="4" s="1"/>
  <c r="X81" i="12"/>
  <c r="AC18" i="4" s="1"/>
  <c r="Y81" i="12"/>
  <c r="AD18" i="4" s="1"/>
  <c r="Z81" i="12"/>
  <c r="AE18" i="4" s="1"/>
  <c r="AA81" i="12"/>
  <c r="AF18" i="4" s="1"/>
  <c r="C82" i="12"/>
  <c r="D82" i="12"/>
  <c r="E82" i="12"/>
  <c r="F82" i="12"/>
  <c r="G82" i="12"/>
  <c r="H82" i="12"/>
  <c r="I82" i="12"/>
  <c r="J82" i="12"/>
  <c r="K82" i="12"/>
  <c r="P19" i="4" s="1"/>
  <c r="L82" i="12"/>
  <c r="Q19" i="4" s="1"/>
  <c r="M82" i="12"/>
  <c r="R19" i="4" s="1"/>
  <c r="N82" i="12"/>
  <c r="S19" i="4" s="1"/>
  <c r="O82" i="12"/>
  <c r="T19" i="4" s="1"/>
  <c r="P82" i="12"/>
  <c r="U19" i="4" s="1"/>
  <c r="Q82" i="12"/>
  <c r="V19" i="4" s="1"/>
  <c r="R82" i="12"/>
  <c r="W19" i="4" s="1"/>
  <c r="S82" i="12"/>
  <c r="X19" i="4" s="1"/>
  <c r="T82" i="12"/>
  <c r="Y19" i="4" s="1"/>
  <c r="U82" i="12"/>
  <c r="Z19" i="4" s="1"/>
  <c r="V82" i="12"/>
  <c r="AA19" i="4" s="1"/>
  <c r="W82" i="12"/>
  <c r="AB19" i="4" s="1"/>
  <c r="X82" i="12"/>
  <c r="AC19" i="4" s="1"/>
  <c r="Y82" i="12"/>
  <c r="AD19" i="4" s="1"/>
  <c r="Z82" i="12"/>
  <c r="AE19" i="4" s="1"/>
  <c r="AA82" i="12"/>
  <c r="AF19" i="4" s="1"/>
  <c r="C83" i="12"/>
  <c r="D83" i="12"/>
  <c r="E83" i="12"/>
  <c r="F83" i="12"/>
  <c r="G83" i="12"/>
  <c r="H83" i="12"/>
  <c r="I83" i="12"/>
  <c r="J83" i="12"/>
  <c r="K83" i="12"/>
  <c r="P20" i="4" s="1"/>
  <c r="L83" i="12"/>
  <c r="Q20" i="4" s="1"/>
  <c r="M83" i="12"/>
  <c r="R20" i="4" s="1"/>
  <c r="N83" i="12"/>
  <c r="S20" i="4" s="1"/>
  <c r="O83" i="12"/>
  <c r="T20" i="4" s="1"/>
  <c r="P83" i="12"/>
  <c r="U20" i="4" s="1"/>
  <c r="Q83" i="12"/>
  <c r="V20" i="4" s="1"/>
  <c r="R83" i="12"/>
  <c r="W20" i="4" s="1"/>
  <c r="S83" i="12"/>
  <c r="X20" i="4" s="1"/>
  <c r="T83" i="12"/>
  <c r="Y20" i="4" s="1"/>
  <c r="U83" i="12"/>
  <c r="Z20" i="4" s="1"/>
  <c r="V83" i="12"/>
  <c r="AA20" i="4" s="1"/>
  <c r="W83" i="12"/>
  <c r="AB20" i="4" s="1"/>
  <c r="X83" i="12"/>
  <c r="AC20" i="4" s="1"/>
  <c r="Y83" i="12"/>
  <c r="AD20" i="4" s="1"/>
  <c r="Z83" i="12"/>
  <c r="AE20" i="4" s="1"/>
  <c r="AA83" i="12"/>
  <c r="AF20" i="4" s="1"/>
  <c r="C84" i="12"/>
  <c r="D84" i="12"/>
  <c r="E84" i="12"/>
  <c r="F84" i="12"/>
  <c r="G84" i="12"/>
  <c r="H84" i="12"/>
  <c r="I84" i="12"/>
  <c r="J84" i="12"/>
  <c r="K84" i="12"/>
  <c r="P21" i="4" s="1"/>
  <c r="L84" i="12"/>
  <c r="Q21" i="4" s="1"/>
  <c r="M84" i="12"/>
  <c r="R21" i="4" s="1"/>
  <c r="N84" i="12"/>
  <c r="S21" i="4" s="1"/>
  <c r="O84" i="12"/>
  <c r="T21" i="4" s="1"/>
  <c r="P84" i="12"/>
  <c r="U21" i="4" s="1"/>
  <c r="Q84" i="12"/>
  <c r="V21" i="4" s="1"/>
  <c r="R84" i="12"/>
  <c r="W21" i="4" s="1"/>
  <c r="S84" i="12"/>
  <c r="X21" i="4" s="1"/>
  <c r="T84" i="12"/>
  <c r="Y21" i="4" s="1"/>
  <c r="U84" i="12"/>
  <c r="Z21" i="4" s="1"/>
  <c r="V84" i="12"/>
  <c r="AA21" i="4" s="1"/>
  <c r="W84" i="12"/>
  <c r="AB21" i="4" s="1"/>
  <c r="X84" i="12"/>
  <c r="AC21" i="4" s="1"/>
  <c r="Y84" i="12"/>
  <c r="AD21" i="4" s="1"/>
  <c r="Z84" i="12"/>
  <c r="AE21" i="4" s="1"/>
  <c r="AA84" i="12"/>
  <c r="AF21" i="4" s="1"/>
  <c r="AK18" i="6" l="1"/>
  <c r="AJ16" i="6"/>
  <c r="AN12" i="6"/>
  <c r="AM20" i="6"/>
  <c r="AP12" i="6"/>
  <c r="AJ21" i="6"/>
  <c r="AK16" i="6"/>
  <c r="AO21" i="6"/>
  <c r="AP21" i="6"/>
  <c r="AM21" i="6"/>
  <c r="AN21" i="6"/>
  <c r="AP20" i="6"/>
  <c r="AK19" i="6"/>
  <c r="AO12" i="6"/>
  <c r="AL12" i="6"/>
  <c r="AL21" i="6"/>
  <c r="AJ20" i="6"/>
  <c r="AK15" i="6"/>
  <c r="AK21" i="6"/>
  <c r="AK12" i="6"/>
  <c r="AJ12" i="6"/>
  <c r="AK14" i="6"/>
  <c r="AM12" i="6"/>
  <c r="AO20" i="6"/>
  <c r="AI35" i="12"/>
  <c r="AI5" i="4" s="1"/>
  <c r="AJ37" i="12"/>
  <c r="AJ7" i="4" s="1"/>
  <c r="AI36" i="12"/>
  <c r="AI6" i="4" s="1"/>
  <c r="AI39" i="12"/>
  <c r="AI9" i="4" s="1"/>
  <c r="AI40" i="12"/>
  <c r="AI10" i="4" s="1"/>
  <c r="AJ38" i="12"/>
  <c r="AJ8" i="4" s="1"/>
  <c r="AI34" i="12"/>
  <c r="AI4" i="4" s="1"/>
  <c r="AI33" i="12"/>
  <c r="AI3" i="4" s="1"/>
  <c r="AI32" i="12"/>
  <c r="AI2" i="4" s="1"/>
  <c r="AI41" i="12"/>
  <c r="AI11" i="4" s="1"/>
  <c r="AG79" i="12"/>
  <c r="AL16" i="4" s="1"/>
  <c r="AG78" i="12"/>
  <c r="AL15" i="4" s="1"/>
  <c r="AG81" i="12"/>
  <c r="AL18" i="4" s="1"/>
  <c r="AG77" i="12"/>
  <c r="AL14" i="4" s="1"/>
  <c r="AG82" i="12"/>
  <c r="AL19" i="4" s="1"/>
  <c r="AC117" i="12"/>
  <c r="AH22" i="4" s="1"/>
  <c r="AD117" i="12"/>
  <c r="AI22" i="4" s="1"/>
  <c r="AE117" i="12"/>
  <c r="AJ22" i="4" s="1"/>
  <c r="AF117" i="12"/>
  <c r="AK22" i="4" s="1"/>
  <c r="AG117" i="12"/>
  <c r="AL22" i="4" s="1"/>
  <c r="AH117" i="12"/>
  <c r="AM22" i="4" s="1"/>
  <c r="AI117" i="12"/>
  <c r="AN22" i="4" s="1"/>
  <c r="AJ117" i="12"/>
  <c r="AO22" i="4" s="1"/>
  <c r="AK117" i="12"/>
  <c r="AP22" i="4" s="1"/>
  <c r="AL117" i="12"/>
  <c r="AQ22" i="4" s="1"/>
  <c r="AC118" i="12"/>
  <c r="AH23" i="4" s="1"/>
  <c r="AD118" i="12"/>
  <c r="AI23" i="4" s="1"/>
  <c r="AE118" i="12"/>
  <c r="AJ23" i="4" s="1"/>
  <c r="AF118" i="12"/>
  <c r="AK23" i="4" s="1"/>
  <c r="AG118" i="12"/>
  <c r="AL23" i="4" s="1"/>
  <c r="AH118" i="12"/>
  <c r="AM23" i="4" s="1"/>
  <c r="AI118" i="12"/>
  <c r="AN23" i="4" s="1"/>
  <c r="AJ118" i="12"/>
  <c r="AO23" i="4" s="1"/>
  <c r="AK118" i="12"/>
  <c r="AP23" i="4" s="1"/>
  <c r="AL118" i="12"/>
  <c r="AQ23" i="4" s="1"/>
  <c r="AC119" i="12"/>
  <c r="AH24" i="4" s="1"/>
  <c r="AD119" i="12"/>
  <c r="AI24" i="4" s="1"/>
  <c r="AE119" i="12"/>
  <c r="AJ24" i="4" s="1"/>
  <c r="AF119" i="12"/>
  <c r="AK24" i="4" s="1"/>
  <c r="AG119" i="12"/>
  <c r="AL24" i="4" s="1"/>
  <c r="AH119" i="12"/>
  <c r="AM24" i="4" s="1"/>
  <c r="AI119" i="12"/>
  <c r="AN24" i="4" s="1"/>
  <c r="AJ119" i="12"/>
  <c r="AO24" i="4" s="1"/>
  <c r="AK119" i="12"/>
  <c r="AP24" i="4" s="1"/>
  <c r="AL119" i="12"/>
  <c r="AQ24" i="4" s="1"/>
  <c r="AC120" i="12"/>
  <c r="AH25" i="4" s="1"/>
  <c r="AD120" i="12"/>
  <c r="AI25" i="4" s="1"/>
  <c r="AE120" i="12"/>
  <c r="AJ25" i="4" s="1"/>
  <c r="AF120" i="12"/>
  <c r="AK25" i="4" s="1"/>
  <c r="AG120" i="12"/>
  <c r="AL25" i="4" s="1"/>
  <c r="AH120" i="12"/>
  <c r="AM25" i="4" s="1"/>
  <c r="AI120" i="12"/>
  <c r="AN25" i="4" s="1"/>
  <c r="AJ120" i="12"/>
  <c r="AO25" i="4" s="1"/>
  <c r="AK120" i="12"/>
  <c r="AP25" i="4" s="1"/>
  <c r="AL120" i="12"/>
  <c r="AQ25" i="4" s="1"/>
  <c r="AC121" i="12"/>
  <c r="AH26" i="4" s="1"/>
  <c r="AD121" i="12"/>
  <c r="AI26" i="4" s="1"/>
  <c r="AE121" i="12"/>
  <c r="AJ26" i="4" s="1"/>
  <c r="AF121" i="12"/>
  <c r="AK26" i="4" s="1"/>
  <c r="AG121" i="12"/>
  <c r="AL26" i="4" s="1"/>
  <c r="AH121" i="12"/>
  <c r="AM26" i="4" s="1"/>
  <c r="AI121" i="12"/>
  <c r="AN26" i="4" s="1"/>
  <c r="AJ121" i="12"/>
  <c r="AO26" i="4" s="1"/>
  <c r="AK121" i="12"/>
  <c r="AP26" i="4" s="1"/>
  <c r="AL121" i="12"/>
  <c r="AQ26" i="4" s="1"/>
  <c r="AC122" i="12"/>
  <c r="AH27" i="4" s="1"/>
  <c r="AD122" i="12"/>
  <c r="AI27" i="4" s="1"/>
  <c r="AE122" i="12"/>
  <c r="AJ27" i="4" s="1"/>
  <c r="AF122" i="12"/>
  <c r="AK27" i="4" s="1"/>
  <c r="AG122" i="12"/>
  <c r="AL27" i="4" s="1"/>
  <c r="AH122" i="12"/>
  <c r="AM27" i="4" s="1"/>
  <c r="AI122" i="12"/>
  <c r="AN27" i="4" s="1"/>
  <c r="AJ122" i="12"/>
  <c r="AO27" i="4" s="1"/>
  <c r="AK122" i="12"/>
  <c r="AP27" i="4" s="1"/>
  <c r="AL122" i="12"/>
  <c r="AQ27" i="4" s="1"/>
  <c r="AC123" i="12"/>
  <c r="AH28" i="4" s="1"/>
  <c r="AD123" i="12"/>
  <c r="AI28" i="4" s="1"/>
  <c r="AE123" i="12"/>
  <c r="AJ28" i="4" s="1"/>
  <c r="AF123" i="12"/>
  <c r="AK28" i="4" s="1"/>
  <c r="AG123" i="12"/>
  <c r="AL28" i="4" s="1"/>
  <c r="AH123" i="12"/>
  <c r="AM28" i="4" s="1"/>
  <c r="AI123" i="12"/>
  <c r="AN28" i="4" s="1"/>
  <c r="AJ123" i="12"/>
  <c r="AO28" i="4" s="1"/>
  <c r="AK123" i="12"/>
  <c r="AP28" i="4" s="1"/>
  <c r="AL123" i="12"/>
  <c r="AQ28" i="4" s="1"/>
  <c r="AC124" i="12"/>
  <c r="AH29" i="4" s="1"/>
  <c r="AD124" i="12"/>
  <c r="AI29" i="4" s="1"/>
  <c r="AE124" i="12"/>
  <c r="AJ29" i="4" s="1"/>
  <c r="AF124" i="12"/>
  <c r="AK29" i="4" s="1"/>
  <c r="AG124" i="12"/>
  <c r="AL29" i="4" s="1"/>
  <c r="AH124" i="12"/>
  <c r="AM29" i="4" s="1"/>
  <c r="AI124" i="12"/>
  <c r="AN29" i="4" s="1"/>
  <c r="AJ124" i="12"/>
  <c r="AO29" i="4" s="1"/>
  <c r="AK124" i="12"/>
  <c r="AP29" i="4" s="1"/>
  <c r="AL124" i="12"/>
  <c r="AQ29" i="4" s="1"/>
  <c r="AC125" i="12"/>
  <c r="AH30" i="4" s="1"/>
  <c r="AD125" i="12"/>
  <c r="AI30" i="4" s="1"/>
  <c r="AE125" i="12"/>
  <c r="AJ30" i="4" s="1"/>
  <c r="AF125" i="12"/>
  <c r="AK30" i="4" s="1"/>
  <c r="AG125" i="12"/>
  <c r="AL30" i="4" s="1"/>
  <c r="AH125" i="12"/>
  <c r="AM30" i="4" s="1"/>
  <c r="AI125" i="12"/>
  <c r="AN30" i="4" s="1"/>
  <c r="AJ125" i="12"/>
  <c r="AO30" i="4" s="1"/>
  <c r="AK125" i="12"/>
  <c r="AP30" i="4" s="1"/>
  <c r="AL125" i="12"/>
  <c r="AQ30" i="4" s="1"/>
  <c r="AC126" i="12"/>
  <c r="AH31" i="4" s="1"/>
  <c r="AD126" i="12"/>
  <c r="AI31" i="4" s="1"/>
  <c r="AE126" i="12"/>
  <c r="AJ31" i="4" s="1"/>
  <c r="AF126" i="12"/>
  <c r="AK31" i="4" s="1"/>
  <c r="AG126" i="12"/>
  <c r="AL31" i="4" s="1"/>
  <c r="AH126" i="12"/>
  <c r="AM31" i="4" s="1"/>
  <c r="AI126" i="12"/>
  <c r="AN31" i="4" s="1"/>
  <c r="AJ126" i="12"/>
  <c r="AO31" i="4" s="1"/>
  <c r="AK126" i="12"/>
  <c r="AP31" i="4" s="1"/>
  <c r="AL126" i="12"/>
  <c r="AQ31" i="4" s="1"/>
  <c r="AJ27" i="6" l="1"/>
  <c r="AL22" i="6"/>
  <c r="AO28" i="6"/>
  <c r="AQ23" i="6"/>
  <c r="AJ30" i="6"/>
  <c r="AH23" i="6"/>
  <c r="AP28" i="6"/>
  <c r="AL26" i="6"/>
  <c r="AQ31" i="6"/>
  <c r="AI27" i="6"/>
  <c r="AK22" i="6"/>
  <c r="AP27" i="6"/>
  <c r="AP23" i="6"/>
  <c r="AO31" i="6"/>
  <c r="AQ30" i="6"/>
  <c r="AI30" i="6"/>
  <c r="AK29" i="6"/>
  <c r="AM28" i="6"/>
  <c r="AO27" i="6"/>
  <c r="AQ26" i="6"/>
  <c r="AI26" i="6"/>
  <c r="AK25" i="6"/>
  <c r="AM24" i="6"/>
  <c r="AO23" i="6"/>
  <c r="AQ22" i="6"/>
  <c r="AI22" i="6"/>
  <c r="AH28" i="6"/>
  <c r="AN25" i="6"/>
  <c r="AI31" i="6"/>
  <c r="AQ27" i="6"/>
  <c r="AI23" i="6"/>
  <c r="AH31" i="6"/>
  <c r="AJ26" i="6"/>
  <c r="AJ22" i="6"/>
  <c r="AN31" i="6"/>
  <c r="AP30" i="6"/>
  <c r="AH30" i="6"/>
  <c r="AJ29" i="6"/>
  <c r="AL28" i="6"/>
  <c r="AN27" i="6"/>
  <c r="AP26" i="6"/>
  <c r="AH26" i="6"/>
  <c r="AJ25" i="6"/>
  <c r="AL24" i="6"/>
  <c r="AN23" i="6"/>
  <c r="AP22" i="6"/>
  <c r="AH22" i="6"/>
  <c r="AJ31" i="6"/>
  <c r="AJ23" i="6"/>
  <c r="AK26" i="6"/>
  <c r="AL29" i="6"/>
  <c r="AN24" i="6"/>
  <c r="AM31" i="6"/>
  <c r="AO30" i="6"/>
  <c r="AQ29" i="6"/>
  <c r="AI29" i="6"/>
  <c r="AK28" i="6"/>
  <c r="AM27" i="6"/>
  <c r="AO26" i="6"/>
  <c r="AQ25" i="6"/>
  <c r="AI25" i="6"/>
  <c r="AK24" i="6"/>
  <c r="AM23" i="6"/>
  <c r="AO22" i="6"/>
  <c r="AN29" i="6"/>
  <c r="AP24" i="6"/>
  <c r="AK30" i="6"/>
  <c r="AM25" i="6"/>
  <c r="AP31" i="6"/>
  <c r="AH27" i="6"/>
  <c r="AL31" i="6"/>
  <c r="AP29" i="6"/>
  <c r="AH29" i="6"/>
  <c r="AJ28" i="6"/>
  <c r="AL27" i="6"/>
  <c r="AN26" i="6"/>
  <c r="AP25" i="6"/>
  <c r="AH25" i="6"/>
  <c r="AJ24" i="6"/>
  <c r="AL23" i="6"/>
  <c r="AN22" i="6"/>
  <c r="AL30" i="6"/>
  <c r="AH24" i="6"/>
  <c r="AM29" i="6"/>
  <c r="AO24" i="6"/>
  <c r="AN28" i="6"/>
  <c r="AL25" i="6"/>
  <c r="AN30" i="6"/>
  <c r="AK31" i="6"/>
  <c r="AM30" i="6"/>
  <c r="AO29" i="6"/>
  <c r="AQ28" i="6"/>
  <c r="AI28" i="6"/>
  <c r="AK27" i="6"/>
  <c r="AM26" i="6"/>
  <c r="AO25" i="6"/>
  <c r="AQ24" i="6"/>
  <c r="AI24" i="6"/>
  <c r="AK23" i="6"/>
  <c r="AM22" i="6"/>
  <c r="AL16" i="6"/>
  <c r="AL19" i="6"/>
  <c r="AL15" i="6"/>
  <c r="AL14" i="6"/>
  <c r="AL18" i="6"/>
  <c r="AI4" i="6"/>
  <c r="AI9" i="6"/>
  <c r="AI6" i="6"/>
  <c r="AJ8" i="6"/>
  <c r="AI11" i="6"/>
  <c r="AJ7" i="6"/>
  <c r="AI3" i="6"/>
  <c r="AI10" i="6"/>
  <c r="AI2" i="6"/>
  <c r="AI5" i="6"/>
  <c r="AJ32" i="12"/>
  <c r="AJ2" i="4" s="1"/>
  <c r="AJ35" i="12"/>
  <c r="AJ5" i="4" s="1"/>
  <c r="AJ33" i="12"/>
  <c r="AJ3" i="4" s="1"/>
  <c r="AJ39" i="12"/>
  <c r="AJ9" i="4" s="1"/>
  <c r="AJ34" i="12"/>
  <c r="AJ4" i="4" s="1"/>
  <c r="AJ36" i="12"/>
  <c r="AJ6" i="4" s="1"/>
  <c r="AJ41" i="12"/>
  <c r="AJ11" i="4" s="1"/>
  <c r="AK38" i="12"/>
  <c r="AK8" i="4" s="1"/>
  <c r="AK37" i="12"/>
  <c r="AK7" i="4" s="1"/>
  <c r="AJ40" i="12"/>
  <c r="AJ10" i="4" s="1"/>
  <c r="AH79" i="12"/>
  <c r="AM16" i="4" s="1"/>
  <c r="AH77" i="12"/>
  <c r="AM14" i="4" s="1"/>
  <c r="AH78" i="12"/>
  <c r="AM15" i="4" s="1"/>
  <c r="AH82" i="12"/>
  <c r="AM19" i="4" s="1"/>
  <c r="AH81" i="12"/>
  <c r="AM18" i="4" s="1"/>
  <c r="AB126" i="12"/>
  <c r="AG31" i="4" s="1"/>
  <c r="AA126" i="12"/>
  <c r="AF31" i="4" s="1"/>
  <c r="Z126" i="12"/>
  <c r="AE31" i="4" s="1"/>
  <c r="Y126" i="12"/>
  <c r="AD31" i="4" s="1"/>
  <c r="X126" i="12"/>
  <c r="AC31" i="4" s="1"/>
  <c r="W126" i="12"/>
  <c r="AB31" i="4" s="1"/>
  <c r="V126" i="12"/>
  <c r="AA31" i="4" s="1"/>
  <c r="U126" i="12"/>
  <c r="Z31" i="4" s="1"/>
  <c r="T126" i="12"/>
  <c r="Y31" i="4" s="1"/>
  <c r="S126" i="12"/>
  <c r="X31" i="4" s="1"/>
  <c r="R126" i="12"/>
  <c r="W31" i="4" s="1"/>
  <c r="Q126" i="12"/>
  <c r="V31" i="4" s="1"/>
  <c r="P126" i="12"/>
  <c r="U31" i="4" s="1"/>
  <c r="O126" i="12"/>
  <c r="T31" i="4" s="1"/>
  <c r="N126" i="12"/>
  <c r="S31" i="4" s="1"/>
  <c r="M126" i="12"/>
  <c r="R31" i="4" s="1"/>
  <c r="L126" i="12"/>
  <c r="Q31" i="4" s="1"/>
  <c r="K126" i="12"/>
  <c r="P31" i="4" s="1"/>
  <c r="J126" i="12"/>
  <c r="I126" i="12"/>
  <c r="H126" i="12"/>
  <c r="G126" i="12"/>
  <c r="F126" i="12"/>
  <c r="E126" i="12"/>
  <c r="D126" i="12"/>
  <c r="C126" i="12"/>
  <c r="B126" i="12"/>
  <c r="AB125" i="12"/>
  <c r="AG30" i="4" s="1"/>
  <c r="AA125" i="12"/>
  <c r="AF30" i="4" s="1"/>
  <c r="Z125" i="12"/>
  <c r="AE30" i="4" s="1"/>
  <c r="Y125" i="12"/>
  <c r="AD30" i="4" s="1"/>
  <c r="X125" i="12"/>
  <c r="AC30" i="4" s="1"/>
  <c r="W125" i="12"/>
  <c r="AB30" i="4" s="1"/>
  <c r="V125" i="12"/>
  <c r="AA30" i="4" s="1"/>
  <c r="U125" i="12"/>
  <c r="Z30" i="4" s="1"/>
  <c r="T125" i="12"/>
  <c r="Y30" i="4" s="1"/>
  <c r="S125" i="12"/>
  <c r="X30" i="4" s="1"/>
  <c r="R125" i="12"/>
  <c r="W30" i="4" s="1"/>
  <c r="Q125" i="12"/>
  <c r="V30" i="4" s="1"/>
  <c r="P125" i="12"/>
  <c r="U30" i="4" s="1"/>
  <c r="O125" i="12"/>
  <c r="T30" i="4" s="1"/>
  <c r="N125" i="12"/>
  <c r="S30" i="4" s="1"/>
  <c r="M125" i="12"/>
  <c r="R30" i="4" s="1"/>
  <c r="L125" i="12"/>
  <c r="Q30" i="4" s="1"/>
  <c r="K125" i="12"/>
  <c r="P30" i="4" s="1"/>
  <c r="J125" i="12"/>
  <c r="I125" i="12"/>
  <c r="H125" i="12"/>
  <c r="G125" i="12"/>
  <c r="F125" i="12"/>
  <c r="E125" i="12"/>
  <c r="D125" i="12"/>
  <c r="C125" i="12"/>
  <c r="B125" i="12"/>
  <c r="AB124" i="12"/>
  <c r="AG29" i="4" s="1"/>
  <c r="AA124" i="12"/>
  <c r="AF29" i="4" s="1"/>
  <c r="Z124" i="12"/>
  <c r="AE29" i="4" s="1"/>
  <c r="Y124" i="12"/>
  <c r="AD29" i="4" s="1"/>
  <c r="X124" i="12"/>
  <c r="AC29" i="4" s="1"/>
  <c r="W124" i="12"/>
  <c r="AB29" i="4" s="1"/>
  <c r="V124" i="12"/>
  <c r="AA29" i="4" s="1"/>
  <c r="U124" i="12"/>
  <c r="Z29" i="4" s="1"/>
  <c r="T124" i="12"/>
  <c r="Y29" i="4" s="1"/>
  <c r="S124" i="12"/>
  <c r="X29" i="4" s="1"/>
  <c r="R124" i="12"/>
  <c r="W29" i="4" s="1"/>
  <c r="Q124" i="12"/>
  <c r="V29" i="4" s="1"/>
  <c r="P124" i="12"/>
  <c r="U29" i="4" s="1"/>
  <c r="O124" i="12"/>
  <c r="T29" i="4" s="1"/>
  <c r="N124" i="12"/>
  <c r="S29" i="4" s="1"/>
  <c r="M124" i="12"/>
  <c r="R29" i="4" s="1"/>
  <c r="L124" i="12"/>
  <c r="Q29" i="4" s="1"/>
  <c r="K124" i="12"/>
  <c r="P29" i="4" s="1"/>
  <c r="J124" i="12"/>
  <c r="I124" i="12"/>
  <c r="H124" i="12"/>
  <c r="G124" i="12"/>
  <c r="F124" i="12"/>
  <c r="E124" i="12"/>
  <c r="D124" i="12"/>
  <c r="C124" i="12"/>
  <c r="B124" i="12"/>
  <c r="AB123" i="12"/>
  <c r="AG28" i="4" s="1"/>
  <c r="AA123" i="12"/>
  <c r="AF28" i="4" s="1"/>
  <c r="Z123" i="12"/>
  <c r="AE28" i="4" s="1"/>
  <c r="Y123" i="12"/>
  <c r="AD28" i="4" s="1"/>
  <c r="X123" i="12"/>
  <c r="AC28" i="4" s="1"/>
  <c r="W123" i="12"/>
  <c r="AB28" i="4" s="1"/>
  <c r="V123" i="12"/>
  <c r="AA28" i="4" s="1"/>
  <c r="U123" i="12"/>
  <c r="Z28" i="4" s="1"/>
  <c r="T123" i="12"/>
  <c r="Y28" i="4" s="1"/>
  <c r="S123" i="12"/>
  <c r="X28" i="4" s="1"/>
  <c r="R123" i="12"/>
  <c r="W28" i="4" s="1"/>
  <c r="Q123" i="12"/>
  <c r="V28" i="4" s="1"/>
  <c r="P123" i="12"/>
  <c r="U28" i="4" s="1"/>
  <c r="O123" i="12"/>
  <c r="T28" i="4" s="1"/>
  <c r="N123" i="12"/>
  <c r="S28" i="4" s="1"/>
  <c r="M123" i="12"/>
  <c r="R28" i="4" s="1"/>
  <c r="L123" i="12"/>
  <c r="Q28" i="4" s="1"/>
  <c r="K123" i="12"/>
  <c r="P28" i="4" s="1"/>
  <c r="J123" i="12"/>
  <c r="I123" i="12"/>
  <c r="H123" i="12"/>
  <c r="G123" i="12"/>
  <c r="F123" i="12"/>
  <c r="E123" i="12"/>
  <c r="D123" i="12"/>
  <c r="C123" i="12"/>
  <c r="B123" i="12"/>
  <c r="AB122" i="12"/>
  <c r="AG27" i="4" s="1"/>
  <c r="AA122" i="12"/>
  <c r="AF27" i="4" s="1"/>
  <c r="Z122" i="12"/>
  <c r="AE27" i="4" s="1"/>
  <c r="Y122" i="12"/>
  <c r="AD27" i="4" s="1"/>
  <c r="X122" i="12"/>
  <c r="AC27" i="4" s="1"/>
  <c r="W122" i="12"/>
  <c r="AB27" i="4" s="1"/>
  <c r="V122" i="12"/>
  <c r="AA27" i="4" s="1"/>
  <c r="U122" i="12"/>
  <c r="Z27" i="4" s="1"/>
  <c r="T122" i="12"/>
  <c r="Y27" i="4" s="1"/>
  <c r="S122" i="12"/>
  <c r="X27" i="4" s="1"/>
  <c r="R122" i="12"/>
  <c r="W27" i="4" s="1"/>
  <c r="Q122" i="12"/>
  <c r="V27" i="4" s="1"/>
  <c r="P122" i="12"/>
  <c r="U27" i="4" s="1"/>
  <c r="O122" i="12"/>
  <c r="T27" i="4" s="1"/>
  <c r="N122" i="12"/>
  <c r="S27" i="4" s="1"/>
  <c r="M122" i="12"/>
  <c r="R27" i="4" s="1"/>
  <c r="L122" i="12"/>
  <c r="Q27" i="4" s="1"/>
  <c r="K122" i="12"/>
  <c r="P27" i="4" s="1"/>
  <c r="J122" i="12"/>
  <c r="I122" i="12"/>
  <c r="H122" i="12"/>
  <c r="G122" i="12"/>
  <c r="F122" i="12"/>
  <c r="E122" i="12"/>
  <c r="D122" i="12"/>
  <c r="C122" i="12"/>
  <c r="B122" i="12"/>
  <c r="AB121" i="12"/>
  <c r="AG26" i="4" s="1"/>
  <c r="AA121" i="12"/>
  <c r="AF26" i="4" s="1"/>
  <c r="Z121" i="12"/>
  <c r="AE26" i="4" s="1"/>
  <c r="Y121" i="12"/>
  <c r="AD26" i="4" s="1"/>
  <c r="X121" i="12"/>
  <c r="AC26" i="4" s="1"/>
  <c r="W121" i="12"/>
  <c r="AB26" i="4" s="1"/>
  <c r="V121" i="12"/>
  <c r="AA26" i="4" s="1"/>
  <c r="U121" i="12"/>
  <c r="Z26" i="4" s="1"/>
  <c r="T121" i="12"/>
  <c r="Y26" i="4" s="1"/>
  <c r="S121" i="12"/>
  <c r="X26" i="4" s="1"/>
  <c r="R121" i="12"/>
  <c r="W26" i="4" s="1"/>
  <c r="Q121" i="12"/>
  <c r="V26" i="4" s="1"/>
  <c r="P121" i="12"/>
  <c r="U26" i="4" s="1"/>
  <c r="O121" i="12"/>
  <c r="T26" i="4" s="1"/>
  <c r="N121" i="12"/>
  <c r="S26" i="4" s="1"/>
  <c r="M121" i="12"/>
  <c r="R26" i="4" s="1"/>
  <c r="L121" i="12"/>
  <c r="Q26" i="4" s="1"/>
  <c r="K121" i="12"/>
  <c r="P26" i="4" s="1"/>
  <c r="J121" i="12"/>
  <c r="I121" i="12"/>
  <c r="H121" i="12"/>
  <c r="G121" i="12"/>
  <c r="F121" i="12"/>
  <c r="E121" i="12"/>
  <c r="D121" i="12"/>
  <c r="C121" i="12"/>
  <c r="B121" i="12"/>
  <c r="AB120" i="12"/>
  <c r="AG25" i="4" s="1"/>
  <c r="AA120" i="12"/>
  <c r="AF25" i="4" s="1"/>
  <c r="Z120" i="12"/>
  <c r="AE25" i="4" s="1"/>
  <c r="Y120" i="12"/>
  <c r="AD25" i="4" s="1"/>
  <c r="X120" i="12"/>
  <c r="AC25" i="4" s="1"/>
  <c r="W120" i="12"/>
  <c r="AB25" i="4" s="1"/>
  <c r="V120" i="12"/>
  <c r="AA25" i="4" s="1"/>
  <c r="U120" i="12"/>
  <c r="Z25" i="4" s="1"/>
  <c r="T120" i="12"/>
  <c r="Y25" i="4" s="1"/>
  <c r="S120" i="12"/>
  <c r="X25" i="4" s="1"/>
  <c r="R120" i="12"/>
  <c r="W25" i="4" s="1"/>
  <c r="Q120" i="12"/>
  <c r="V25" i="4" s="1"/>
  <c r="P120" i="12"/>
  <c r="U25" i="4" s="1"/>
  <c r="O120" i="12"/>
  <c r="T25" i="4" s="1"/>
  <c r="N120" i="12"/>
  <c r="S25" i="4" s="1"/>
  <c r="M120" i="12"/>
  <c r="R25" i="4" s="1"/>
  <c r="L120" i="12"/>
  <c r="Q25" i="4" s="1"/>
  <c r="K120" i="12"/>
  <c r="P25" i="4" s="1"/>
  <c r="J120" i="12"/>
  <c r="I120" i="12"/>
  <c r="H120" i="12"/>
  <c r="G120" i="12"/>
  <c r="F120" i="12"/>
  <c r="E120" i="12"/>
  <c r="D120" i="12"/>
  <c r="C120" i="12"/>
  <c r="B120" i="12"/>
  <c r="AB119" i="12"/>
  <c r="AG24" i="4" s="1"/>
  <c r="AA119" i="12"/>
  <c r="AF24" i="4" s="1"/>
  <c r="Z119" i="12"/>
  <c r="AE24" i="4" s="1"/>
  <c r="Y119" i="12"/>
  <c r="AD24" i="4" s="1"/>
  <c r="X119" i="12"/>
  <c r="AC24" i="4" s="1"/>
  <c r="W119" i="12"/>
  <c r="AB24" i="4" s="1"/>
  <c r="V119" i="12"/>
  <c r="AA24" i="4" s="1"/>
  <c r="U119" i="12"/>
  <c r="Z24" i="4" s="1"/>
  <c r="T119" i="12"/>
  <c r="Y24" i="4" s="1"/>
  <c r="S119" i="12"/>
  <c r="X24" i="4" s="1"/>
  <c r="R119" i="12"/>
  <c r="W24" i="4" s="1"/>
  <c r="Q119" i="12"/>
  <c r="V24" i="4" s="1"/>
  <c r="P119" i="12"/>
  <c r="U24" i="4" s="1"/>
  <c r="O119" i="12"/>
  <c r="T24" i="4" s="1"/>
  <c r="N119" i="12"/>
  <c r="S24" i="4" s="1"/>
  <c r="M119" i="12"/>
  <c r="R24" i="4" s="1"/>
  <c r="L119" i="12"/>
  <c r="Q24" i="4" s="1"/>
  <c r="K119" i="12"/>
  <c r="P24" i="4" s="1"/>
  <c r="J119" i="12"/>
  <c r="I119" i="12"/>
  <c r="H119" i="12"/>
  <c r="G119" i="12"/>
  <c r="F119" i="12"/>
  <c r="E119" i="12"/>
  <c r="D119" i="12"/>
  <c r="C119" i="12"/>
  <c r="B119" i="12"/>
  <c r="AB118" i="12"/>
  <c r="AG23" i="4" s="1"/>
  <c r="AA118" i="12"/>
  <c r="AF23" i="4" s="1"/>
  <c r="Z118" i="12"/>
  <c r="AE23" i="4" s="1"/>
  <c r="Y118" i="12"/>
  <c r="AD23" i="4" s="1"/>
  <c r="X118" i="12"/>
  <c r="AC23" i="4" s="1"/>
  <c r="W118" i="12"/>
  <c r="AB23" i="4" s="1"/>
  <c r="V118" i="12"/>
  <c r="AA23" i="4" s="1"/>
  <c r="U118" i="12"/>
  <c r="Z23" i="4" s="1"/>
  <c r="T118" i="12"/>
  <c r="Y23" i="4" s="1"/>
  <c r="S118" i="12"/>
  <c r="X23" i="4" s="1"/>
  <c r="R118" i="12"/>
  <c r="W23" i="4" s="1"/>
  <c r="Q118" i="12"/>
  <c r="V23" i="4" s="1"/>
  <c r="P118" i="12"/>
  <c r="U23" i="4" s="1"/>
  <c r="O118" i="12"/>
  <c r="T23" i="4" s="1"/>
  <c r="N118" i="12"/>
  <c r="S23" i="4" s="1"/>
  <c r="M118" i="12"/>
  <c r="R23" i="4" s="1"/>
  <c r="L118" i="12"/>
  <c r="Q23" i="4" s="1"/>
  <c r="K118" i="12"/>
  <c r="P23" i="4" s="1"/>
  <c r="J118" i="12"/>
  <c r="I118" i="12"/>
  <c r="H118" i="12"/>
  <c r="G118" i="12"/>
  <c r="F118" i="12"/>
  <c r="E118" i="12"/>
  <c r="D118" i="12"/>
  <c r="C118" i="12"/>
  <c r="B118" i="12"/>
  <c r="C117" i="12"/>
  <c r="D117" i="12"/>
  <c r="E117" i="12"/>
  <c r="F117" i="12"/>
  <c r="G117" i="12"/>
  <c r="H117" i="12"/>
  <c r="I117" i="12"/>
  <c r="J117" i="12"/>
  <c r="K117" i="12"/>
  <c r="P22" i="4" s="1"/>
  <c r="L117" i="12"/>
  <c r="Q22" i="4" s="1"/>
  <c r="M117" i="12"/>
  <c r="R22" i="4" s="1"/>
  <c r="N117" i="12"/>
  <c r="S22" i="4" s="1"/>
  <c r="O117" i="12"/>
  <c r="T22" i="4" s="1"/>
  <c r="P117" i="12"/>
  <c r="U22" i="4" s="1"/>
  <c r="Q117" i="12"/>
  <c r="V22" i="4" s="1"/>
  <c r="R117" i="12"/>
  <c r="W22" i="4" s="1"/>
  <c r="S117" i="12"/>
  <c r="X22" i="4" s="1"/>
  <c r="T117" i="12"/>
  <c r="Y22" i="4" s="1"/>
  <c r="U117" i="12"/>
  <c r="Z22" i="4" s="1"/>
  <c r="V117" i="12"/>
  <c r="AA22" i="4" s="1"/>
  <c r="W117" i="12"/>
  <c r="AB22" i="4" s="1"/>
  <c r="X117" i="12"/>
  <c r="AC22" i="4" s="1"/>
  <c r="Y117" i="12"/>
  <c r="AD22" i="4" s="1"/>
  <c r="Z117" i="12"/>
  <c r="AE22" i="4" s="1"/>
  <c r="AA117" i="12"/>
  <c r="AF22" i="4" s="1"/>
  <c r="AB117" i="12"/>
  <c r="AG22" i="4" s="1"/>
  <c r="B117" i="12"/>
  <c r="AM18" i="6" l="1"/>
  <c r="AM19" i="6"/>
  <c r="AM16" i="6"/>
  <c r="AM15" i="6"/>
  <c r="AM14" i="6"/>
  <c r="AK8" i="6"/>
  <c r="AJ11" i="6"/>
  <c r="AJ6" i="6"/>
  <c r="AJ4" i="6"/>
  <c r="AJ9" i="6"/>
  <c r="AJ3" i="6"/>
  <c r="AJ10" i="6"/>
  <c r="AJ5" i="6"/>
  <c r="AK7" i="6"/>
  <c r="AJ2" i="6"/>
  <c r="AL38" i="12"/>
  <c r="AL8" i="4" s="1"/>
  <c r="AK39" i="12"/>
  <c r="AK9" i="4" s="1"/>
  <c r="AK41" i="12"/>
  <c r="AK11" i="4" s="1"/>
  <c r="AK33" i="12"/>
  <c r="AK3" i="4" s="1"/>
  <c r="AK40" i="12"/>
  <c r="AK10" i="4" s="1"/>
  <c r="AK36" i="12"/>
  <c r="AK6" i="4" s="1"/>
  <c r="AK35" i="12"/>
  <c r="AK5" i="4" s="1"/>
  <c r="AL37" i="12"/>
  <c r="AL7" i="4" s="1"/>
  <c r="AK34" i="12"/>
  <c r="AK4" i="4" s="1"/>
  <c r="AK32" i="12"/>
  <c r="AK2" i="4" s="1"/>
  <c r="AI79" i="12"/>
  <c r="AN16" i="4" s="1"/>
  <c r="AI81" i="12"/>
  <c r="AN18" i="4" s="1"/>
  <c r="AI78" i="12"/>
  <c r="AN15" i="4" s="1"/>
  <c r="AI82" i="12"/>
  <c r="AN19" i="4" s="1"/>
  <c r="AI77" i="12"/>
  <c r="AN14" i="4" s="1"/>
  <c r="B76" i="12"/>
  <c r="B77" i="12"/>
  <c r="B78" i="12"/>
  <c r="B79" i="12"/>
  <c r="B80" i="12"/>
  <c r="B81" i="12"/>
  <c r="B82" i="12"/>
  <c r="B83" i="12"/>
  <c r="B84" i="12"/>
  <c r="B75" i="12"/>
  <c r="AN16" i="6" l="1"/>
  <c r="AN19" i="6"/>
  <c r="AN15" i="6"/>
  <c r="AN14" i="6"/>
  <c r="AN18" i="6"/>
  <c r="AK6" i="6"/>
  <c r="AK3" i="6"/>
  <c r="AL7" i="6"/>
  <c r="AK11" i="6"/>
  <c r="AK2" i="6"/>
  <c r="AK9" i="6"/>
  <c r="AK5" i="6"/>
  <c r="AK10" i="6"/>
  <c r="AK4" i="6"/>
  <c r="AL8" i="6"/>
  <c r="AL34" i="12"/>
  <c r="AL4" i="4" s="1"/>
  <c r="AM38" i="12"/>
  <c r="AM8" i="4" s="1"/>
  <c r="AM37" i="12"/>
  <c r="AM7" i="4" s="1"/>
  <c r="AL33" i="12"/>
  <c r="AL3" i="4" s="1"/>
  <c r="AL40" i="12"/>
  <c r="AL10" i="4" s="1"/>
  <c r="AL35" i="12"/>
  <c r="AL5" i="4" s="1"/>
  <c r="AL41" i="12"/>
  <c r="AL11" i="4" s="1"/>
  <c r="AL32" i="12"/>
  <c r="AL2" i="4" s="1"/>
  <c r="AL36" i="12"/>
  <c r="AL6" i="4" s="1"/>
  <c r="AL39" i="12"/>
  <c r="AL9" i="4" s="1"/>
  <c r="AJ79" i="12"/>
  <c r="AO16" i="4" s="1"/>
  <c r="AJ82" i="12"/>
  <c r="AO19" i="4" s="1"/>
  <c r="AJ81" i="12"/>
  <c r="AO18" i="4" s="1"/>
  <c r="AJ77" i="12"/>
  <c r="AO14" i="4" s="1"/>
  <c r="AJ78" i="12"/>
  <c r="AO15" i="4" s="1"/>
  <c r="AO15" i="6" l="1"/>
  <c r="AO14" i="6"/>
  <c r="AO18" i="6"/>
  <c r="AO16" i="6"/>
  <c r="AO19" i="6"/>
  <c r="AL2" i="6"/>
  <c r="AM7" i="6"/>
  <c r="AL11" i="6"/>
  <c r="AL10" i="6"/>
  <c r="AL9" i="6"/>
  <c r="AM8" i="6"/>
  <c r="AL5" i="6"/>
  <c r="AL3" i="6"/>
  <c r="AL6" i="6"/>
  <c r="AL4" i="6"/>
  <c r="AM32" i="12"/>
  <c r="AM2" i="4" s="1"/>
  <c r="AM33" i="12"/>
  <c r="AM3" i="4" s="1"/>
  <c r="AM39" i="12"/>
  <c r="AM9" i="4" s="1"/>
  <c r="AM35" i="12"/>
  <c r="AM5" i="4" s="1"/>
  <c r="AN38" i="12"/>
  <c r="AN8" i="4" s="1"/>
  <c r="AN37" i="12"/>
  <c r="AN7" i="4" s="1"/>
  <c r="AM41" i="12"/>
  <c r="AM11" i="4" s="1"/>
  <c r="AM36" i="12"/>
  <c r="AM6" i="4" s="1"/>
  <c r="AM40" i="12"/>
  <c r="AM10" i="4" s="1"/>
  <c r="AM34" i="12"/>
  <c r="AM4" i="4" s="1"/>
  <c r="AL79" i="12"/>
  <c r="AQ16" i="4" s="1"/>
  <c r="AK79" i="12"/>
  <c r="AP16" i="4" s="1"/>
  <c r="AL78" i="12"/>
  <c r="AQ15" i="4" s="1"/>
  <c r="AK78" i="12"/>
  <c r="AP15" i="4" s="1"/>
  <c r="AL81" i="12"/>
  <c r="AQ18" i="4" s="1"/>
  <c r="AK81" i="12"/>
  <c r="AP18" i="4" s="1"/>
  <c r="AL77" i="12"/>
  <c r="AQ14" i="4" s="1"/>
  <c r="AK77" i="12"/>
  <c r="AP14" i="4" s="1"/>
  <c r="AL82" i="12"/>
  <c r="AQ19" i="4" s="1"/>
  <c r="AK82" i="12"/>
  <c r="AP19" i="4" s="1"/>
  <c r="AQ16" i="6" l="1"/>
  <c r="AQ14" i="6"/>
  <c r="AP14" i="6"/>
  <c r="AP15" i="6"/>
  <c r="AQ15" i="6"/>
  <c r="AQ19" i="6"/>
  <c r="AP18" i="6"/>
  <c r="AQ18" i="6"/>
  <c r="AP19" i="6"/>
  <c r="AP16" i="6"/>
  <c r="AM6" i="6"/>
  <c r="AN7" i="6"/>
  <c r="AM5" i="6"/>
  <c r="AM9" i="6"/>
  <c r="AM11" i="6"/>
  <c r="AN8" i="6"/>
  <c r="AM4" i="6"/>
  <c r="AM3" i="6"/>
  <c r="AM10" i="6"/>
  <c r="AM2" i="6"/>
  <c r="AN40" i="12"/>
  <c r="AN10" i="4" s="1"/>
  <c r="AO38" i="12"/>
  <c r="AO8" i="4" s="1"/>
  <c r="AN34" i="12"/>
  <c r="AN4" i="4" s="1"/>
  <c r="AO37" i="12"/>
  <c r="AO7" i="4" s="1"/>
  <c r="AN36" i="12"/>
  <c r="AN6" i="4" s="1"/>
  <c r="AN35" i="12"/>
  <c r="AN5" i="4" s="1"/>
  <c r="AN33" i="12"/>
  <c r="AN3" i="4" s="1"/>
  <c r="AN41" i="12"/>
  <c r="AN11" i="4" s="1"/>
  <c r="AN39" i="12"/>
  <c r="AN9" i="4" s="1"/>
  <c r="AN32" i="12"/>
  <c r="AN2" i="4" s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AG2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2" i="6"/>
  <c r="AN11" i="6" l="1"/>
  <c r="AN3" i="6"/>
  <c r="AN5" i="6"/>
  <c r="AN6" i="6"/>
  <c r="AO7" i="6"/>
  <c r="AN4" i="6"/>
  <c r="AN2" i="6"/>
  <c r="AO8" i="6"/>
  <c r="AN9" i="6"/>
  <c r="AN10" i="6"/>
  <c r="AO41" i="12"/>
  <c r="AO11" i="4" s="1"/>
  <c r="AQ37" i="12"/>
  <c r="AQ7" i="4" s="1"/>
  <c r="AP37" i="12"/>
  <c r="AP7" i="4" s="1"/>
  <c r="AO32" i="12"/>
  <c r="AO2" i="4" s="1"/>
  <c r="AO35" i="12"/>
  <c r="AO5" i="4" s="1"/>
  <c r="AQ38" i="12"/>
  <c r="AQ8" i="4" s="1"/>
  <c r="AP38" i="12"/>
  <c r="AP8" i="4" s="1"/>
  <c r="AO33" i="12"/>
  <c r="AO3" i="4" s="1"/>
  <c r="AO34" i="12"/>
  <c r="AO4" i="4" s="1"/>
  <c r="AO39" i="12"/>
  <c r="AO9" i="4" s="1"/>
  <c r="AO36" i="12"/>
  <c r="AO6" i="4" s="1"/>
  <c r="AO40" i="12"/>
  <c r="AO10" i="4" s="1"/>
  <c r="AQ8" i="6" l="1"/>
  <c r="AP8" i="6"/>
  <c r="AO5" i="6"/>
  <c r="AO10" i="6"/>
  <c r="AO2" i="6"/>
  <c r="AO6" i="6"/>
  <c r="AO3" i="6"/>
  <c r="AP7" i="6"/>
  <c r="AO9" i="6"/>
  <c r="AQ7" i="6"/>
  <c r="AO4" i="6"/>
  <c r="AO11" i="6"/>
  <c r="AQ39" i="12"/>
  <c r="AQ9" i="4" s="1"/>
  <c r="AP39" i="12"/>
  <c r="AP9" i="4" s="1"/>
  <c r="AQ35" i="12"/>
  <c r="AQ5" i="4" s="1"/>
  <c r="AP35" i="12"/>
  <c r="AP5" i="4" s="1"/>
  <c r="AQ32" i="12"/>
  <c r="AQ2" i="4" s="1"/>
  <c r="AP32" i="12"/>
  <c r="AP2" i="4" s="1"/>
  <c r="AQ40" i="12"/>
  <c r="AQ10" i="4" s="1"/>
  <c r="AP40" i="12"/>
  <c r="AP10" i="4" s="1"/>
  <c r="AQ33" i="12"/>
  <c r="AQ3" i="4" s="1"/>
  <c r="AP33" i="12"/>
  <c r="AP3" i="4" s="1"/>
  <c r="AQ34" i="12"/>
  <c r="AQ4" i="4" s="1"/>
  <c r="AP34" i="12"/>
  <c r="AP4" i="4" s="1"/>
  <c r="AQ36" i="12"/>
  <c r="AQ6" i="4" s="1"/>
  <c r="AP36" i="12"/>
  <c r="AP6" i="4" s="1"/>
  <c r="AQ41" i="12"/>
  <c r="AQ11" i="4" s="1"/>
  <c r="AP41" i="12"/>
  <c r="AP11" i="4" s="1"/>
  <c r="AQ5" i="6" l="1"/>
  <c r="AP5" i="6"/>
  <c r="AP9" i="6"/>
  <c r="AP4" i="6"/>
  <c r="AP3" i="6"/>
  <c r="AQ3" i="6"/>
  <c r="AQ9" i="6"/>
  <c r="AP10" i="6"/>
  <c r="AQ11" i="6"/>
  <c r="AQ10" i="6"/>
  <c r="AQ4" i="6"/>
  <c r="AP6" i="6"/>
  <c r="AP2" i="6"/>
  <c r="AP11" i="6"/>
  <c r="AQ6" i="6"/>
  <c r="AQ2" i="6"/>
</calcChain>
</file>

<file path=xl/sharedStrings.xml><?xml version="1.0" encoding="utf-8"?>
<sst xmlns="http://schemas.openxmlformats.org/spreadsheetml/2006/main" count="254" uniqueCount="56">
  <si>
    <t>Reference Case</t>
  </si>
  <si>
    <t>New England</t>
  </si>
  <si>
    <t>Middle Atlantic</t>
  </si>
  <si>
    <t>East North Central</t>
  </si>
  <si>
    <t>West North Central</t>
  </si>
  <si>
    <t>South Atlantic</t>
  </si>
  <si>
    <t>East South Central</t>
  </si>
  <si>
    <t>West South Central</t>
  </si>
  <si>
    <t>Mountain</t>
  </si>
  <si>
    <t>Pacific</t>
  </si>
  <si>
    <t>Total</t>
  </si>
  <si>
    <t>Demand is in Quads</t>
  </si>
  <si>
    <t>High Economic Growth</t>
  </si>
  <si>
    <t>Low Economic Growth</t>
  </si>
  <si>
    <t>Demand Adjusted</t>
  </si>
  <si>
    <t>Year</t>
  </si>
  <si>
    <t>New England: High economic growth quads</t>
  </si>
  <si>
    <t>Middle Atlantic: High economic growth quads</t>
  </si>
  <si>
    <t>East North Central: High economic growth quads</t>
  </si>
  <si>
    <t>West North Central: High economic growth quads</t>
  </si>
  <si>
    <t>South Atlantic: High economic growth quads</t>
  </si>
  <si>
    <t>East South Central: High economic growth quads</t>
  </si>
  <si>
    <t>West South Central: High economic growth quads</t>
  </si>
  <si>
    <t>Mountain: High economic growth quads</t>
  </si>
  <si>
    <t>Pacific: High economic growth quads</t>
  </si>
  <si>
    <t>United States: High economic growth quads</t>
  </si>
  <si>
    <t>High Economic Gowth (Quads)</t>
  </si>
  <si>
    <t>New England: Low economic growth quads</t>
  </si>
  <si>
    <t>Middle Atlantic: Low economic growth quads</t>
  </si>
  <si>
    <t>East North Central: Low economic growth quads</t>
  </si>
  <si>
    <t>West North Central: Low economic growth quads</t>
  </si>
  <si>
    <t>South Atlantic: Low economic growth quads</t>
  </si>
  <si>
    <t>East South Central: Low economic growth quads</t>
  </si>
  <si>
    <t>West South Central: Low economic growth quads</t>
  </si>
  <si>
    <t>Mountain: Low economic growth quads</t>
  </si>
  <si>
    <t>Pacific: Low economic growth quads</t>
  </si>
  <si>
    <t>United States: Low economic growth quads</t>
  </si>
  <si>
    <t>Low Economic Growth(Quads)</t>
  </si>
  <si>
    <t>Demand met by rooftop PV (Quads)</t>
  </si>
  <si>
    <t>Demand met by Rooftop PV (Quads)</t>
  </si>
  <si>
    <t>Reference Scenario</t>
  </si>
  <si>
    <t>Adjusted- Low Economic Growth &lt;-- This is used in the Demand by Case on the next tab</t>
  </si>
  <si>
    <t>Adjusted High Economic Growth (Quads) &lt;-- This is used in the Demand by Case on the next tab</t>
  </si>
  <si>
    <t>Total Demand (Quads) &lt;-- This is used in the Demand by Case on the next tab</t>
  </si>
  <si>
    <t>AEO 2025 Demand (Quads)</t>
  </si>
  <si>
    <t>AEO 2025 Demand met by Rooftop PV (Quads)</t>
  </si>
  <si>
    <t>AEO 2025</t>
  </si>
  <si>
    <t>scenario</t>
  </si>
  <si>
    <t>cendiv</t>
  </si>
  <si>
    <t>NewEngland</t>
  </si>
  <si>
    <t>MiddleAtlantic</t>
  </si>
  <si>
    <t>EastNorthCentral</t>
  </si>
  <si>
    <t>WestNorthCentral</t>
  </si>
  <si>
    <t>SouthAtlantic</t>
  </si>
  <si>
    <t>EastSouthCentral</t>
  </si>
  <si>
    <t>WestSouthCentral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</si>
</sst>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164" fontId="0" fillId="0" borderId="0" xfId="0" applyNumberFormat="1"/>
    <xf numFmtId="164" fontId="3" fillId="0" borderId="0" xfId="0" applyNumberFormat="1" applyFont="1"/>
    <xf numFmtId="0" fontId="4" fillId="0" borderId="0" xfId="0" applyFont="1"/>
  </cellXfs>
  <cellStyles count="2">
    <cellStyle name="Normal" xfId="0" builtinId="0"/>
    <cellStyle name="Normal 100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'Demand by Case'!$B$2</c:f>
              <c:strCache>
                <c:ptCount val="1"/>
                <c:pt idx="0">
                  <c:v>New England</c:v>
                </c:pt>
              </c:strCache>
            </c:strRef>
          </c:tx>
          <c:xVal>
            <c:numRef>
              <c:f>'Demand by Case'!$C$1:$AQ$1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by Case'!$C$2:$AQ$2</c:f>
              <c:numCache>
                <c:formatCode>General</c:formatCode>
                <c:ptCount val="41"/>
                <c:pt idx="0">
                  <c:v>0.42</c:v>
                </c:pt>
                <c:pt idx="1">
                  <c:v>0.41174100000000002</c:v>
                </c:pt>
                <c:pt idx="2">
                  <c:v>0.41017399999999998</c:v>
                </c:pt>
                <c:pt idx="3">
                  <c:v>0.41102066999999998</c:v>
                </c:pt>
                <c:pt idx="4">
                  <c:v>0.44005517</c:v>
                </c:pt>
                <c:pt idx="5">
                  <c:v>0.41126467999999999</c:v>
                </c:pt>
                <c:pt idx="6">
                  <c:v>0.40693478999999999</c:v>
                </c:pt>
                <c:pt idx="7">
                  <c:v>0.43105186000000001</c:v>
                </c:pt>
                <c:pt idx="8">
                  <c:v>0.42616219999999999</c:v>
                </c:pt>
                <c:pt idx="9">
                  <c:v>0.40360152999999999</c:v>
                </c:pt>
                <c:pt idx="10">
                  <c:v>0.40095227999999999</c:v>
                </c:pt>
                <c:pt idx="11">
                  <c:v>0.40835083999999999</c:v>
                </c:pt>
                <c:pt idx="12">
                  <c:v>0.41452341000000004</c:v>
                </c:pt>
                <c:pt idx="13">
                  <c:v>0.40848953000000005</c:v>
                </c:pt>
                <c:pt idx="14">
                  <c:v>0.41749120000000001</c:v>
                </c:pt>
                <c:pt idx="15">
                  <c:v>0.41845779000000005</c:v>
                </c:pt>
                <c:pt idx="16">
                  <c:v>0.42134640000000001</c:v>
                </c:pt>
                <c:pt idx="17">
                  <c:v>0.43035679000000004</c:v>
                </c:pt>
                <c:pt idx="18">
                  <c:v>0.43853647000000001</c:v>
                </c:pt>
                <c:pt idx="19">
                  <c:v>0.44782744000000002</c:v>
                </c:pt>
                <c:pt idx="20">
                  <c:v>0.45604887</c:v>
                </c:pt>
                <c:pt idx="21">
                  <c:v>0.46457729999999997</c:v>
                </c:pt>
                <c:pt idx="22">
                  <c:v>0.47377751999999995</c:v>
                </c:pt>
                <c:pt idx="23">
                  <c:v>0.48302887000000005</c:v>
                </c:pt>
                <c:pt idx="24">
                  <c:v>0.49259997</c:v>
                </c:pt>
                <c:pt idx="25">
                  <c:v>0.50287513000000006</c:v>
                </c:pt>
                <c:pt idx="26">
                  <c:v>0.51408147000000004</c:v>
                </c:pt>
                <c:pt idx="27">
                  <c:v>0.52513447999999996</c:v>
                </c:pt>
                <c:pt idx="28">
                  <c:v>0.53625345999999996</c:v>
                </c:pt>
                <c:pt idx="29">
                  <c:v>0.54732945999999993</c:v>
                </c:pt>
                <c:pt idx="30">
                  <c:v>0.55794659999999996</c:v>
                </c:pt>
                <c:pt idx="31">
                  <c:v>0.56800636999999998</c:v>
                </c:pt>
                <c:pt idx="32">
                  <c:v>0.57730051999999998</c:v>
                </c:pt>
                <c:pt idx="33">
                  <c:v>0.58584453999999997</c:v>
                </c:pt>
                <c:pt idx="34">
                  <c:v>0.59391349000000004</c:v>
                </c:pt>
                <c:pt idx="35">
                  <c:v>0.60220446000000005</c:v>
                </c:pt>
                <c:pt idx="36">
                  <c:v>0.60945428000000001</c:v>
                </c:pt>
                <c:pt idx="37">
                  <c:v>0.61670353</c:v>
                </c:pt>
                <c:pt idx="38">
                  <c:v>0.62378575000000003</c:v>
                </c:pt>
                <c:pt idx="39">
                  <c:v>0.63118663999999991</c:v>
                </c:pt>
                <c:pt idx="40">
                  <c:v>0.63884774999999994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E0-48B1-9D60-BE0E7EAF7F1B}"/>
            </c:ext>
          </c:extLst>
        </c:ser>
        <c:ser>
          <c:idx val="1"/>
          <c:order val="1"/>
          <c:tx>
            <c:strRef>
              <c:f>'Demand by Case'!$B$3</c:f>
              <c:strCache>
                <c:ptCount val="1"/>
                <c:pt idx="0">
                  <c:v>Middle Atlantic</c:v>
                </c:pt>
              </c:strCache>
            </c:strRef>
          </c:tx>
          <c:xVal>
            <c:numRef>
              <c:f>'Demand by Case'!$C$1:$AQ$1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by Case'!$C$3:$AQ$3</c:f>
              <c:numCache>
                <c:formatCode>General</c:formatCode>
                <c:ptCount val="41"/>
                <c:pt idx="0">
                  <c:v>1.27</c:v>
                </c:pt>
                <c:pt idx="1">
                  <c:v>1.2591760000000001</c:v>
                </c:pt>
                <c:pt idx="2">
                  <c:v>1.2379629999999999</c:v>
                </c:pt>
                <c:pt idx="3">
                  <c:v>1.2380461</c:v>
                </c:pt>
                <c:pt idx="4">
                  <c:v>1.2675293700000001</c:v>
                </c:pt>
                <c:pt idx="5">
                  <c:v>1.2668578099999999</c:v>
                </c:pt>
                <c:pt idx="6">
                  <c:v>1.2596388200000002</c:v>
                </c:pt>
                <c:pt idx="7">
                  <c:v>1.23697872</c:v>
                </c:pt>
                <c:pt idx="8">
                  <c:v>1.27601802</c:v>
                </c:pt>
                <c:pt idx="9">
                  <c:v>1.25933209</c:v>
                </c:pt>
                <c:pt idx="10">
                  <c:v>1.20475479</c:v>
                </c:pt>
                <c:pt idx="11">
                  <c:v>1.24826265</c:v>
                </c:pt>
                <c:pt idx="12">
                  <c:v>1.27555993</c:v>
                </c:pt>
                <c:pt idx="13">
                  <c:v>1.2573861599999998</c:v>
                </c:pt>
                <c:pt idx="14">
                  <c:v>1.2636612199999999</c:v>
                </c:pt>
                <c:pt idx="15">
                  <c:v>1.28528501</c:v>
                </c:pt>
                <c:pt idx="16">
                  <c:v>1.2953365699999999</c:v>
                </c:pt>
                <c:pt idx="17">
                  <c:v>1.3156702100000002</c:v>
                </c:pt>
                <c:pt idx="18">
                  <c:v>1.33307964</c:v>
                </c:pt>
                <c:pt idx="19">
                  <c:v>1.3539368199999999</c:v>
                </c:pt>
                <c:pt idx="20">
                  <c:v>1.3740451199999999</c:v>
                </c:pt>
                <c:pt idx="21">
                  <c:v>1.39459065</c:v>
                </c:pt>
                <c:pt idx="22">
                  <c:v>1.4208316499999998</c:v>
                </c:pt>
                <c:pt idx="23">
                  <c:v>1.4466246299999999</c:v>
                </c:pt>
                <c:pt idx="24">
                  <c:v>1.4759875899999999</c:v>
                </c:pt>
                <c:pt idx="25">
                  <c:v>1.5066786999999999</c:v>
                </c:pt>
                <c:pt idx="26">
                  <c:v>1.53984279</c:v>
                </c:pt>
                <c:pt idx="27">
                  <c:v>1.57113883</c:v>
                </c:pt>
                <c:pt idx="28">
                  <c:v>1.6027167600000001</c:v>
                </c:pt>
                <c:pt idx="29">
                  <c:v>1.63474202</c:v>
                </c:pt>
                <c:pt idx="30">
                  <c:v>1.6654843699999999</c:v>
                </c:pt>
                <c:pt idx="31">
                  <c:v>1.6938920500000001</c:v>
                </c:pt>
                <c:pt idx="32">
                  <c:v>1.71922804</c:v>
                </c:pt>
                <c:pt idx="33">
                  <c:v>1.7428849200000001</c:v>
                </c:pt>
                <c:pt idx="34">
                  <c:v>1.7651095799999998</c:v>
                </c:pt>
                <c:pt idx="35">
                  <c:v>1.78762303</c:v>
                </c:pt>
                <c:pt idx="36">
                  <c:v>1.8094551800000001</c:v>
                </c:pt>
                <c:pt idx="37">
                  <c:v>1.8323144200000001</c:v>
                </c:pt>
                <c:pt idx="38">
                  <c:v>1.8554179599999998</c:v>
                </c:pt>
                <c:pt idx="39">
                  <c:v>1.87843063</c:v>
                </c:pt>
                <c:pt idx="40">
                  <c:v>1.90231277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E0-48B1-9D60-BE0E7EAF7F1B}"/>
            </c:ext>
          </c:extLst>
        </c:ser>
        <c:ser>
          <c:idx val="2"/>
          <c:order val="2"/>
          <c:tx>
            <c:strRef>
              <c:f>'Demand by Case'!$B$4</c:f>
              <c:strCache>
                <c:ptCount val="1"/>
                <c:pt idx="0">
                  <c:v>East North Central</c:v>
                </c:pt>
              </c:strCache>
            </c:strRef>
          </c:tx>
          <c:xVal>
            <c:numRef>
              <c:f>'Demand by Case'!$C$1:$AQ$1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by Case'!$C$4:$AQ$4</c:f>
              <c:numCache>
                <c:formatCode>General</c:formatCode>
                <c:ptCount val="41"/>
                <c:pt idx="0">
                  <c:v>1.97</c:v>
                </c:pt>
                <c:pt idx="1">
                  <c:v>1.9698020000000001</c:v>
                </c:pt>
                <c:pt idx="2">
                  <c:v>1.961978</c:v>
                </c:pt>
                <c:pt idx="3">
                  <c:v>1.9298373600000001</c:v>
                </c:pt>
                <c:pt idx="4">
                  <c:v>1.94555587</c:v>
                </c:pt>
                <c:pt idx="5">
                  <c:v>1.9026462700000002</c:v>
                </c:pt>
                <c:pt idx="6">
                  <c:v>1.9039975900000001</c:v>
                </c:pt>
                <c:pt idx="7">
                  <c:v>1.8747083200000001</c:v>
                </c:pt>
                <c:pt idx="8">
                  <c:v>1.93915036</c:v>
                </c:pt>
                <c:pt idx="9">
                  <c:v>1.88470454</c:v>
                </c:pt>
                <c:pt idx="10">
                  <c:v>1.84570163</c:v>
                </c:pt>
                <c:pt idx="11">
                  <c:v>1.8997105200000002</c:v>
                </c:pt>
                <c:pt idx="12">
                  <c:v>1.8961219200000001</c:v>
                </c:pt>
                <c:pt idx="13">
                  <c:v>1.89053545</c:v>
                </c:pt>
                <c:pt idx="14">
                  <c:v>1.9033265399999999</c:v>
                </c:pt>
                <c:pt idx="15">
                  <c:v>1.94677828</c:v>
                </c:pt>
                <c:pt idx="16">
                  <c:v>1.96282446</c:v>
                </c:pt>
                <c:pt idx="17">
                  <c:v>1.9838088599999999</c:v>
                </c:pt>
                <c:pt idx="18">
                  <c:v>2.0017397699999999</c:v>
                </c:pt>
                <c:pt idx="19">
                  <c:v>2.0219711999999999</c:v>
                </c:pt>
                <c:pt idx="20">
                  <c:v>2.0427329200000002</c:v>
                </c:pt>
                <c:pt idx="21">
                  <c:v>2.06612632</c:v>
                </c:pt>
                <c:pt idx="22">
                  <c:v>2.1010182199999998</c:v>
                </c:pt>
                <c:pt idx="23">
                  <c:v>2.1360536400000001</c:v>
                </c:pt>
                <c:pt idx="24">
                  <c:v>2.1800525199999998</c:v>
                </c:pt>
                <c:pt idx="25">
                  <c:v>2.2255022799999997</c:v>
                </c:pt>
                <c:pt idx="26">
                  <c:v>2.2712646899999998</c:v>
                </c:pt>
                <c:pt idx="27">
                  <c:v>2.3129061900000001</c:v>
                </c:pt>
                <c:pt idx="28">
                  <c:v>2.3542252800000001</c:v>
                </c:pt>
                <c:pt idx="29">
                  <c:v>2.3959412900000001</c:v>
                </c:pt>
                <c:pt idx="30">
                  <c:v>2.4372661500000001</c:v>
                </c:pt>
                <c:pt idx="31">
                  <c:v>2.4751576399999999</c:v>
                </c:pt>
                <c:pt idx="32">
                  <c:v>2.5109767400000003</c:v>
                </c:pt>
                <c:pt idx="33">
                  <c:v>2.5440349900000001</c:v>
                </c:pt>
                <c:pt idx="34">
                  <c:v>2.5749142599999999</c:v>
                </c:pt>
                <c:pt idx="35">
                  <c:v>2.6033273299999999</c:v>
                </c:pt>
                <c:pt idx="36">
                  <c:v>2.6319408000000002</c:v>
                </c:pt>
                <c:pt idx="37">
                  <c:v>2.6618852199999998</c:v>
                </c:pt>
                <c:pt idx="38">
                  <c:v>2.6912569099999999</c:v>
                </c:pt>
                <c:pt idx="39">
                  <c:v>2.7203175500000003</c:v>
                </c:pt>
                <c:pt idx="40">
                  <c:v>2.74928404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E0-48B1-9D60-BE0E7EAF7F1B}"/>
            </c:ext>
          </c:extLst>
        </c:ser>
        <c:ser>
          <c:idx val="3"/>
          <c:order val="3"/>
          <c:tx>
            <c:strRef>
              <c:f>'Demand by Case'!$B$5</c:f>
              <c:strCache>
                <c:ptCount val="1"/>
                <c:pt idx="0">
                  <c:v>West North Central</c:v>
                </c:pt>
              </c:strCache>
            </c:strRef>
          </c:tx>
          <c:xVal>
            <c:numRef>
              <c:f>'Demand by Case'!$C$1:$AQ$1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by Case'!$C$5:$AQ$5</c:f>
              <c:numCache>
                <c:formatCode>General</c:formatCode>
                <c:ptCount val="41"/>
                <c:pt idx="0">
                  <c:v>1.0029999999999999</c:v>
                </c:pt>
                <c:pt idx="1">
                  <c:v>1.004251</c:v>
                </c:pt>
                <c:pt idx="2">
                  <c:v>1.002292</c:v>
                </c:pt>
                <c:pt idx="3">
                  <c:v>1.00240408</c:v>
                </c:pt>
                <c:pt idx="4">
                  <c:v>1.03447661</c:v>
                </c:pt>
                <c:pt idx="5">
                  <c:v>1.0144615699999999</c:v>
                </c:pt>
                <c:pt idx="6">
                  <c:v>1.0097498599999999</c:v>
                </c:pt>
                <c:pt idx="7">
                  <c:v>1.00463269</c:v>
                </c:pt>
                <c:pt idx="8">
                  <c:v>1.0409431499999999</c:v>
                </c:pt>
                <c:pt idx="9">
                  <c:v>1.0311001499999999</c:v>
                </c:pt>
                <c:pt idx="10">
                  <c:v>1.0034551300000001</c:v>
                </c:pt>
                <c:pt idx="11">
                  <c:v>1.05047095</c:v>
                </c:pt>
                <c:pt idx="12">
                  <c:v>1.0727100199999999</c:v>
                </c:pt>
                <c:pt idx="13">
                  <c:v>1.06606362</c:v>
                </c:pt>
                <c:pt idx="14">
                  <c:v>1.1069972699999999</c:v>
                </c:pt>
                <c:pt idx="15">
                  <c:v>1.1278646099999998</c:v>
                </c:pt>
                <c:pt idx="16">
                  <c:v>1.1170436100000001</c:v>
                </c:pt>
                <c:pt idx="17">
                  <c:v>1.1242872399999999</c:v>
                </c:pt>
                <c:pt idx="18">
                  <c:v>1.1304670399999999</c:v>
                </c:pt>
                <c:pt idx="19">
                  <c:v>1.14183919</c:v>
                </c:pt>
                <c:pt idx="20">
                  <c:v>1.1546119699999999</c:v>
                </c:pt>
                <c:pt idx="21">
                  <c:v>1.1691936299999999</c:v>
                </c:pt>
                <c:pt idx="22">
                  <c:v>1.1893331899999999</c:v>
                </c:pt>
                <c:pt idx="23">
                  <c:v>1.21092694</c:v>
                </c:pt>
                <c:pt idx="24">
                  <c:v>1.2379052499999998</c:v>
                </c:pt>
                <c:pt idx="25">
                  <c:v>1.2662930699999999</c:v>
                </c:pt>
                <c:pt idx="26">
                  <c:v>1.29361686</c:v>
                </c:pt>
                <c:pt idx="27">
                  <c:v>1.3190379299999999</c:v>
                </c:pt>
                <c:pt idx="28">
                  <c:v>1.3441196399999999</c:v>
                </c:pt>
                <c:pt idx="29">
                  <c:v>1.36843582</c:v>
                </c:pt>
                <c:pt idx="30">
                  <c:v>1.3920775700000001</c:v>
                </c:pt>
                <c:pt idx="31">
                  <c:v>1.4147185799999999</c:v>
                </c:pt>
                <c:pt idx="32">
                  <c:v>1.4372415300000001</c:v>
                </c:pt>
                <c:pt idx="33">
                  <c:v>1.4586448699999999</c:v>
                </c:pt>
                <c:pt idx="34">
                  <c:v>1.4787996400000001</c:v>
                </c:pt>
                <c:pt idx="35">
                  <c:v>1.49712584</c:v>
                </c:pt>
                <c:pt idx="36">
                  <c:v>1.51542954</c:v>
                </c:pt>
                <c:pt idx="37">
                  <c:v>1.5349349399999999</c:v>
                </c:pt>
                <c:pt idx="38">
                  <c:v>1.5551424899999999</c:v>
                </c:pt>
                <c:pt idx="39">
                  <c:v>1.5760669200000001</c:v>
                </c:pt>
                <c:pt idx="40">
                  <c:v>1.5969948199999999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E0-48B1-9D60-BE0E7EAF7F1B}"/>
            </c:ext>
          </c:extLst>
        </c:ser>
        <c:ser>
          <c:idx val="4"/>
          <c:order val="4"/>
          <c:tx>
            <c:strRef>
              <c:f>'Demand by Case'!$B$6</c:f>
              <c:strCache>
                <c:ptCount val="1"/>
                <c:pt idx="0">
                  <c:v>South Atlantic</c:v>
                </c:pt>
              </c:strCache>
            </c:strRef>
          </c:tx>
          <c:xVal>
            <c:numRef>
              <c:f>'Demand by Case'!$C$1:$AQ$1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by Case'!$C$6:$AQ$6</c:f>
              <c:numCache>
                <c:formatCode>General</c:formatCode>
                <c:ptCount val="41"/>
                <c:pt idx="0">
                  <c:v>2.8149999999999999</c:v>
                </c:pt>
                <c:pt idx="1">
                  <c:v>2.7323879999999998</c:v>
                </c:pt>
                <c:pt idx="2">
                  <c:v>2.6630720000000001</c:v>
                </c:pt>
                <c:pt idx="3">
                  <c:v>2.67589656</c:v>
                </c:pt>
                <c:pt idx="4">
                  <c:v>2.7230304000000003</c:v>
                </c:pt>
                <c:pt idx="5">
                  <c:v>2.7192014100000002</c:v>
                </c:pt>
                <c:pt idx="6">
                  <c:v>2.73043747</c:v>
                </c:pt>
                <c:pt idx="7">
                  <c:v>2.6800960700000003</c:v>
                </c:pt>
                <c:pt idx="8">
                  <c:v>2.7837750900000002</c:v>
                </c:pt>
                <c:pt idx="9">
                  <c:v>2.78859089</c:v>
                </c:pt>
                <c:pt idx="10">
                  <c:v>2.7067162100000002</c:v>
                </c:pt>
                <c:pt idx="11">
                  <c:v>2.8261017499999999</c:v>
                </c:pt>
                <c:pt idx="12">
                  <c:v>2.9142712800000004</c:v>
                </c:pt>
                <c:pt idx="13">
                  <c:v>2.9103018999999999</c:v>
                </c:pt>
                <c:pt idx="14">
                  <c:v>2.9807468699999999</c:v>
                </c:pt>
                <c:pt idx="15">
                  <c:v>3.0135720300000002</c:v>
                </c:pt>
                <c:pt idx="16">
                  <c:v>3.0329808300000001</c:v>
                </c:pt>
                <c:pt idx="17">
                  <c:v>3.0730943499999999</c:v>
                </c:pt>
                <c:pt idx="18">
                  <c:v>3.1073371599999997</c:v>
                </c:pt>
                <c:pt idx="19">
                  <c:v>3.15375023</c:v>
                </c:pt>
                <c:pt idx="20">
                  <c:v>3.1980896799999998</c:v>
                </c:pt>
                <c:pt idx="21">
                  <c:v>3.2445435900000001</c:v>
                </c:pt>
                <c:pt idx="22">
                  <c:v>3.3006466200000002</c:v>
                </c:pt>
                <c:pt idx="23">
                  <c:v>3.3574028500000002</c:v>
                </c:pt>
                <c:pt idx="24">
                  <c:v>3.4172639400000002</c:v>
                </c:pt>
                <c:pt idx="25">
                  <c:v>3.4788785299999998</c:v>
                </c:pt>
                <c:pt idx="26">
                  <c:v>3.5474919999999996</c:v>
                </c:pt>
                <c:pt idx="27">
                  <c:v>3.6194195200000001</c:v>
                </c:pt>
                <c:pt idx="28">
                  <c:v>3.6915391300000002</c:v>
                </c:pt>
                <c:pt idx="29">
                  <c:v>3.7655037600000001</c:v>
                </c:pt>
                <c:pt idx="30">
                  <c:v>3.8365693300000001</c:v>
                </c:pt>
                <c:pt idx="31">
                  <c:v>3.9033706100000001</c:v>
                </c:pt>
                <c:pt idx="32">
                  <c:v>3.9660094200000002</c:v>
                </c:pt>
                <c:pt idx="33">
                  <c:v>4.0261097799999996</c:v>
                </c:pt>
                <c:pt idx="34">
                  <c:v>4.0818599200000003</c:v>
                </c:pt>
                <c:pt idx="35">
                  <c:v>4.1347840299999996</c:v>
                </c:pt>
                <c:pt idx="36">
                  <c:v>4.1859694300000001</c:v>
                </c:pt>
                <c:pt idx="37">
                  <c:v>4.2401904400000001</c:v>
                </c:pt>
                <c:pt idx="38">
                  <c:v>4.2984020599999999</c:v>
                </c:pt>
                <c:pt idx="39">
                  <c:v>4.3603359099999999</c:v>
                </c:pt>
                <c:pt idx="40">
                  <c:v>4.4271166400000004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E0-48B1-9D60-BE0E7EAF7F1B}"/>
            </c:ext>
          </c:extLst>
        </c:ser>
        <c:ser>
          <c:idx val="5"/>
          <c:order val="5"/>
          <c:tx>
            <c:strRef>
              <c:f>'Demand by Case'!$B$7</c:f>
              <c:strCache>
                <c:ptCount val="1"/>
                <c:pt idx="0">
                  <c:v>East South Central</c:v>
                </c:pt>
              </c:strCache>
            </c:strRef>
          </c:tx>
          <c:xVal>
            <c:numRef>
              <c:f>'Demand by Case'!$C$1:$AQ$1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by Case'!$C$7:$AQ$7</c:f>
              <c:numCache>
                <c:formatCode>General</c:formatCode>
                <c:ptCount val="41"/>
                <c:pt idx="0">
                  <c:v>1.1519999999999999</c:v>
                </c:pt>
                <c:pt idx="1">
                  <c:v>1.1212580000000001</c:v>
                </c:pt>
                <c:pt idx="2">
                  <c:v>1.091933</c:v>
                </c:pt>
                <c:pt idx="3">
                  <c:v>1.1197244799999999</c:v>
                </c:pt>
                <c:pt idx="4">
                  <c:v>1.0897525399999999</c:v>
                </c:pt>
                <c:pt idx="5">
                  <c:v>1.04856832</c:v>
                </c:pt>
                <c:pt idx="6">
                  <c:v>1.03760001</c:v>
                </c:pt>
                <c:pt idx="7">
                  <c:v>1.0056703500000002</c:v>
                </c:pt>
                <c:pt idx="8">
                  <c:v>1.0592547000000001</c:v>
                </c:pt>
                <c:pt idx="9">
                  <c:v>1.0527635500000001</c:v>
                </c:pt>
                <c:pt idx="10">
                  <c:v>1.00147524</c:v>
                </c:pt>
                <c:pt idx="11">
                  <c:v>1.0462211099999998</c:v>
                </c:pt>
                <c:pt idx="12">
                  <c:v>1.0631943100000001</c:v>
                </c:pt>
                <c:pt idx="13">
                  <c:v>1.06234388</c:v>
                </c:pt>
                <c:pt idx="14">
                  <c:v>1.06289173</c:v>
                </c:pt>
                <c:pt idx="15">
                  <c:v>1.06458622</c:v>
                </c:pt>
                <c:pt idx="16">
                  <c:v>1.0869523399999999</c:v>
                </c:pt>
                <c:pt idx="17">
                  <c:v>1.10010283</c:v>
                </c:pt>
                <c:pt idx="18">
                  <c:v>1.1112797700000001</c:v>
                </c:pt>
                <c:pt idx="19">
                  <c:v>1.11979406</c:v>
                </c:pt>
                <c:pt idx="20">
                  <c:v>1.12812943</c:v>
                </c:pt>
                <c:pt idx="21">
                  <c:v>1.1382092800000001</c:v>
                </c:pt>
                <c:pt idx="22">
                  <c:v>1.1519262699999999</c:v>
                </c:pt>
                <c:pt idx="23">
                  <c:v>1.1663984999999999</c:v>
                </c:pt>
                <c:pt idx="24">
                  <c:v>1.1840296000000001</c:v>
                </c:pt>
                <c:pt idx="25">
                  <c:v>1.20167409</c:v>
                </c:pt>
                <c:pt idx="26">
                  <c:v>1.21890893</c:v>
                </c:pt>
                <c:pt idx="27">
                  <c:v>1.23738064</c:v>
                </c:pt>
                <c:pt idx="28">
                  <c:v>1.25592087</c:v>
                </c:pt>
                <c:pt idx="29">
                  <c:v>1.2749316800000001</c:v>
                </c:pt>
                <c:pt idx="30">
                  <c:v>1.2924958600000001</c:v>
                </c:pt>
                <c:pt idx="31">
                  <c:v>1.30932045</c:v>
                </c:pt>
                <c:pt idx="32">
                  <c:v>1.3252299999999999</c:v>
                </c:pt>
                <c:pt idx="33">
                  <c:v>1.3397132300000001</c:v>
                </c:pt>
                <c:pt idx="34">
                  <c:v>1.3521985699999999</c:v>
                </c:pt>
                <c:pt idx="35">
                  <c:v>1.3639766800000002</c:v>
                </c:pt>
                <c:pt idx="36">
                  <c:v>1.37505196</c:v>
                </c:pt>
                <c:pt idx="37">
                  <c:v>1.38674608</c:v>
                </c:pt>
                <c:pt idx="38">
                  <c:v>1.4003639800000001</c:v>
                </c:pt>
                <c:pt idx="39">
                  <c:v>1.41544436</c:v>
                </c:pt>
                <c:pt idx="40">
                  <c:v>1.43160691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E0-48B1-9D60-BE0E7EAF7F1B}"/>
            </c:ext>
          </c:extLst>
        </c:ser>
        <c:ser>
          <c:idx val="6"/>
          <c:order val="6"/>
          <c:tx>
            <c:strRef>
              <c:f>'Demand by Case'!$B$8</c:f>
              <c:strCache>
                <c:ptCount val="1"/>
                <c:pt idx="0">
                  <c:v>West South Central</c:v>
                </c:pt>
              </c:strCache>
            </c:strRef>
          </c:tx>
          <c:xVal>
            <c:numRef>
              <c:f>'Demand by Case'!$C$1:$AQ$1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by Case'!$C$8:$AQ$8</c:f>
              <c:numCache>
                <c:formatCode>General</c:formatCode>
                <c:ptCount val="41"/>
                <c:pt idx="0">
                  <c:v>1.875</c:v>
                </c:pt>
                <c:pt idx="1">
                  <c:v>1.945614</c:v>
                </c:pt>
                <c:pt idx="2">
                  <c:v>1.898577</c:v>
                </c:pt>
                <c:pt idx="3">
                  <c:v>1.90921535</c:v>
                </c:pt>
                <c:pt idx="4">
                  <c:v>2.0292341999999999</c:v>
                </c:pt>
                <c:pt idx="5">
                  <c:v>2.0446246299999999</c:v>
                </c:pt>
                <c:pt idx="6">
                  <c:v>2.0291272</c:v>
                </c:pt>
                <c:pt idx="7">
                  <c:v>2.02324394</c:v>
                </c:pt>
                <c:pt idx="8">
                  <c:v>2.1222957499999997</c:v>
                </c:pt>
                <c:pt idx="9">
                  <c:v>2.1605800799999999</c:v>
                </c:pt>
                <c:pt idx="10">
                  <c:v>2.0755101300000001</c:v>
                </c:pt>
                <c:pt idx="11">
                  <c:v>2.2079303100000001</c:v>
                </c:pt>
                <c:pt idx="12">
                  <c:v>2.30493419</c:v>
                </c:pt>
                <c:pt idx="13">
                  <c:v>2.2572900600000003</c:v>
                </c:pt>
                <c:pt idx="14">
                  <c:v>2.3734708500000004</c:v>
                </c:pt>
                <c:pt idx="15">
                  <c:v>2.4331460000000003</c:v>
                </c:pt>
                <c:pt idx="16">
                  <c:v>2.4573467500000001</c:v>
                </c:pt>
                <c:pt idx="17">
                  <c:v>2.4860552</c:v>
                </c:pt>
                <c:pt idx="18">
                  <c:v>2.5118201099999999</c:v>
                </c:pt>
                <c:pt idx="19">
                  <c:v>2.5408466799999996</c:v>
                </c:pt>
                <c:pt idx="20">
                  <c:v>2.5696844200000002</c:v>
                </c:pt>
                <c:pt idx="21">
                  <c:v>2.6000968700000002</c:v>
                </c:pt>
                <c:pt idx="22">
                  <c:v>2.6448847200000003</c:v>
                </c:pt>
                <c:pt idx="23">
                  <c:v>2.69390653</c:v>
                </c:pt>
                <c:pt idx="24">
                  <c:v>2.7491357300000003</c:v>
                </c:pt>
                <c:pt idx="25">
                  <c:v>2.80892141</c:v>
                </c:pt>
                <c:pt idx="26">
                  <c:v>2.87599823</c:v>
                </c:pt>
                <c:pt idx="27">
                  <c:v>2.94686242</c:v>
                </c:pt>
                <c:pt idx="28">
                  <c:v>3.0073265</c:v>
                </c:pt>
                <c:pt idx="29">
                  <c:v>3.0658181</c:v>
                </c:pt>
                <c:pt idx="30">
                  <c:v>3.1175553100000002</c:v>
                </c:pt>
                <c:pt idx="31">
                  <c:v>3.1653722600000003</c:v>
                </c:pt>
                <c:pt idx="32">
                  <c:v>3.2121452800000001</c:v>
                </c:pt>
                <c:pt idx="33">
                  <c:v>3.25889038</c:v>
                </c:pt>
                <c:pt idx="34">
                  <c:v>3.2999481799999999</c:v>
                </c:pt>
                <c:pt idx="35">
                  <c:v>3.3410536399999997</c:v>
                </c:pt>
                <c:pt idx="36">
                  <c:v>3.37716539</c:v>
                </c:pt>
                <c:pt idx="37">
                  <c:v>3.41371877</c:v>
                </c:pt>
                <c:pt idx="38">
                  <c:v>3.4551505599999999</c:v>
                </c:pt>
                <c:pt idx="39">
                  <c:v>3.5001584599999997</c:v>
                </c:pt>
                <c:pt idx="40">
                  <c:v>3.55019587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FE0-48B1-9D60-BE0E7EAF7F1B}"/>
            </c:ext>
          </c:extLst>
        </c:ser>
        <c:ser>
          <c:idx val="7"/>
          <c:order val="7"/>
          <c:tx>
            <c:strRef>
              <c:f>'Demand by Case'!$B$9</c:f>
              <c:strCache>
                <c:ptCount val="1"/>
                <c:pt idx="0">
                  <c:v>Mountain</c:v>
                </c:pt>
              </c:strCache>
            </c:strRef>
          </c:tx>
          <c:xVal>
            <c:numRef>
              <c:f>'Demand by Case'!$C$1:$AQ$1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by Case'!$C$9:$AQ$9</c:f>
              <c:numCache>
                <c:formatCode>General</c:formatCode>
                <c:ptCount val="41"/>
                <c:pt idx="0">
                  <c:v>0.89800000000000002</c:v>
                </c:pt>
                <c:pt idx="1">
                  <c:v>0.91674900000000004</c:v>
                </c:pt>
                <c:pt idx="2">
                  <c:v>0.92603800000000003</c:v>
                </c:pt>
                <c:pt idx="3">
                  <c:v>0.92237835999999995</c:v>
                </c:pt>
                <c:pt idx="4">
                  <c:v>0.92273852999999995</c:v>
                </c:pt>
                <c:pt idx="5">
                  <c:v>0.93016287999999991</c:v>
                </c:pt>
                <c:pt idx="6">
                  <c:v>0.94158965000000006</c:v>
                </c:pt>
                <c:pt idx="7">
                  <c:v>0.95548674</c:v>
                </c:pt>
                <c:pt idx="8">
                  <c:v>0.96707736</c:v>
                </c:pt>
                <c:pt idx="9">
                  <c:v>0.96674437999999996</c:v>
                </c:pt>
                <c:pt idx="10">
                  <c:v>0.97979298999999997</c:v>
                </c:pt>
                <c:pt idx="11">
                  <c:v>1.02482882</c:v>
                </c:pt>
                <c:pt idx="12">
                  <c:v>1.0487647</c:v>
                </c:pt>
                <c:pt idx="13">
                  <c:v>1.04228751</c:v>
                </c:pt>
                <c:pt idx="14">
                  <c:v>1.10416827</c:v>
                </c:pt>
                <c:pt idx="15">
                  <c:v>1.1144807600000002</c:v>
                </c:pt>
                <c:pt idx="16">
                  <c:v>1.1276622000000001</c:v>
                </c:pt>
                <c:pt idx="17">
                  <c:v>1.14791756</c:v>
                </c:pt>
                <c:pt idx="18">
                  <c:v>1.1676444399999999</c:v>
                </c:pt>
                <c:pt idx="19">
                  <c:v>1.1940760699999999</c:v>
                </c:pt>
                <c:pt idx="20">
                  <c:v>1.2226613200000001</c:v>
                </c:pt>
                <c:pt idx="21">
                  <c:v>1.2541357199999998</c:v>
                </c:pt>
                <c:pt idx="22">
                  <c:v>1.2925072899999999</c:v>
                </c:pt>
                <c:pt idx="23">
                  <c:v>1.3344656499999998</c:v>
                </c:pt>
                <c:pt idx="24">
                  <c:v>1.3815527599999999</c:v>
                </c:pt>
                <c:pt idx="25">
                  <c:v>1.4292940199999999</c:v>
                </c:pt>
                <c:pt idx="26">
                  <c:v>1.47520739</c:v>
                </c:pt>
                <c:pt idx="27">
                  <c:v>1.5195519900000001</c:v>
                </c:pt>
                <c:pt idx="28">
                  <c:v>1.5637177899999999</c:v>
                </c:pt>
                <c:pt idx="29">
                  <c:v>1.607021</c:v>
                </c:pt>
                <c:pt idx="30">
                  <c:v>1.65035496</c:v>
                </c:pt>
                <c:pt idx="31">
                  <c:v>1.69355586</c:v>
                </c:pt>
                <c:pt idx="32">
                  <c:v>1.7345828999999999</c:v>
                </c:pt>
                <c:pt idx="33">
                  <c:v>1.77364838</c:v>
                </c:pt>
                <c:pt idx="34">
                  <c:v>1.8113581499999998</c:v>
                </c:pt>
                <c:pt idx="35">
                  <c:v>1.84853007</c:v>
                </c:pt>
                <c:pt idx="36">
                  <c:v>1.8866407599999999</c:v>
                </c:pt>
                <c:pt idx="37">
                  <c:v>1.9248147500000001</c:v>
                </c:pt>
                <c:pt idx="38">
                  <c:v>1.9638696199999999</c:v>
                </c:pt>
                <c:pt idx="39">
                  <c:v>2.0026634100000003</c:v>
                </c:pt>
                <c:pt idx="40">
                  <c:v>2.0418231200000001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FE0-48B1-9D60-BE0E7EAF7F1B}"/>
            </c:ext>
          </c:extLst>
        </c:ser>
        <c:ser>
          <c:idx val="8"/>
          <c:order val="8"/>
          <c:tx>
            <c:strRef>
              <c:f>'Demand by Case'!$B$10</c:f>
              <c:strCache>
                <c:ptCount val="1"/>
                <c:pt idx="0">
                  <c:v>Pacific</c:v>
                </c:pt>
              </c:strCache>
            </c:strRef>
          </c:tx>
          <c:xVal>
            <c:numRef>
              <c:f>'Demand by Case'!$C$1:$AQ$1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by Case'!$C$10:$AQ$10</c:f>
              <c:numCache>
                <c:formatCode>General</c:formatCode>
                <c:ptCount val="41"/>
                <c:pt idx="0">
                  <c:v>1.403</c:v>
                </c:pt>
                <c:pt idx="1">
                  <c:v>1.429711</c:v>
                </c:pt>
                <c:pt idx="2">
                  <c:v>1.4153640000000001</c:v>
                </c:pt>
                <c:pt idx="3">
                  <c:v>1.40705791</c:v>
                </c:pt>
                <c:pt idx="4">
                  <c:v>1.4177659999999999</c:v>
                </c:pt>
                <c:pt idx="5">
                  <c:v>1.4341026299999999</c:v>
                </c:pt>
                <c:pt idx="6">
                  <c:v>1.4307790300000001</c:v>
                </c:pt>
                <c:pt idx="7">
                  <c:v>1.46387248</c:v>
                </c:pt>
                <c:pt idx="8">
                  <c:v>1.4618903599999999</c:v>
                </c:pt>
                <c:pt idx="9">
                  <c:v>1.4400225600000001</c:v>
                </c:pt>
                <c:pt idx="10">
                  <c:v>1.4558663599999999</c:v>
                </c:pt>
                <c:pt idx="11">
                  <c:v>1.4820283400000001</c:v>
                </c:pt>
                <c:pt idx="12">
                  <c:v>1.5243843799999999</c:v>
                </c:pt>
                <c:pt idx="13">
                  <c:v>1.51771586</c:v>
                </c:pt>
                <c:pt idx="14">
                  <c:v>1.57233088</c:v>
                </c:pt>
                <c:pt idx="15">
                  <c:v>1.57240768</c:v>
                </c:pt>
                <c:pt idx="16">
                  <c:v>1.59767232</c:v>
                </c:pt>
                <c:pt idx="17">
                  <c:v>1.64355012</c:v>
                </c:pt>
                <c:pt idx="18">
                  <c:v>1.6843889400000001</c:v>
                </c:pt>
                <c:pt idx="19">
                  <c:v>1.7255863899999999</c:v>
                </c:pt>
                <c:pt idx="20">
                  <c:v>1.76886867</c:v>
                </c:pt>
                <c:pt idx="21">
                  <c:v>1.8123893</c:v>
                </c:pt>
                <c:pt idx="22">
                  <c:v>1.8655447000000001</c:v>
                </c:pt>
                <c:pt idx="23">
                  <c:v>1.9237067000000001</c:v>
                </c:pt>
                <c:pt idx="24">
                  <c:v>1.98673861</c:v>
                </c:pt>
                <c:pt idx="25">
                  <c:v>2.0482663099999998</c:v>
                </c:pt>
                <c:pt idx="26">
                  <c:v>2.10675985</c:v>
                </c:pt>
                <c:pt idx="27">
                  <c:v>2.1628626400000002</c:v>
                </c:pt>
                <c:pt idx="28">
                  <c:v>2.2184247299999997</c:v>
                </c:pt>
                <c:pt idx="29">
                  <c:v>2.2730141800000001</c:v>
                </c:pt>
                <c:pt idx="30">
                  <c:v>2.32653986</c:v>
                </c:pt>
                <c:pt idx="31">
                  <c:v>2.37777408</c:v>
                </c:pt>
                <c:pt idx="32">
                  <c:v>2.42592454</c:v>
                </c:pt>
                <c:pt idx="33">
                  <c:v>2.4699761599999999</c:v>
                </c:pt>
                <c:pt idx="34">
                  <c:v>2.5118090500000001</c:v>
                </c:pt>
                <c:pt idx="35">
                  <c:v>2.5531777400000002</c:v>
                </c:pt>
                <c:pt idx="36">
                  <c:v>2.5952887200000001</c:v>
                </c:pt>
                <c:pt idx="37">
                  <c:v>2.63707819</c:v>
                </c:pt>
                <c:pt idx="38">
                  <c:v>2.6786389799999997</c:v>
                </c:pt>
                <c:pt idx="39">
                  <c:v>2.7197210000000003</c:v>
                </c:pt>
                <c:pt idx="40">
                  <c:v>2.7605744100000003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FE0-48B1-9D60-BE0E7EAF7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700144"/>
        <c:axId val="899700536"/>
      </c:scatterChart>
      <c:valAx>
        <c:axId val="899700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9700536"/>
        <c:crosses val="autoZero"/>
        <c:crossBetween val="midCat"/>
      </c:valAx>
      <c:valAx>
        <c:axId val="89970053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Electricity Demand (Quads)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9700144"/>
        <c:crosses val="autoZero"/>
        <c:crossBetween val="midCat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8113329295376539"/>
          <c:y val="0.42390982761901685"/>
          <c:w val="0.11174399353926913"/>
          <c:h val="0.41228712689983521"/>
        </c:manualLayout>
      </c:layout>
      <c:overlay val="1"/>
      <c:spPr>
        <a:solidFill>
          <a:sysClr val="window" lastClr="FFFFFF">
            <a:lumMod val="100000"/>
          </a:sysClr>
        </a:solidFill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'Demand by Case'!$B$12</c:f>
              <c:strCache>
                <c:ptCount val="1"/>
                <c:pt idx="0">
                  <c:v>New England</c:v>
                </c:pt>
              </c:strCache>
            </c:strRef>
          </c:tx>
          <c:xVal>
            <c:numRef>
              <c:f>'Demand by Case'!$C$1:$AQ$1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by Case'!$C$12:$AQ$12</c:f>
              <c:numCache>
                <c:formatCode>General</c:formatCode>
                <c:ptCount val="41"/>
                <c:pt idx="0">
                  <c:v>0.42</c:v>
                </c:pt>
                <c:pt idx="1">
                  <c:v>0.41174100000000002</c:v>
                </c:pt>
                <c:pt idx="2">
                  <c:v>0.41017399999999998</c:v>
                </c:pt>
                <c:pt idx="3">
                  <c:v>0.41102066999999998</c:v>
                </c:pt>
                <c:pt idx="4">
                  <c:v>0.44005517</c:v>
                </c:pt>
                <c:pt idx="5">
                  <c:v>0.41126467999999999</c:v>
                </c:pt>
                <c:pt idx="6">
                  <c:v>0.40693478999999999</c:v>
                </c:pt>
                <c:pt idx="7">
                  <c:v>0.43105186000000001</c:v>
                </c:pt>
                <c:pt idx="8">
                  <c:v>0.42616219999999999</c:v>
                </c:pt>
                <c:pt idx="9">
                  <c:v>0.40360152999999999</c:v>
                </c:pt>
                <c:pt idx="10">
                  <c:v>0.40095227999999999</c:v>
                </c:pt>
                <c:pt idx="11">
                  <c:v>0.40835083999999999</c:v>
                </c:pt>
                <c:pt idx="12">
                  <c:v>0.41452341000000004</c:v>
                </c:pt>
                <c:pt idx="13">
                  <c:v>0.40785153000000002</c:v>
                </c:pt>
                <c:pt idx="14">
                  <c:v>0.41752413999999999</c:v>
                </c:pt>
                <c:pt idx="15">
                  <c:v>0.41878738999999998</c:v>
                </c:pt>
                <c:pt idx="16">
                  <c:v>0.42361499999999996</c:v>
                </c:pt>
                <c:pt idx="17">
                  <c:v>0.43409681</c:v>
                </c:pt>
                <c:pt idx="18">
                  <c:v>0.44317519</c:v>
                </c:pt>
                <c:pt idx="19">
                  <c:v>0.45372496000000001</c:v>
                </c:pt>
                <c:pt idx="20">
                  <c:v>0.46298284000000001</c:v>
                </c:pt>
                <c:pt idx="21">
                  <c:v>0.47300960000000003</c:v>
                </c:pt>
                <c:pt idx="22">
                  <c:v>0.48309208999999997</c:v>
                </c:pt>
                <c:pt idx="23">
                  <c:v>0.492147</c:v>
                </c:pt>
                <c:pt idx="24">
                  <c:v>0.50234794999999999</c:v>
                </c:pt>
                <c:pt idx="25">
                  <c:v>0.51368482000000004</c:v>
                </c:pt>
                <c:pt idx="26">
                  <c:v>0.52603811999999994</c:v>
                </c:pt>
                <c:pt idx="27">
                  <c:v>0.53869696</c:v>
                </c:pt>
                <c:pt idx="28">
                  <c:v>0.55110197999999999</c:v>
                </c:pt>
                <c:pt idx="29">
                  <c:v>0.56328946999999996</c:v>
                </c:pt>
                <c:pt idx="30">
                  <c:v>0.57418804000000001</c:v>
                </c:pt>
                <c:pt idx="31">
                  <c:v>0.58454950000000006</c:v>
                </c:pt>
                <c:pt idx="32">
                  <c:v>0.59456827000000001</c:v>
                </c:pt>
                <c:pt idx="33">
                  <c:v>0.60500799000000005</c:v>
                </c:pt>
                <c:pt idx="34">
                  <c:v>0.61380422999999995</c:v>
                </c:pt>
                <c:pt idx="35">
                  <c:v>0.62240304000000002</c:v>
                </c:pt>
                <c:pt idx="36">
                  <c:v>0.63079624999999995</c:v>
                </c:pt>
                <c:pt idx="37">
                  <c:v>0.63951689</c:v>
                </c:pt>
                <c:pt idx="38">
                  <c:v>0.64795826000000001</c:v>
                </c:pt>
                <c:pt idx="39">
                  <c:v>0.65683723000000005</c:v>
                </c:pt>
                <c:pt idx="40">
                  <c:v>0.66636859999999998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F0-403D-A9CB-F28F5BD7A5DA}"/>
            </c:ext>
          </c:extLst>
        </c:ser>
        <c:ser>
          <c:idx val="1"/>
          <c:order val="1"/>
          <c:tx>
            <c:strRef>
              <c:f>'Demand by Case'!$B$13</c:f>
              <c:strCache>
                <c:ptCount val="1"/>
                <c:pt idx="0">
                  <c:v>Middle Atlantic</c:v>
                </c:pt>
              </c:strCache>
            </c:strRef>
          </c:tx>
          <c:xVal>
            <c:numRef>
              <c:f>'Demand by Case'!$C$1:$AQ$1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by Case'!$C$13:$AQ$13</c:f>
              <c:numCache>
                <c:formatCode>General</c:formatCode>
                <c:ptCount val="41"/>
                <c:pt idx="0">
                  <c:v>1.27</c:v>
                </c:pt>
                <c:pt idx="1">
                  <c:v>1.2591760000000001</c:v>
                </c:pt>
                <c:pt idx="2">
                  <c:v>1.2379629999999999</c:v>
                </c:pt>
                <c:pt idx="3">
                  <c:v>1.2380461</c:v>
                </c:pt>
                <c:pt idx="4">
                  <c:v>1.2675293700000001</c:v>
                </c:pt>
                <c:pt idx="5">
                  <c:v>1.2668578099999999</c:v>
                </c:pt>
                <c:pt idx="6">
                  <c:v>1.2596388200000002</c:v>
                </c:pt>
                <c:pt idx="7">
                  <c:v>1.23697872</c:v>
                </c:pt>
                <c:pt idx="8">
                  <c:v>1.27601802</c:v>
                </c:pt>
                <c:pt idx="9">
                  <c:v>1.25933209</c:v>
                </c:pt>
                <c:pt idx="10">
                  <c:v>1.20475479</c:v>
                </c:pt>
                <c:pt idx="11">
                  <c:v>1.24826265</c:v>
                </c:pt>
                <c:pt idx="12">
                  <c:v>1.27555993</c:v>
                </c:pt>
                <c:pt idx="13">
                  <c:v>1.2540191599999999</c:v>
                </c:pt>
                <c:pt idx="14">
                  <c:v>1.2637683499999999</c:v>
                </c:pt>
                <c:pt idx="15">
                  <c:v>1.2849115799999999</c:v>
                </c:pt>
                <c:pt idx="16">
                  <c:v>1.30196694</c:v>
                </c:pt>
                <c:pt idx="17">
                  <c:v>1.3258095599999999</c:v>
                </c:pt>
                <c:pt idx="18">
                  <c:v>1.34678114</c:v>
                </c:pt>
                <c:pt idx="19">
                  <c:v>1.3732440099999998</c:v>
                </c:pt>
                <c:pt idx="20">
                  <c:v>1.3964694499999999</c:v>
                </c:pt>
                <c:pt idx="21">
                  <c:v>1.4239311699999999</c:v>
                </c:pt>
                <c:pt idx="22">
                  <c:v>1.4532267400000001</c:v>
                </c:pt>
                <c:pt idx="23">
                  <c:v>1.4813724499999998</c:v>
                </c:pt>
                <c:pt idx="24">
                  <c:v>1.5123440099999998</c:v>
                </c:pt>
                <c:pt idx="25">
                  <c:v>1.5461941799999999</c:v>
                </c:pt>
                <c:pt idx="26">
                  <c:v>1.5823273599999998</c:v>
                </c:pt>
                <c:pt idx="27">
                  <c:v>1.6196942399999998</c:v>
                </c:pt>
                <c:pt idx="28">
                  <c:v>1.6565379099999999</c:v>
                </c:pt>
                <c:pt idx="29">
                  <c:v>1.6931511000000001</c:v>
                </c:pt>
                <c:pt idx="30">
                  <c:v>1.7244762199999999</c:v>
                </c:pt>
                <c:pt idx="31">
                  <c:v>1.7529956499999999</c:v>
                </c:pt>
                <c:pt idx="32">
                  <c:v>1.7813941799999999</c:v>
                </c:pt>
                <c:pt idx="33">
                  <c:v>1.8086964700000001</c:v>
                </c:pt>
                <c:pt idx="34">
                  <c:v>1.83525622</c:v>
                </c:pt>
                <c:pt idx="35">
                  <c:v>1.8623737</c:v>
                </c:pt>
                <c:pt idx="36">
                  <c:v>1.88978402</c:v>
                </c:pt>
                <c:pt idx="37">
                  <c:v>1.9181451599999999</c:v>
                </c:pt>
                <c:pt idx="38">
                  <c:v>1.9456092700000001</c:v>
                </c:pt>
                <c:pt idx="39">
                  <c:v>1.97429593</c:v>
                </c:pt>
                <c:pt idx="40">
                  <c:v>2.0053476899999998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F0-403D-A9CB-F28F5BD7A5DA}"/>
            </c:ext>
          </c:extLst>
        </c:ser>
        <c:ser>
          <c:idx val="2"/>
          <c:order val="2"/>
          <c:tx>
            <c:strRef>
              <c:f>'Demand by Case'!$B$14</c:f>
              <c:strCache>
                <c:ptCount val="1"/>
                <c:pt idx="0">
                  <c:v>East North Central</c:v>
                </c:pt>
              </c:strCache>
            </c:strRef>
          </c:tx>
          <c:xVal>
            <c:numRef>
              <c:f>'Demand by Case'!$C$1:$AQ$1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by Case'!$C$14:$AQ$14</c:f>
              <c:numCache>
                <c:formatCode>General</c:formatCode>
                <c:ptCount val="41"/>
                <c:pt idx="0">
                  <c:v>1.97</c:v>
                </c:pt>
                <c:pt idx="1">
                  <c:v>1.9698020000000001</c:v>
                </c:pt>
                <c:pt idx="2">
                  <c:v>1.961978</c:v>
                </c:pt>
                <c:pt idx="3">
                  <c:v>1.9298373600000001</c:v>
                </c:pt>
                <c:pt idx="4">
                  <c:v>1.94555587</c:v>
                </c:pt>
                <c:pt idx="5">
                  <c:v>1.9026462700000002</c:v>
                </c:pt>
                <c:pt idx="6">
                  <c:v>1.9039975900000001</c:v>
                </c:pt>
                <c:pt idx="7">
                  <c:v>1.8747083200000001</c:v>
                </c:pt>
                <c:pt idx="8">
                  <c:v>1.93915036</c:v>
                </c:pt>
                <c:pt idx="9">
                  <c:v>1.88470454</c:v>
                </c:pt>
                <c:pt idx="10">
                  <c:v>1.84570163</c:v>
                </c:pt>
                <c:pt idx="11">
                  <c:v>1.8997105200000002</c:v>
                </c:pt>
                <c:pt idx="12">
                  <c:v>1.8961219200000001</c:v>
                </c:pt>
                <c:pt idx="13">
                  <c:v>1.88252445</c:v>
                </c:pt>
                <c:pt idx="14">
                  <c:v>1.90336504</c:v>
                </c:pt>
                <c:pt idx="15">
                  <c:v>1.94152551</c:v>
                </c:pt>
                <c:pt idx="16">
                  <c:v>1.9704869</c:v>
                </c:pt>
                <c:pt idx="17">
                  <c:v>2.0013617300000002</c:v>
                </c:pt>
                <c:pt idx="18">
                  <c:v>2.02280887</c:v>
                </c:pt>
                <c:pt idx="19">
                  <c:v>2.0530541499999999</c:v>
                </c:pt>
                <c:pt idx="20">
                  <c:v>2.0832414699999999</c:v>
                </c:pt>
                <c:pt idx="21">
                  <c:v>2.1154338799999999</c:v>
                </c:pt>
                <c:pt idx="22">
                  <c:v>2.1576391699999999</c:v>
                </c:pt>
                <c:pt idx="23">
                  <c:v>2.2001500599999999</c:v>
                </c:pt>
                <c:pt idx="24">
                  <c:v>2.2504818599999998</c:v>
                </c:pt>
                <c:pt idx="25">
                  <c:v>2.3031859900000002</c:v>
                </c:pt>
                <c:pt idx="26">
                  <c:v>2.3546769900000002</c:v>
                </c:pt>
                <c:pt idx="27">
                  <c:v>2.4038663200000001</c:v>
                </c:pt>
                <c:pt idx="28">
                  <c:v>2.4538312000000002</c:v>
                </c:pt>
                <c:pt idx="29">
                  <c:v>2.5036353500000001</c:v>
                </c:pt>
                <c:pt idx="30">
                  <c:v>2.5454909800000003</c:v>
                </c:pt>
                <c:pt idx="31">
                  <c:v>2.58367031</c:v>
                </c:pt>
                <c:pt idx="32">
                  <c:v>2.62416333</c:v>
                </c:pt>
                <c:pt idx="33">
                  <c:v>2.6620727899999999</c:v>
                </c:pt>
                <c:pt idx="34">
                  <c:v>2.6996806000000002</c:v>
                </c:pt>
                <c:pt idx="35">
                  <c:v>2.7362790699999997</c:v>
                </c:pt>
                <c:pt idx="36">
                  <c:v>2.7743208699999999</c:v>
                </c:pt>
                <c:pt idx="37">
                  <c:v>2.8125041399999997</c:v>
                </c:pt>
                <c:pt idx="38">
                  <c:v>2.84894742</c:v>
                </c:pt>
                <c:pt idx="39">
                  <c:v>2.8866767599999998</c:v>
                </c:pt>
                <c:pt idx="40">
                  <c:v>2.9269710500000001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F0-403D-A9CB-F28F5BD7A5DA}"/>
            </c:ext>
          </c:extLst>
        </c:ser>
        <c:ser>
          <c:idx val="3"/>
          <c:order val="3"/>
          <c:tx>
            <c:strRef>
              <c:f>'Demand by Case'!$B$15</c:f>
              <c:strCache>
                <c:ptCount val="1"/>
                <c:pt idx="0">
                  <c:v>West North Central</c:v>
                </c:pt>
              </c:strCache>
            </c:strRef>
          </c:tx>
          <c:xVal>
            <c:numRef>
              <c:f>'Demand by Case'!$C$1:$AQ$1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by Case'!$C$15:$AQ$15</c:f>
              <c:numCache>
                <c:formatCode>General</c:formatCode>
                <c:ptCount val="41"/>
                <c:pt idx="0">
                  <c:v>1.0029999999999999</c:v>
                </c:pt>
                <c:pt idx="1">
                  <c:v>1.004251</c:v>
                </c:pt>
                <c:pt idx="2">
                  <c:v>1.002292</c:v>
                </c:pt>
                <c:pt idx="3">
                  <c:v>1.00240408</c:v>
                </c:pt>
                <c:pt idx="4">
                  <c:v>1.03447661</c:v>
                </c:pt>
                <c:pt idx="5">
                  <c:v>1.0144615699999999</c:v>
                </c:pt>
                <c:pt idx="6">
                  <c:v>1.0097498599999999</c:v>
                </c:pt>
                <c:pt idx="7">
                  <c:v>1.00463269</c:v>
                </c:pt>
                <c:pt idx="8">
                  <c:v>1.0409431499999999</c:v>
                </c:pt>
                <c:pt idx="9">
                  <c:v>1.0311001499999999</c:v>
                </c:pt>
                <c:pt idx="10">
                  <c:v>1.0034551300000001</c:v>
                </c:pt>
                <c:pt idx="11">
                  <c:v>1.05047095</c:v>
                </c:pt>
                <c:pt idx="12">
                  <c:v>1.0727100199999999</c:v>
                </c:pt>
                <c:pt idx="13">
                  <c:v>1.06164262</c:v>
                </c:pt>
                <c:pt idx="14">
                  <c:v>1.1070116700000001</c:v>
                </c:pt>
                <c:pt idx="15">
                  <c:v>1.1249947299999998</c:v>
                </c:pt>
                <c:pt idx="16">
                  <c:v>1.1211696500000001</c:v>
                </c:pt>
                <c:pt idx="17">
                  <c:v>1.13298341</c:v>
                </c:pt>
                <c:pt idx="18">
                  <c:v>1.14088327</c:v>
                </c:pt>
                <c:pt idx="19">
                  <c:v>1.1569959400000001</c:v>
                </c:pt>
                <c:pt idx="20">
                  <c:v>1.1747289299999999</c:v>
                </c:pt>
                <c:pt idx="21">
                  <c:v>1.19395505</c:v>
                </c:pt>
                <c:pt idx="22">
                  <c:v>1.2186661600000002</c:v>
                </c:pt>
                <c:pt idx="23">
                  <c:v>1.2449043799999999</c:v>
                </c:pt>
                <c:pt idx="24">
                  <c:v>1.2750338299999999</c:v>
                </c:pt>
                <c:pt idx="25">
                  <c:v>1.30659028</c:v>
                </c:pt>
                <c:pt idx="26">
                  <c:v>1.3367614800000001</c:v>
                </c:pt>
                <c:pt idx="27">
                  <c:v>1.36550701</c:v>
                </c:pt>
                <c:pt idx="28">
                  <c:v>1.39466537</c:v>
                </c:pt>
                <c:pt idx="29">
                  <c:v>1.4231425</c:v>
                </c:pt>
                <c:pt idx="30">
                  <c:v>1.44761889</c:v>
                </c:pt>
                <c:pt idx="31">
                  <c:v>1.4714428399999999</c:v>
                </c:pt>
                <c:pt idx="32">
                  <c:v>1.49705694</c:v>
                </c:pt>
                <c:pt idx="33">
                  <c:v>1.52142431</c:v>
                </c:pt>
                <c:pt idx="34">
                  <c:v>1.5455126299999999</c:v>
                </c:pt>
                <c:pt idx="35">
                  <c:v>1.56872079</c:v>
                </c:pt>
                <c:pt idx="36">
                  <c:v>1.59199753</c:v>
                </c:pt>
                <c:pt idx="37">
                  <c:v>1.6158102400000001</c:v>
                </c:pt>
                <c:pt idx="38">
                  <c:v>1.6397200600000001</c:v>
                </c:pt>
                <c:pt idx="39">
                  <c:v>1.6648792799999999</c:v>
                </c:pt>
                <c:pt idx="40">
                  <c:v>1.6919624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F0-403D-A9CB-F28F5BD7A5DA}"/>
            </c:ext>
          </c:extLst>
        </c:ser>
        <c:ser>
          <c:idx val="4"/>
          <c:order val="4"/>
          <c:tx>
            <c:strRef>
              <c:f>'Demand by Case'!$B$16</c:f>
              <c:strCache>
                <c:ptCount val="1"/>
                <c:pt idx="0">
                  <c:v>South Atlantic</c:v>
                </c:pt>
              </c:strCache>
            </c:strRef>
          </c:tx>
          <c:xVal>
            <c:numRef>
              <c:f>'Demand by Case'!$C$1:$AQ$1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by Case'!$C$16:$AQ$16</c:f>
              <c:numCache>
                <c:formatCode>General</c:formatCode>
                <c:ptCount val="41"/>
                <c:pt idx="0">
                  <c:v>2.8149999999999999</c:v>
                </c:pt>
                <c:pt idx="1">
                  <c:v>2.7323879999999998</c:v>
                </c:pt>
                <c:pt idx="2">
                  <c:v>2.6630720000000001</c:v>
                </c:pt>
                <c:pt idx="3">
                  <c:v>2.67589656</c:v>
                </c:pt>
                <c:pt idx="4">
                  <c:v>2.7230304000000003</c:v>
                </c:pt>
                <c:pt idx="5">
                  <c:v>2.7192014100000002</c:v>
                </c:pt>
                <c:pt idx="6">
                  <c:v>2.73043747</c:v>
                </c:pt>
                <c:pt idx="7">
                  <c:v>2.6800960700000003</c:v>
                </c:pt>
                <c:pt idx="8">
                  <c:v>2.7837750900000002</c:v>
                </c:pt>
                <c:pt idx="9">
                  <c:v>2.78859089</c:v>
                </c:pt>
                <c:pt idx="10">
                  <c:v>2.7067162100000002</c:v>
                </c:pt>
                <c:pt idx="11">
                  <c:v>2.8261017499999999</c:v>
                </c:pt>
                <c:pt idx="12">
                  <c:v>2.9142712800000004</c:v>
                </c:pt>
                <c:pt idx="13">
                  <c:v>2.9037459000000001</c:v>
                </c:pt>
                <c:pt idx="14">
                  <c:v>2.9808320200000002</c:v>
                </c:pt>
                <c:pt idx="15">
                  <c:v>3.0147078</c:v>
                </c:pt>
                <c:pt idx="16">
                  <c:v>3.0484624</c:v>
                </c:pt>
                <c:pt idx="17">
                  <c:v>3.09766114</c:v>
                </c:pt>
                <c:pt idx="18">
                  <c:v>3.1391479800000002</c:v>
                </c:pt>
                <c:pt idx="19">
                  <c:v>3.1957734099999997</c:v>
                </c:pt>
                <c:pt idx="20">
                  <c:v>3.24978006</c:v>
                </c:pt>
                <c:pt idx="21">
                  <c:v>3.3052823499999997</c:v>
                </c:pt>
                <c:pt idx="22">
                  <c:v>3.3697098699999999</c:v>
                </c:pt>
                <c:pt idx="23">
                  <c:v>3.43454104</c:v>
                </c:pt>
                <c:pt idx="24">
                  <c:v>3.5028208799999998</c:v>
                </c:pt>
                <c:pt idx="25">
                  <c:v>3.5722045900000001</c:v>
                </c:pt>
                <c:pt idx="26">
                  <c:v>3.6459451500000002</c:v>
                </c:pt>
                <c:pt idx="27">
                  <c:v>3.72431906</c:v>
                </c:pt>
                <c:pt idx="28">
                  <c:v>3.8056873700000002</c:v>
                </c:pt>
                <c:pt idx="29">
                  <c:v>3.8885641400000002</c:v>
                </c:pt>
                <c:pt idx="30">
                  <c:v>3.9627734800000001</c:v>
                </c:pt>
                <c:pt idx="31">
                  <c:v>4.0310678600000003</c:v>
                </c:pt>
                <c:pt idx="32">
                  <c:v>4.0995336899999995</c:v>
                </c:pt>
                <c:pt idx="33">
                  <c:v>4.1666207799999997</c:v>
                </c:pt>
                <c:pt idx="34">
                  <c:v>4.2317014100000003</c:v>
                </c:pt>
                <c:pt idx="35">
                  <c:v>4.2965979799999996</c:v>
                </c:pt>
                <c:pt idx="36">
                  <c:v>4.3600385600000005</c:v>
                </c:pt>
                <c:pt idx="37">
                  <c:v>4.4263741900000007</c:v>
                </c:pt>
                <c:pt idx="38">
                  <c:v>4.4954291699999995</c:v>
                </c:pt>
                <c:pt idx="39">
                  <c:v>4.5684442399999998</c:v>
                </c:pt>
                <c:pt idx="40">
                  <c:v>4.6468283899999996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F0-403D-A9CB-F28F5BD7A5DA}"/>
            </c:ext>
          </c:extLst>
        </c:ser>
        <c:ser>
          <c:idx val="5"/>
          <c:order val="5"/>
          <c:tx>
            <c:strRef>
              <c:f>'Demand by Case'!$B$17</c:f>
              <c:strCache>
                <c:ptCount val="1"/>
                <c:pt idx="0">
                  <c:v>East South Central</c:v>
                </c:pt>
              </c:strCache>
            </c:strRef>
          </c:tx>
          <c:xVal>
            <c:numRef>
              <c:f>'Demand by Case'!$C$1:$AQ$1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by Case'!$C$17:$AQ$17</c:f>
              <c:numCache>
                <c:formatCode>General</c:formatCode>
                <c:ptCount val="41"/>
                <c:pt idx="0">
                  <c:v>1.1519999999999999</c:v>
                </c:pt>
                <c:pt idx="1">
                  <c:v>1.1212580000000001</c:v>
                </c:pt>
                <c:pt idx="2">
                  <c:v>1.091933</c:v>
                </c:pt>
                <c:pt idx="3">
                  <c:v>1.1197244799999999</c:v>
                </c:pt>
                <c:pt idx="4">
                  <c:v>1.0897525399999999</c:v>
                </c:pt>
                <c:pt idx="5">
                  <c:v>1.04856832</c:v>
                </c:pt>
                <c:pt idx="6">
                  <c:v>1.03760001</c:v>
                </c:pt>
                <c:pt idx="7">
                  <c:v>1.0056703500000002</c:v>
                </c:pt>
                <c:pt idx="8">
                  <c:v>1.0592547000000001</c:v>
                </c:pt>
                <c:pt idx="9">
                  <c:v>1.0527635500000001</c:v>
                </c:pt>
                <c:pt idx="10">
                  <c:v>1.00147524</c:v>
                </c:pt>
                <c:pt idx="11">
                  <c:v>1.0462211099999998</c:v>
                </c:pt>
                <c:pt idx="12">
                  <c:v>1.0631943100000001</c:v>
                </c:pt>
                <c:pt idx="13">
                  <c:v>1.0575268799999999</c:v>
                </c:pt>
                <c:pt idx="14">
                  <c:v>1.0629011800000001</c:v>
                </c:pt>
                <c:pt idx="15">
                  <c:v>1.0624440800000001</c:v>
                </c:pt>
                <c:pt idx="16">
                  <c:v>1.0924686299999999</c:v>
                </c:pt>
                <c:pt idx="17">
                  <c:v>1.1103417799999999</c:v>
                </c:pt>
                <c:pt idx="18">
                  <c:v>1.12291382</c:v>
                </c:pt>
                <c:pt idx="19">
                  <c:v>1.13571792</c:v>
                </c:pt>
                <c:pt idx="20">
                  <c:v>1.1491151399999999</c:v>
                </c:pt>
                <c:pt idx="21">
                  <c:v>1.1635658900000001</c:v>
                </c:pt>
                <c:pt idx="22">
                  <c:v>1.1816723900000001</c:v>
                </c:pt>
                <c:pt idx="23">
                  <c:v>1.20037737</c:v>
                </c:pt>
                <c:pt idx="24">
                  <c:v>1.2218304099999999</c:v>
                </c:pt>
                <c:pt idx="25">
                  <c:v>1.24338299</c:v>
                </c:pt>
                <c:pt idx="26">
                  <c:v>1.2664676699999999</c:v>
                </c:pt>
                <c:pt idx="27">
                  <c:v>1.2897357600000001</c:v>
                </c:pt>
                <c:pt idx="28">
                  <c:v>1.31345095</c:v>
                </c:pt>
                <c:pt idx="29">
                  <c:v>1.33669032</c:v>
                </c:pt>
                <c:pt idx="30">
                  <c:v>1.3555926500000002</c:v>
                </c:pt>
                <c:pt idx="31">
                  <c:v>1.3728064499999999</c:v>
                </c:pt>
                <c:pt idx="32">
                  <c:v>1.3917078699999998</c:v>
                </c:pt>
                <c:pt idx="33">
                  <c:v>1.40913015</c:v>
                </c:pt>
                <c:pt idx="34">
                  <c:v>1.42460557</c:v>
                </c:pt>
                <c:pt idx="35">
                  <c:v>1.439864</c:v>
                </c:pt>
                <c:pt idx="36">
                  <c:v>1.4555466399999999</c:v>
                </c:pt>
                <c:pt idx="37">
                  <c:v>1.4745151700000001</c:v>
                </c:pt>
                <c:pt idx="38">
                  <c:v>1.4944550400000001</c:v>
                </c:pt>
                <c:pt idx="39">
                  <c:v>1.51507894</c:v>
                </c:pt>
                <c:pt idx="40">
                  <c:v>1.53683551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DF0-403D-A9CB-F28F5BD7A5DA}"/>
            </c:ext>
          </c:extLst>
        </c:ser>
        <c:ser>
          <c:idx val="6"/>
          <c:order val="6"/>
          <c:tx>
            <c:strRef>
              <c:f>'Demand by Case'!$B$18</c:f>
              <c:strCache>
                <c:ptCount val="1"/>
                <c:pt idx="0">
                  <c:v>West South Central</c:v>
                </c:pt>
              </c:strCache>
            </c:strRef>
          </c:tx>
          <c:xVal>
            <c:numRef>
              <c:f>'Demand by Case'!$C$1:$AQ$1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by Case'!$C$18:$AQ$18</c:f>
              <c:numCache>
                <c:formatCode>General</c:formatCode>
                <c:ptCount val="41"/>
                <c:pt idx="0">
                  <c:v>1.875</c:v>
                </c:pt>
                <c:pt idx="1">
                  <c:v>1.945614</c:v>
                </c:pt>
                <c:pt idx="2">
                  <c:v>1.898577</c:v>
                </c:pt>
                <c:pt idx="3">
                  <c:v>1.90921535</c:v>
                </c:pt>
                <c:pt idx="4">
                  <c:v>2.0292341999999999</c:v>
                </c:pt>
                <c:pt idx="5">
                  <c:v>2.0446246299999999</c:v>
                </c:pt>
                <c:pt idx="6">
                  <c:v>2.0291272</c:v>
                </c:pt>
                <c:pt idx="7">
                  <c:v>2.02324394</c:v>
                </c:pt>
                <c:pt idx="8">
                  <c:v>2.1222957499999997</c:v>
                </c:pt>
                <c:pt idx="9">
                  <c:v>2.1605800799999999</c:v>
                </c:pt>
                <c:pt idx="10">
                  <c:v>2.0755101300000001</c:v>
                </c:pt>
                <c:pt idx="11">
                  <c:v>2.2079303100000001</c:v>
                </c:pt>
                <c:pt idx="12">
                  <c:v>2.30493419</c:v>
                </c:pt>
                <c:pt idx="13">
                  <c:v>2.2475090600000001</c:v>
                </c:pt>
                <c:pt idx="14">
                  <c:v>2.3735083800000001</c:v>
                </c:pt>
                <c:pt idx="15">
                  <c:v>2.42832581</c:v>
                </c:pt>
                <c:pt idx="16">
                  <c:v>2.4703319599999998</c:v>
                </c:pt>
                <c:pt idx="17">
                  <c:v>2.5115885700000002</c:v>
                </c:pt>
                <c:pt idx="18">
                  <c:v>2.5398162399999999</c:v>
                </c:pt>
                <c:pt idx="19">
                  <c:v>2.58050866</c:v>
                </c:pt>
                <c:pt idx="20">
                  <c:v>2.6225783499999999</c:v>
                </c:pt>
                <c:pt idx="21">
                  <c:v>2.66612172</c:v>
                </c:pt>
                <c:pt idx="22">
                  <c:v>2.71921071</c:v>
                </c:pt>
                <c:pt idx="23">
                  <c:v>2.7761069800000002</c:v>
                </c:pt>
                <c:pt idx="24">
                  <c:v>2.8434938999999999</c:v>
                </c:pt>
                <c:pt idx="25">
                  <c:v>2.9125180099999999</c:v>
                </c:pt>
                <c:pt idx="26">
                  <c:v>2.9872957099999997</c:v>
                </c:pt>
                <c:pt idx="27">
                  <c:v>3.0644708399999998</c:v>
                </c:pt>
                <c:pt idx="28">
                  <c:v>3.1339419700000004</c:v>
                </c:pt>
                <c:pt idx="29">
                  <c:v>3.2023935399999996</c:v>
                </c:pt>
                <c:pt idx="30">
                  <c:v>3.2567780700000002</c:v>
                </c:pt>
                <c:pt idx="31">
                  <c:v>3.3061371300000002</c:v>
                </c:pt>
                <c:pt idx="32">
                  <c:v>3.36161785</c:v>
                </c:pt>
                <c:pt idx="33">
                  <c:v>3.41625098</c:v>
                </c:pt>
                <c:pt idx="34">
                  <c:v>3.4670963399999999</c:v>
                </c:pt>
                <c:pt idx="35">
                  <c:v>3.51627687</c:v>
                </c:pt>
                <c:pt idx="36">
                  <c:v>3.56541446</c:v>
                </c:pt>
                <c:pt idx="37">
                  <c:v>3.62077151</c:v>
                </c:pt>
                <c:pt idx="38">
                  <c:v>3.6805428399999998</c:v>
                </c:pt>
                <c:pt idx="39">
                  <c:v>3.7440038900000001</c:v>
                </c:pt>
                <c:pt idx="40">
                  <c:v>3.8107062699999998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DF0-403D-A9CB-F28F5BD7A5DA}"/>
            </c:ext>
          </c:extLst>
        </c:ser>
        <c:ser>
          <c:idx val="7"/>
          <c:order val="7"/>
          <c:tx>
            <c:strRef>
              <c:f>'Demand by Case'!$B$19</c:f>
              <c:strCache>
                <c:ptCount val="1"/>
                <c:pt idx="0">
                  <c:v>Mountain</c:v>
                </c:pt>
              </c:strCache>
            </c:strRef>
          </c:tx>
          <c:xVal>
            <c:numRef>
              <c:f>'Demand by Case'!$C$1:$AQ$1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by Case'!$C$19:$AQ$19</c:f>
              <c:numCache>
                <c:formatCode>General</c:formatCode>
                <c:ptCount val="41"/>
                <c:pt idx="0">
                  <c:v>0.89800000000000002</c:v>
                </c:pt>
                <c:pt idx="1">
                  <c:v>0.91674900000000004</c:v>
                </c:pt>
                <c:pt idx="2">
                  <c:v>0.92603800000000003</c:v>
                </c:pt>
                <c:pt idx="3">
                  <c:v>0.92237835999999995</c:v>
                </c:pt>
                <c:pt idx="4">
                  <c:v>0.92273852999999995</c:v>
                </c:pt>
                <c:pt idx="5">
                  <c:v>0.93016287999999991</c:v>
                </c:pt>
                <c:pt idx="6">
                  <c:v>0.94158965000000006</c:v>
                </c:pt>
                <c:pt idx="7">
                  <c:v>0.95548674</c:v>
                </c:pt>
                <c:pt idx="8">
                  <c:v>0.96707736</c:v>
                </c:pt>
                <c:pt idx="9">
                  <c:v>0.96674437999999996</c:v>
                </c:pt>
                <c:pt idx="10">
                  <c:v>0.97979298999999997</c:v>
                </c:pt>
                <c:pt idx="11">
                  <c:v>1.02482882</c:v>
                </c:pt>
                <c:pt idx="12">
                  <c:v>1.0487647</c:v>
                </c:pt>
                <c:pt idx="13">
                  <c:v>1.0385965099999999</c:v>
                </c:pt>
                <c:pt idx="14">
                  <c:v>1.10424444</c:v>
                </c:pt>
                <c:pt idx="15">
                  <c:v>1.1127913599999999</c:v>
                </c:pt>
                <c:pt idx="16">
                  <c:v>1.1338385200000001</c:v>
                </c:pt>
                <c:pt idx="17">
                  <c:v>1.1592617299999999</c:v>
                </c:pt>
                <c:pt idx="18">
                  <c:v>1.18162945</c:v>
                </c:pt>
                <c:pt idx="19">
                  <c:v>1.2133538400000001</c:v>
                </c:pt>
                <c:pt idx="20">
                  <c:v>1.2479043000000001</c:v>
                </c:pt>
                <c:pt idx="21">
                  <c:v>1.2845004799999999</c:v>
                </c:pt>
                <c:pt idx="22">
                  <c:v>1.3280972</c:v>
                </c:pt>
                <c:pt idx="23">
                  <c:v>1.3753046499999999</c:v>
                </c:pt>
                <c:pt idx="24">
                  <c:v>1.4273293599999999</c:v>
                </c:pt>
                <c:pt idx="25">
                  <c:v>1.5099807000000001</c:v>
                </c:pt>
                <c:pt idx="26">
                  <c:v>1.5629726500000001</c:v>
                </c:pt>
                <c:pt idx="27">
                  <c:v>1.61002121</c:v>
                </c:pt>
                <c:pt idx="28">
                  <c:v>1.64274035</c:v>
                </c:pt>
                <c:pt idx="29">
                  <c:v>1.6760209100000001</c:v>
                </c:pt>
                <c:pt idx="30">
                  <c:v>1.7220963999999999</c:v>
                </c:pt>
                <c:pt idx="31">
                  <c:v>1.76628498</c:v>
                </c:pt>
                <c:pt idx="32">
                  <c:v>1.8119619100000002</c:v>
                </c:pt>
                <c:pt idx="33">
                  <c:v>1.8570474800000001</c:v>
                </c:pt>
                <c:pt idx="34">
                  <c:v>1.8994341299999999</c:v>
                </c:pt>
                <c:pt idx="35">
                  <c:v>1.94396481</c:v>
                </c:pt>
                <c:pt idx="36">
                  <c:v>1.9888970100000001</c:v>
                </c:pt>
                <c:pt idx="37">
                  <c:v>2.0347003099999998</c:v>
                </c:pt>
                <c:pt idx="38">
                  <c:v>2.07958979</c:v>
                </c:pt>
                <c:pt idx="39">
                  <c:v>2.1270170799999999</c:v>
                </c:pt>
                <c:pt idx="40">
                  <c:v>2.1776035199999999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DF0-403D-A9CB-F28F5BD7A5DA}"/>
            </c:ext>
          </c:extLst>
        </c:ser>
        <c:ser>
          <c:idx val="8"/>
          <c:order val="8"/>
          <c:tx>
            <c:strRef>
              <c:f>'Demand by Case'!$B$20</c:f>
              <c:strCache>
                <c:ptCount val="1"/>
                <c:pt idx="0">
                  <c:v>Pacific</c:v>
                </c:pt>
              </c:strCache>
            </c:strRef>
          </c:tx>
          <c:xVal>
            <c:numRef>
              <c:f>'Demand by Case'!$C$1:$AQ$1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by Case'!$C$20:$AQ$20</c:f>
              <c:numCache>
                <c:formatCode>General</c:formatCode>
                <c:ptCount val="41"/>
                <c:pt idx="0">
                  <c:v>1.403</c:v>
                </c:pt>
                <c:pt idx="1">
                  <c:v>1.429711</c:v>
                </c:pt>
                <c:pt idx="2">
                  <c:v>1.4153640000000001</c:v>
                </c:pt>
                <c:pt idx="3">
                  <c:v>1.40705791</c:v>
                </c:pt>
                <c:pt idx="4">
                  <c:v>1.4177659999999999</c:v>
                </c:pt>
                <c:pt idx="5">
                  <c:v>1.4341026299999999</c:v>
                </c:pt>
                <c:pt idx="6">
                  <c:v>1.4307790300000001</c:v>
                </c:pt>
                <c:pt idx="7">
                  <c:v>1.46387248</c:v>
                </c:pt>
                <c:pt idx="8">
                  <c:v>1.4618903599999999</c:v>
                </c:pt>
                <c:pt idx="9">
                  <c:v>1.4400225600000001</c:v>
                </c:pt>
                <c:pt idx="10">
                  <c:v>1.4558663599999999</c:v>
                </c:pt>
                <c:pt idx="11">
                  <c:v>1.4820283400000001</c:v>
                </c:pt>
                <c:pt idx="12">
                  <c:v>1.5243843799999999</c:v>
                </c:pt>
                <c:pt idx="13">
                  <c:v>1.5142627799999999</c:v>
                </c:pt>
                <c:pt idx="14">
                  <c:v>1.5725668500000001</c:v>
                </c:pt>
                <c:pt idx="15">
                  <c:v>1.5720184699999999</c:v>
                </c:pt>
                <c:pt idx="16">
                  <c:v>1.6066741800000002</c:v>
                </c:pt>
                <c:pt idx="17">
                  <c:v>1.66062113</c:v>
                </c:pt>
                <c:pt idx="18">
                  <c:v>1.7048852299999999</c:v>
                </c:pt>
                <c:pt idx="19">
                  <c:v>1.7533220199999999</c:v>
                </c:pt>
                <c:pt idx="20">
                  <c:v>1.8031427200000001</c:v>
                </c:pt>
                <c:pt idx="21">
                  <c:v>1.8527817799999999</c:v>
                </c:pt>
                <c:pt idx="22">
                  <c:v>1.91141428</c:v>
                </c:pt>
                <c:pt idx="23">
                  <c:v>1.97455702</c:v>
                </c:pt>
                <c:pt idx="24">
                  <c:v>2.0425214499999997</c:v>
                </c:pt>
                <c:pt idx="25">
                  <c:v>2.1408297800000002</c:v>
                </c:pt>
                <c:pt idx="26">
                  <c:v>2.2056961099999999</c:v>
                </c:pt>
                <c:pt idx="27">
                  <c:v>2.2664231799999999</c:v>
                </c:pt>
                <c:pt idx="28">
                  <c:v>2.3118775999999999</c:v>
                </c:pt>
                <c:pt idx="29">
                  <c:v>2.35812935</c:v>
                </c:pt>
                <c:pt idx="30">
                  <c:v>2.4154437299999998</c:v>
                </c:pt>
                <c:pt idx="31">
                  <c:v>2.4691902199999998</c:v>
                </c:pt>
                <c:pt idx="32">
                  <c:v>2.5230057700000001</c:v>
                </c:pt>
                <c:pt idx="33">
                  <c:v>2.5742690699999997</c:v>
                </c:pt>
                <c:pt idx="34">
                  <c:v>2.6221444699999998</c:v>
                </c:pt>
                <c:pt idx="35">
                  <c:v>2.6720913199999998</c:v>
                </c:pt>
                <c:pt idx="36">
                  <c:v>2.7208708399999999</c:v>
                </c:pt>
                <c:pt idx="37">
                  <c:v>2.7707702299999997</c:v>
                </c:pt>
                <c:pt idx="38">
                  <c:v>2.8185347500000004</c:v>
                </c:pt>
                <c:pt idx="39">
                  <c:v>2.8684122699999999</c:v>
                </c:pt>
                <c:pt idx="40">
                  <c:v>2.9213170800000001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DF0-403D-A9CB-F28F5BD7A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700144"/>
        <c:axId val="899700536"/>
      </c:scatterChart>
      <c:valAx>
        <c:axId val="899700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9700536"/>
        <c:crosses val="autoZero"/>
        <c:crossBetween val="midCat"/>
      </c:valAx>
      <c:valAx>
        <c:axId val="89970053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Electricity Demand (Quads)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9700144"/>
        <c:crosses val="autoZero"/>
        <c:crossBetween val="midCat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8113329295376539"/>
          <c:y val="0.42390982761901685"/>
          <c:w val="0.11174399353926913"/>
          <c:h val="0.41228712689983521"/>
        </c:manualLayout>
      </c:layout>
      <c:overlay val="1"/>
      <c:spPr>
        <a:solidFill>
          <a:sysClr val="window" lastClr="FFFFFF">
            <a:lumMod val="100000"/>
          </a:sysClr>
        </a:solidFill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'Demand by Case'!$B$22</c:f>
              <c:strCache>
                <c:ptCount val="1"/>
                <c:pt idx="0">
                  <c:v>New England</c:v>
                </c:pt>
              </c:strCache>
            </c:strRef>
          </c:tx>
          <c:xVal>
            <c:numRef>
              <c:f>'Demand by Case'!$C$1:$AQ$1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by Case'!$C$22:$AQ$22</c:f>
              <c:numCache>
                <c:formatCode>General</c:formatCode>
                <c:ptCount val="41"/>
                <c:pt idx="0">
                  <c:v>0.42</c:v>
                </c:pt>
                <c:pt idx="1">
                  <c:v>0.41174100000000002</c:v>
                </c:pt>
                <c:pt idx="2">
                  <c:v>0.41017399999999998</c:v>
                </c:pt>
                <c:pt idx="3">
                  <c:v>0.41102066999999998</c:v>
                </c:pt>
                <c:pt idx="4">
                  <c:v>0.44005517</c:v>
                </c:pt>
                <c:pt idx="5">
                  <c:v>0.41126467999999999</c:v>
                </c:pt>
                <c:pt idx="6">
                  <c:v>0.40693478999999999</c:v>
                </c:pt>
                <c:pt idx="7">
                  <c:v>0.43105186000000001</c:v>
                </c:pt>
                <c:pt idx="8">
                  <c:v>0.42616219999999999</c:v>
                </c:pt>
                <c:pt idx="9">
                  <c:v>0.40360152999999999</c:v>
                </c:pt>
                <c:pt idx="10">
                  <c:v>0.40095227999999999</c:v>
                </c:pt>
                <c:pt idx="11">
                  <c:v>0.40835083999999999</c:v>
                </c:pt>
                <c:pt idx="12">
                  <c:v>0.41452341000000004</c:v>
                </c:pt>
                <c:pt idx="13">
                  <c:v>0.40633553</c:v>
                </c:pt>
                <c:pt idx="14">
                  <c:v>0.41744131000000001</c:v>
                </c:pt>
                <c:pt idx="15">
                  <c:v>0.41585988000000002</c:v>
                </c:pt>
                <c:pt idx="16">
                  <c:v>0.41815916000000003</c:v>
                </c:pt>
                <c:pt idx="17">
                  <c:v>0.42567005000000002</c:v>
                </c:pt>
                <c:pt idx="18">
                  <c:v>0.43251058999999997</c:v>
                </c:pt>
                <c:pt idx="19">
                  <c:v>0.44054353999999996</c:v>
                </c:pt>
                <c:pt idx="20">
                  <c:v>0.44783300999999998</c:v>
                </c:pt>
                <c:pt idx="21">
                  <c:v>0.45559248999999996</c:v>
                </c:pt>
                <c:pt idx="22">
                  <c:v>0.46408698000000004</c:v>
                </c:pt>
                <c:pt idx="23">
                  <c:v>0.47274619000000001</c:v>
                </c:pt>
                <c:pt idx="24">
                  <c:v>0.48216947999999998</c:v>
                </c:pt>
                <c:pt idx="25">
                  <c:v>0.49136340000000001</c:v>
                </c:pt>
                <c:pt idx="26">
                  <c:v>0.50125589000000004</c:v>
                </c:pt>
                <c:pt idx="27">
                  <c:v>0.51061931000000005</c:v>
                </c:pt>
                <c:pt idx="28">
                  <c:v>0.52013122000000001</c:v>
                </c:pt>
                <c:pt idx="29">
                  <c:v>0.53003705999999995</c:v>
                </c:pt>
                <c:pt idx="30">
                  <c:v>0.53929585000000002</c:v>
                </c:pt>
                <c:pt idx="31">
                  <c:v>0.54768068999999997</c:v>
                </c:pt>
                <c:pt idx="32">
                  <c:v>0.55556946000000007</c:v>
                </c:pt>
                <c:pt idx="33">
                  <c:v>0.56286002000000002</c:v>
                </c:pt>
                <c:pt idx="34">
                  <c:v>0.56954534000000001</c:v>
                </c:pt>
                <c:pt idx="35">
                  <c:v>0.57587328999999998</c:v>
                </c:pt>
                <c:pt idx="36">
                  <c:v>0.58201741000000007</c:v>
                </c:pt>
                <c:pt idx="37">
                  <c:v>0.58853146999999995</c:v>
                </c:pt>
                <c:pt idx="38">
                  <c:v>0.59487110999999993</c:v>
                </c:pt>
                <c:pt idx="39">
                  <c:v>0.60108239999999991</c:v>
                </c:pt>
                <c:pt idx="40">
                  <c:v>0.60754668000000001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21-4D17-AF38-B99928763D0C}"/>
            </c:ext>
          </c:extLst>
        </c:ser>
        <c:ser>
          <c:idx val="1"/>
          <c:order val="1"/>
          <c:tx>
            <c:strRef>
              <c:f>'Demand by Case'!$B$23</c:f>
              <c:strCache>
                <c:ptCount val="1"/>
                <c:pt idx="0">
                  <c:v>Middle Atlantic</c:v>
                </c:pt>
              </c:strCache>
            </c:strRef>
          </c:tx>
          <c:xVal>
            <c:numRef>
              <c:f>'Demand by Case'!$C$1:$AQ$1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by Case'!$C$23:$AQ$23</c:f>
              <c:numCache>
                <c:formatCode>General</c:formatCode>
                <c:ptCount val="41"/>
                <c:pt idx="0">
                  <c:v>1.27</c:v>
                </c:pt>
                <c:pt idx="1">
                  <c:v>1.2591760000000001</c:v>
                </c:pt>
                <c:pt idx="2">
                  <c:v>1.2379629999999999</c:v>
                </c:pt>
                <c:pt idx="3">
                  <c:v>1.2380461</c:v>
                </c:pt>
                <c:pt idx="4">
                  <c:v>1.2675293700000001</c:v>
                </c:pt>
                <c:pt idx="5">
                  <c:v>1.2668578099999999</c:v>
                </c:pt>
                <c:pt idx="6">
                  <c:v>1.2596388200000002</c:v>
                </c:pt>
                <c:pt idx="7">
                  <c:v>1.23697872</c:v>
                </c:pt>
                <c:pt idx="8">
                  <c:v>1.27601802</c:v>
                </c:pt>
                <c:pt idx="9">
                  <c:v>1.25933209</c:v>
                </c:pt>
                <c:pt idx="10">
                  <c:v>1.20475479</c:v>
                </c:pt>
                <c:pt idx="11">
                  <c:v>1.24826265</c:v>
                </c:pt>
                <c:pt idx="12">
                  <c:v>1.27555993</c:v>
                </c:pt>
                <c:pt idx="13">
                  <c:v>1.2479091599999999</c:v>
                </c:pt>
                <c:pt idx="14">
                  <c:v>1.2635879400000001</c:v>
                </c:pt>
                <c:pt idx="15">
                  <c:v>1.2745002300000001</c:v>
                </c:pt>
                <c:pt idx="16">
                  <c:v>1.2819882899999999</c:v>
                </c:pt>
                <c:pt idx="17">
                  <c:v>1.2961790599999998</c:v>
                </c:pt>
                <c:pt idx="18">
                  <c:v>1.3103726899999999</c:v>
                </c:pt>
                <c:pt idx="19">
                  <c:v>1.3287934300000002</c:v>
                </c:pt>
                <c:pt idx="20">
                  <c:v>1.34648839</c:v>
                </c:pt>
                <c:pt idx="21">
                  <c:v>1.3661591400000002</c:v>
                </c:pt>
                <c:pt idx="22">
                  <c:v>1.39037985</c:v>
                </c:pt>
                <c:pt idx="23">
                  <c:v>1.4142260800000002</c:v>
                </c:pt>
                <c:pt idx="24">
                  <c:v>1.4407909000000001</c:v>
                </c:pt>
                <c:pt idx="25">
                  <c:v>1.4694753199999999</c:v>
                </c:pt>
                <c:pt idx="26">
                  <c:v>1.4991405100000001</c:v>
                </c:pt>
                <c:pt idx="27">
                  <c:v>1.5272806999999999</c:v>
                </c:pt>
                <c:pt idx="28">
                  <c:v>1.5550633699999998</c:v>
                </c:pt>
                <c:pt idx="29">
                  <c:v>1.5841635300000001</c:v>
                </c:pt>
                <c:pt idx="30">
                  <c:v>1.6107295399999999</c:v>
                </c:pt>
                <c:pt idx="31">
                  <c:v>1.63437666</c:v>
                </c:pt>
                <c:pt idx="32">
                  <c:v>1.6564703599999999</c:v>
                </c:pt>
                <c:pt idx="33">
                  <c:v>1.67692364</c:v>
                </c:pt>
                <c:pt idx="34">
                  <c:v>1.6950504</c:v>
                </c:pt>
                <c:pt idx="35">
                  <c:v>1.7131077700000001</c:v>
                </c:pt>
                <c:pt idx="36">
                  <c:v>1.7314811299999999</c:v>
                </c:pt>
                <c:pt idx="37">
                  <c:v>1.7514444</c:v>
                </c:pt>
                <c:pt idx="38">
                  <c:v>1.77149562</c:v>
                </c:pt>
                <c:pt idx="39">
                  <c:v>1.7916513599999999</c:v>
                </c:pt>
                <c:pt idx="40">
                  <c:v>1.81288637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21-4D17-AF38-B99928763D0C}"/>
            </c:ext>
          </c:extLst>
        </c:ser>
        <c:ser>
          <c:idx val="2"/>
          <c:order val="2"/>
          <c:tx>
            <c:strRef>
              <c:f>'Demand by Case'!$B$24</c:f>
              <c:strCache>
                <c:ptCount val="1"/>
                <c:pt idx="0">
                  <c:v>East North Central</c:v>
                </c:pt>
              </c:strCache>
            </c:strRef>
          </c:tx>
          <c:xVal>
            <c:numRef>
              <c:f>'Demand by Case'!$C$1:$AQ$1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by Case'!$C$24:$AQ$24</c:f>
              <c:numCache>
                <c:formatCode>General</c:formatCode>
                <c:ptCount val="41"/>
                <c:pt idx="0">
                  <c:v>1.97</c:v>
                </c:pt>
                <c:pt idx="1">
                  <c:v>1.9698020000000001</c:v>
                </c:pt>
                <c:pt idx="2">
                  <c:v>1.961978</c:v>
                </c:pt>
                <c:pt idx="3">
                  <c:v>1.9298373600000001</c:v>
                </c:pt>
                <c:pt idx="4">
                  <c:v>1.94555587</c:v>
                </c:pt>
                <c:pt idx="5">
                  <c:v>1.9026462700000002</c:v>
                </c:pt>
                <c:pt idx="6">
                  <c:v>1.9039975900000001</c:v>
                </c:pt>
                <c:pt idx="7">
                  <c:v>1.8747083200000001</c:v>
                </c:pt>
                <c:pt idx="8">
                  <c:v>1.93915036</c:v>
                </c:pt>
                <c:pt idx="9">
                  <c:v>1.88470454</c:v>
                </c:pt>
                <c:pt idx="10">
                  <c:v>1.84570163</c:v>
                </c:pt>
                <c:pt idx="11">
                  <c:v>1.8997105200000002</c:v>
                </c:pt>
                <c:pt idx="12">
                  <c:v>1.8961219200000001</c:v>
                </c:pt>
                <c:pt idx="13">
                  <c:v>1.8684144500000002</c:v>
                </c:pt>
                <c:pt idx="14">
                  <c:v>1.9032911699999999</c:v>
                </c:pt>
                <c:pt idx="15">
                  <c:v>1.9237582499999999</c:v>
                </c:pt>
                <c:pt idx="16">
                  <c:v>1.9338405299999999</c:v>
                </c:pt>
                <c:pt idx="17">
                  <c:v>1.9483408</c:v>
                </c:pt>
                <c:pt idx="18">
                  <c:v>1.9613177099999999</c:v>
                </c:pt>
                <c:pt idx="19">
                  <c:v>1.9795584099999999</c:v>
                </c:pt>
                <c:pt idx="20">
                  <c:v>1.9994732399999999</c:v>
                </c:pt>
                <c:pt idx="21">
                  <c:v>2.01975813</c:v>
                </c:pt>
                <c:pt idx="22">
                  <c:v>2.0497539100000002</c:v>
                </c:pt>
                <c:pt idx="23">
                  <c:v>2.0819638499999997</c:v>
                </c:pt>
                <c:pt idx="24">
                  <c:v>2.1211043900000002</c:v>
                </c:pt>
                <c:pt idx="25">
                  <c:v>2.1616417799999996</c:v>
                </c:pt>
                <c:pt idx="26">
                  <c:v>2.2026545300000002</c:v>
                </c:pt>
                <c:pt idx="27">
                  <c:v>2.2357598399999996</c:v>
                </c:pt>
                <c:pt idx="28">
                  <c:v>2.27354732</c:v>
                </c:pt>
                <c:pt idx="29">
                  <c:v>2.3110106700000004</c:v>
                </c:pt>
                <c:pt idx="30">
                  <c:v>2.34693759</c:v>
                </c:pt>
                <c:pt idx="31">
                  <c:v>2.3785880000000001</c:v>
                </c:pt>
                <c:pt idx="32">
                  <c:v>2.4091241600000002</c:v>
                </c:pt>
                <c:pt idx="33">
                  <c:v>2.4373296600000001</c:v>
                </c:pt>
                <c:pt idx="34">
                  <c:v>2.4638535899999998</c:v>
                </c:pt>
                <c:pt idx="35">
                  <c:v>2.4887395900000002</c:v>
                </c:pt>
                <c:pt idx="36">
                  <c:v>2.5146793000000001</c:v>
                </c:pt>
                <c:pt idx="37">
                  <c:v>2.5395579100000001</c:v>
                </c:pt>
                <c:pt idx="38">
                  <c:v>2.5622113999999998</c:v>
                </c:pt>
                <c:pt idx="39">
                  <c:v>2.5855984400000001</c:v>
                </c:pt>
                <c:pt idx="40">
                  <c:v>2.61102927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21-4D17-AF38-B99928763D0C}"/>
            </c:ext>
          </c:extLst>
        </c:ser>
        <c:ser>
          <c:idx val="3"/>
          <c:order val="3"/>
          <c:tx>
            <c:strRef>
              <c:f>'Demand by Case'!$B$25</c:f>
              <c:strCache>
                <c:ptCount val="1"/>
                <c:pt idx="0">
                  <c:v>West North Central</c:v>
                </c:pt>
              </c:strCache>
            </c:strRef>
          </c:tx>
          <c:xVal>
            <c:numRef>
              <c:f>'Demand by Case'!$C$1:$AQ$1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by Case'!$C$25:$AQ$25</c:f>
              <c:numCache>
                <c:formatCode>General</c:formatCode>
                <c:ptCount val="41"/>
                <c:pt idx="0">
                  <c:v>1.0029999999999999</c:v>
                </c:pt>
                <c:pt idx="1">
                  <c:v>1.004251</c:v>
                </c:pt>
                <c:pt idx="2">
                  <c:v>1.002292</c:v>
                </c:pt>
                <c:pt idx="3">
                  <c:v>1.00240408</c:v>
                </c:pt>
                <c:pt idx="4">
                  <c:v>1.03447661</c:v>
                </c:pt>
                <c:pt idx="5">
                  <c:v>1.0144615699999999</c:v>
                </c:pt>
                <c:pt idx="6">
                  <c:v>1.0097498599999999</c:v>
                </c:pt>
                <c:pt idx="7">
                  <c:v>1.00463269</c:v>
                </c:pt>
                <c:pt idx="8">
                  <c:v>1.0409431499999999</c:v>
                </c:pt>
                <c:pt idx="9">
                  <c:v>1.0311001499999999</c:v>
                </c:pt>
                <c:pt idx="10">
                  <c:v>1.0034551300000001</c:v>
                </c:pt>
                <c:pt idx="11">
                  <c:v>1.05047095</c:v>
                </c:pt>
                <c:pt idx="12">
                  <c:v>1.0727100199999999</c:v>
                </c:pt>
                <c:pt idx="13">
                  <c:v>1.0542266199999999</c:v>
                </c:pt>
                <c:pt idx="14">
                  <c:v>1.10698227</c:v>
                </c:pt>
                <c:pt idx="15">
                  <c:v>1.11526817</c:v>
                </c:pt>
                <c:pt idx="16">
                  <c:v>1.1008166100000001</c:v>
                </c:pt>
                <c:pt idx="17">
                  <c:v>1.1043045599999999</c:v>
                </c:pt>
                <c:pt idx="18">
                  <c:v>1.10796304</c:v>
                </c:pt>
                <c:pt idx="19">
                  <c:v>1.1181261199999999</c:v>
                </c:pt>
                <c:pt idx="20">
                  <c:v>1.1298235300000001</c:v>
                </c:pt>
                <c:pt idx="21">
                  <c:v>1.1433556</c:v>
                </c:pt>
                <c:pt idx="22">
                  <c:v>1.1618594899999999</c:v>
                </c:pt>
                <c:pt idx="23">
                  <c:v>1.1823225900000001</c:v>
                </c:pt>
                <c:pt idx="24">
                  <c:v>1.2060499199999999</c:v>
                </c:pt>
                <c:pt idx="25">
                  <c:v>1.23112372</c:v>
                </c:pt>
                <c:pt idx="26">
                  <c:v>1.2557348499999998</c:v>
                </c:pt>
                <c:pt idx="27">
                  <c:v>1.2772937</c:v>
                </c:pt>
                <c:pt idx="28">
                  <c:v>1.3004772</c:v>
                </c:pt>
                <c:pt idx="29">
                  <c:v>1.3221166799999999</c:v>
                </c:pt>
                <c:pt idx="30">
                  <c:v>1.3429125</c:v>
                </c:pt>
                <c:pt idx="31">
                  <c:v>1.3624395600000001</c:v>
                </c:pt>
                <c:pt idx="32">
                  <c:v>1.3823343299999999</c:v>
                </c:pt>
                <c:pt idx="33">
                  <c:v>1.4015144399999999</c:v>
                </c:pt>
                <c:pt idx="34">
                  <c:v>1.4197132800000001</c:v>
                </c:pt>
                <c:pt idx="35">
                  <c:v>1.4355271100000002</c:v>
                </c:pt>
                <c:pt idx="36">
                  <c:v>1.4519886900000001</c:v>
                </c:pt>
                <c:pt idx="37">
                  <c:v>1.46903783</c:v>
                </c:pt>
                <c:pt idx="38">
                  <c:v>1.4861068800000001</c:v>
                </c:pt>
                <c:pt idx="39">
                  <c:v>1.50393639</c:v>
                </c:pt>
                <c:pt idx="40">
                  <c:v>1.5228545500000001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21-4D17-AF38-B99928763D0C}"/>
            </c:ext>
          </c:extLst>
        </c:ser>
        <c:ser>
          <c:idx val="4"/>
          <c:order val="4"/>
          <c:tx>
            <c:strRef>
              <c:f>'Demand by Case'!$B$26</c:f>
              <c:strCache>
                <c:ptCount val="1"/>
                <c:pt idx="0">
                  <c:v>South Atlantic</c:v>
                </c:pt>
              </c:strCache>
            </c:strRef>
          </c:tx>
          <c:xVal>
            <c:numRef>
              <c:f>'Demand by Case'!$C$1:$AQ$1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by Case'!$C$26:$AQ$26</c:f>
              <c:numCache>
                <c:formatCode>General</c:formatCode>
                <c:ptCount val="41"/>
                <c:pt idx="0">
                  <c:v>2.8149999999999999</c:v>
                </c:pt>
                <c:pt idx="1">
                  <c:v>2.7323879999999998</c:v>
                </c:pt>
                <c:pt idx="2">
                  <c:v>2.6630720000000001</c:v>
                </c:pt>
                <c:pt idx="3">
                  <c:v>2.67589656</c:v>
                </c:pt>
                <c:pt idx="4">
                  <c:v>2.7230304000000003</c:v>
                </c:pt>
                <c:pt idx="5">
                  <c:v>2.7192014100000002</c:v>
                </c:pt>
                <c:pt idx="6">
                  <c:v>2.73043747</c:v>
                </c:pt>
                <c:pt idx="7">
                  <c:v>2.6800960700000003</c:v>
                </c:pt>
                <c:pt idx="8">
                  <c:v>2.7837750900000002</c:v>
                </c:pt>
                <c:pt idx="9">
                  <c:v>2.78859089</c:v>
                </c:pt>
                <c:pt idx="10">
                  <c:v>2.7067162100000002</c:v>
                </c:pt>
                <c:pt idx="11">
                  <c:v>2.8261017499999999</c:v>
                </c:pt>
                <c:pt idx="12">
                  <c:v>2.9142712800000004</c:v>
                </c:pt>
                <c:pt idx="13">
                  <c:v>2.8918219000000001</c:v>
                </c:pt>
                <c:pt idx="14">
                  <c:v>2.9805893499999998</c:v>
                </c:pt>
                <c:pt idx="15">
                  <c:v>2.9900518599999999</c:v>
                </c:pt>
                <c:pt idx="16">
                  <c:v>3.0006379700000001</c:v>
                </c:pt>
                <c:pt idx="17">
                  <c:v>3.0313283200000001</c:v>
                </c:pt>
                <c:pt idx="18">
                  <c:v>3.06048264</c:v>
                </c:pt>
                <c:pt idx="19">
                  <c:v>3.1029264300000001</c:v>
                </c:pt>
                <c:pt idx="20">
                  <c:v>3.13995538</c:v>
                </c:pt>
                <c:pt idx="21">
                  <c:v>3.17773416</c:v>
                </c:pt>
                <c:pt idx="22">
                  <c:v>3.2250529700000001</c:v>
                </c:pt>
                <c:pt idx="23">
                  <c:v>3.27419306</c:v>
                </c:pt>
                <c:pt idx="24">
                  <c:v>3.3237860299999999</c:v>
                </c:pt>
                <c:pt idx="25">
                  <c:v>3.3761865100000001</c:v>
                </c:pt>
                <c:pt idx="26">
                  <c:v>3.4337999100000003</c:v>
                </c:pt>
                <c:pt idx="27">
                  <c:v>3.4960245400000001</c:v>
                </c:pt>
                <c:pt idx="28">
                  <c:v>3.5592259400000001</c:v>
                </c:pt>
                <c:pt idx="29">
                  <c:v>3.6245261600000003</c:v>
                </c:pt>
                <c:pt idx="30">
                  <c:v>3.6866515</c:v>
                </c:pt>
                <c:pt idx="31">
                  <c:v>3.74352624</c:v>
                </c:pt>
                <c:pt idx="32">
                  <c:v>3.7965163999999998</c:v>
                </c:pt>
                <c:pt idx="33">
                  <c:v>3.8455403400000003</c:v>
                </c:pt>
                <c:pt idx="34">
                  <c:v>3.89076216</c:v>
                </c:pt>
                <c:pt idx="35">
                  <c:v>3.9353148399999998</c:v>
                </c:pt>
                <c:pt idx="36">
                  <c:v>3.9809683499999999</c:v>
                </c:pt>
                <c:pt idx="37">
                  <c:v>4.0286426899999999</c:v>
                </c:pt>
                <c:pt idx="38">
                  <c:v>4.0800011200000004</c:v>
                </c:pt>
                <c:pt idx="39">
                  <c:v>4.13403996</c:v>
                </c:pt>
                <c:pt idx="40">
                  <c:v>4.1922894299999998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B21-4D17-AF38-B99928763D0C}"/>
            </c:ext>
          </c:extLst>
        </c:ser>
        <c:ser>
          <c:idx val="5"/>
          <c:order val="5"/>
          <c:tx>
            <c:strRef>
              <c:f>'Demand by Case'!$B$27</c:f>
              <c:strCache>
                <c:ptCount val="1"/>
                <c:pt idx="0">
                  <c:v>East South Central</c:v>
                </c:pt>
              </c:strCache>
            </c:strRef>
          </c:tx>
          <c:xVal>
            <c:numRef>
              <c:f>'Demand by Case'!$C$1:$AQ$1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by Case'!$C$27:$AQ$27</c:f>
              <c:numCache>
                <c:formatCode>General</c:formatCode>
                <c:ptCount val="41"/>
                <c:pt idx="0">
                  <c:v>1.1519999999999999</c:v>
                </c:pt>
                <c:pt idx="1">
                  <c:v>1.1212580000000001</c:v>
                </c:pt>
                <c:pt idx="2">
                  <c:v>1.091933</c:v>
                </c:pt>
                <c:pt idx="3">
                  <c:v>1.1197244799999999</c:v>
                </c:pt>
                <c:pt idx="4">
                  <c:v>1.0897525399999999</c:v>
                </c:pt>
                <c:pt idx="5">
                  <c:v>1.04856832</c:v>
                </c:pt>
                <c:pt idx="6">
                  <c:v>1.03760001</c:v>
                </c:pt>
                <c:pt idx="7">
                  <c:v>1.0056703500000002</c:v>
                </c:pt>
                <c:pt idx="8">
                  <c:v>1.0592547000000001</c:v>
                </c:pt>
                <c:pt idx="9">
                  <c:v>1.0527635500000001</c:v>
                </c:pt>
                <c:pt idx="10">
                  <c:v>1.00147524</c:v>
                </c:pt>
                <c:pt idx="11">
                  <c:v>1.0462211099999998</c:v>
                </c:pt>
                <c:pt idx="12">
                  <c:v>1.0631943100000001</c:v>
                </c:pt>
                <c:pt idx="13">
                  <c:v>1.04969588</c:v>
                </c:pt>
                <c:pt idx="14">
                  <c:v>1.0628610199999999</c:v>
                </c:pt>
                <c:pt idx="15">
                  <c:v>1.05163377</c:v>
                </c:pt>
                <c:pt idx="16">
                  <c:v>1.06983004</c:v>
                </c:pt>
                <c:pt idx="17">
                  <c:v>1.0801630199999999</c:v>
                </c:pt>
                <c:pt idx="18">
                  <c:v>1.0899172700000002</c:v>
                </c:pt>
                <c:pt idx="19">
                  <c:v>1.0980748199999999</c:v>
                </c:pt>
                <c:pt idx="20">
                  <c:v>1.1043210999999999</c:v>
                </c:pt>
                <c:pt idx="21">
                  <c:v>1.1116283599999999</c:v>
                </c:pt>
                <c:pt idx="22">
                  <c:v>1.1225916</c:v>
                </c:pt>
                <c:pt idx="23">
                  <c:v>1.1343132499999999</c:v>
                </c:pt>
                <c:pt idx="24">
                  <c:v>1.1472750100000002</c:v>
                </c:pt>
                <c:pt idx="25">
                  <c:v>1.1615215400000001</c:v>
                </c:pt>
                <c:pt idx="26">
                  <c:v>1.1751463500000001</c:v>
                </c:pt>
                <c:pt idx="27">
                  <c:v>1.1897840400000002</c:v>
                </c:pt>
                <c:pt idx="28">
                  <c:v>1.2041752999999999</c:v>
                </c:pt>
                <c:pt idx="29">
                  <c:v>1.2190069799999999</c:v>
                </c:pt>
                <c:pt idx="30">
                  <c:v>1.23288</c:v>
                </c:pt>
                <c:pt idx="31">
                  <c:v>1.2462099499999999</c:v>
                </c:pt>
                <c:pt idx="32">
                  <c:v>1.2595469699999999</c:v>
                </c:pt>
                <c:pt idx="33">
                  <c:v>1.2712550800000002</c:v>
                </c:pt>
                <c:pt idx="34">
                  <c:v>1.28073926</c:v>
                </c:pt>
                <c:pt idx="35">
                  <c:v>1.2897180400000001</c:v>
                </c:pt>
                <c:pt idx="36">
                  <c:v>1.2988546299999999</c:v>
                </c:pt>
                <c:pt idx="37">
                  <c:v>1.3078536000000001</c:v>
                </c:pt>
                <c:pt idx="38">
                  <c:v>1.31808624</c:v>
                </c:pt>
                <c:pt idx="39">
                  <c:v>1.32997878</c:v>
                </c:pt>
                <c:pt idx="40">
                  <c:v>1.34342502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B21-4D17-AF38-B99928763D0C}"/>
            </c:ext>
          </c:extLst>
        </c:ser>
        <c:ser>
          <c:idx val="6"/>
          <c:order val="6"/>
          <c:tx>
            <c:strRef>
              <c:f>'Demand by Case'!$B$28</c:f>
              <c:strCache>
                <c:ptCount val="1"/>
                <c:pt idx="0">
                  <c:v>West South Central</c:v>
                </c:pt>
              </c:strCache>
            </c:strRef>
          </c:tx>
          <c:xVal>
            <c:numRef>
              <c:f>'Demand by Case'!$C$1:$AQ$1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by Case'!$C$28:$AQ$28</c:f>
              <c:numCache>
                <c:formatCode>General</c:formatCode>
                <c:ptCount val="41"/>
                <c:pt idx="0">
                  <c:v>1.875</c:v>
                </c:pt>
                <c:pt idx="1">
                  <c:v>1.945614</c:v>
                </c:pt>
                <c:pt idx="2">
                  <c:v>1.898577</c:v>
                </c:pt>
                <c:pt idx="3">
                  <c:v>1.90921535</c:v>
                </c:pt>
                <c:pt idx="4">
                  <c:v>2.0292341999999999</c:v>
                </c:pt>
                <c:pt idx="5">
                  <c:v>2.0446246299999999</c:v>
                </c:pt>
                <c:pt idx="6">
                  <c:v>2.0291272</c:v>
                </c:pt>
                <c:pt idx="7">
                  <c:v>2.02324394</c:v>
                </c:pt>
                <c:pt idx="8">
                  <c:v>2.1222957499999997</c:v>
                </c:pt>
                <c:pt idx="9">
                  <c:v>2.1605800799999999</c:v>
                </c:pt>
                <c:pt idx="10">
                  <c:v>2.0755101300000001</c:v>
                </c:pt>
                <c:pt idx="11">
                  <c:v>2.2079303100000001</c:v>
                </c:pt>
                <c:pt idx="12">
                  <c:v>2.30493419</c:v>
                </c:pt>
                <c:pt idx="13">
                  <c:v>2.23077806</c:v>
                </c:pt>
                <c:pt idx="14">
                  <c:v>2.3733465499999999</c:v>
                </c:pt>
                <c:pt idx="15">
                  <c:v>2.4039857500000004</c:v>
                </c:pt>
                <c:pt idx="16">
                  <c:v>2.4174521699999998</c:v>
                </c:pt>
                <c:pt idx="17">
                  <c:v>2.4362918599999999</c:v>
                </c:pt>
                <c:pt idx="18">
                  <c:v>2.4584582500000001</c:v>
                </c:pt>
                <c:pt idx="19">
                  <c:v>2.4861617799999998</c:v>
                </c:pt>
                <c:pt idx="20">
                  <c:v>2.5104806799999997</c:v>
                </c:pt>
                <c:pt idx="21">
                  <c:v>2.5360069199999997</c:v>
                </c:pt>
                <c:pt idx="22">
                  <c:v>2.5750412300000001</c:v>
                </c:pt>
                <c:pt idx="23">
                  <c:v>2.6169146100000003</c:v>
                </c:pt>
                <c:pt idx="24">
                  <c:v>2.6628018299999998</c:v>
                </c:pt>
                <c:pt idx="25">
                  <c:v>2.7161766999999997</c:v>
                </c:pt>
                <c:pt idx="26">
                  <c:v>2.77239996</c:v>
                </c:pt>
                <c:pt idx="27">
                  <c:v>2.8285382600000002</c:v>
                </c:pt>
                <c:pt idx="28">
                  <c:v>2.8772637400000001</c:v>
                </c:pt>
                <c:pt idx="29">
                  <c:v>2.9246525499999998</c:v>
                </c:pt>
                <c:pt idx="30">
                  <c:v>2.9630112299999998</c:v>
                </c:pt>
                <c:pt idx="31">
                  <c:v>3.00020687</c:v>
                </c:pt>
                <c:pt idx="32">
                  <c:v>3.0385576300000001</c:v>
                </c:pt>
                <c:pt idx="33">
                  <c:v>3.0760213800000002</c:v>
                </c:pt>
                <c:pt idx="34">
                  <c:v>3.1103558699999998</c:v>
                </c:pt>
                <c:pt idx="35">
                  <c:v>3.144984</c:v>
                </c:pt>
                <c:pt idx="36">
                  <c:v>3.18090429</c:v>
                </c:pt>
                <c:pt idx="37">
                  <c:v>3.2141586499999999</c:v>
                </c:pt>
                <c:pt idx="38">
                  <c:v>3.2466735100000004</c:v>
                </c:pt>
                <c:pt idx="39">
                  <c:v>3.2809820799999998</c:v>
                </c:pt>
                <c:pt idx="40">
                  <c:v>3.31840739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B21-4D17-AF38-B99928763D0C}"/>
            </c:ext>
          </c:extLst>
        </c:ser>
        <c:ser>
          <c:idx val="7"/>
          <c:order val="7"/>
          <c:tx>
            <c:strRef>
              <c:f>'Demand by Case'!$B$29</c:f>
              <c:strCache>
                <c:ptCount val="1"/>
                <c:pt idx="0">
                  <c:v>Mountain</c:v>
                </c:pt>
              </c:strCache>
            </c:strRef>
          </c:tx>
          <c:xVal>
            <c:numRef>
              <c:f>'Demand by Case'!$C$1:$AQ$1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by Case'!$C$29:$AQ$29</c:f>
              <c:numCache>
                <c:formatCode>General</c:formatCode>
                <c:ptCount val="41"/>
                <c:pt idx="0">
                  <c:v>0.89800000000000002</c:v>
                </c:pt>
                <c:pt idx="1">
                  <c:v>0.91674900000000004</c:v>
                </c:pt>
                <c:pt idx="2">
                  <c:v>0.92603800000000003</c:v>
                </c:pt>
                <c:pt idx="3">
                  <c:v>0.92237835999999995</c:v>
                </c:pt>
                <c:pt idx="4">
                  <c:v>0.92273852999999995</c:v>
                </c:pt>
                <c:pt idx="5">
                  <c:v>0.93016287999999991</c:v>
                </c:pt>
                <c:pt idx="6">
                  <c:v>0.94158965000000006</c:v>
                </c:pt>
                <c:pt idx="7">
                  <c:v>0.95548674</c:v>
                </c:pt>
                <c:pt idx="8">
                  <c:v>0.96707736</c:v>
                </c:pt>
                <c:pt idx="9">
                  <c:v>0.96674437999999996</c:v>
                </c:pt>
                <c:pt idx="10">
                  <c:v>0.97979298999999997</c:v>
                </c:pt>
                <c:pt idx="11">
                  <c:v>1.02482882</c:v>
                </c:pt>
                <c:pt idx="12">
                  <c:v>1.0487647</c:v>
                </c:pt>
                <c:pt idx="13">
                  <c:v>1.03047351</c:v>
                </c:pt>
                <c:pt idx="14">
                  <c:v>1.1041066000000002</c:v>
                </c:pt>
                <c:pt idx="15">
                  <c:v>1.10215763</c:v>
                </c:pt>
                <c:pt idx="16">
                  <c:v>1.1098993699999999</c:v>
                </c:pt>
                <c:pt idx="17">
                  <c:v>1.1258467699999999</c:v>
                </c:pt>
                <c:pt idx="18">
                  <c:v>1.1424156399999998</c:v>
                </c:pt>
                <c:pt idx="19">
                  <c:v>1.1665647399999999</c:v>
                </c:pt>
                <c:pt idx="20">
                  <c:v>1.1926071200000001</c:v>
                </c:pt>
                <c:pt idx="21">
                  <c:v>1.2216442300000001</c:v>
                </c:pt>
                <c:pt idx="22">
                  <c:v>1.2573079999999999</c:v>
                </c:pt>
                <c:pt idx="23">
                  <c:v>1.29620881</c:v>
                </c:pt>
                <c:pt idx="24">
                  <c:v>1.33925041</c:v>
                </c:pt>
                <c:pt idx="25">
                  <c:v>1.38268053</c:v>
                </c:pt>
                <c:pt idx="26">
                  <c:v>1.4230219800000001</c:v>
                </c:pt>
                <c:pt idx="27">
                  <c:v>1.46156518</c:v>
                </c:pt>
                <c:pt idx="28">
                  <c:v>1.50058037</c:v>
                </c:pt>
                <c:pt idx="29">
                  <c:v>1.5390550199999999</c:v>
                </c:pt>
                <c:pt idx="30">
                  <c:v>1.57699737</c:v>
                </c:pt>
                <c:pt idx="31">
                  <c:v>1.6139725899999999</c:v>
                </c:pt>
                <c:pt idx="32">
                  <c:v>1.6509322200000001</c:v>
                </c:pt>
                <c:pt idx="33">
                  <c:v>1.6882591900000001</c:v>
                </c:pt>
                <c:pt idx="34">
                  <c:v>1.7226443</c:v>
                </c:pt>
                <c:pt idx="35">
                  <c:v>1.7549317100000001</c:v>
                </c:pt>
                <c:pt idx="36">
                  <c:v>1.78832901</c:v>
                </c:pt>
                <c:pt idx="37">
                  <c:v>1.8206654599999998</c:v>
                </c:pt>
                <c:pt idx="38">
                  <c:v>1.8540243600000001</c:v>
                </c:pt>
                <c:pt idx="39">
                  <c:v>1.8889058799999998</c:v>
                </c:pt>
                <c:pt idx="40">
                  <c:v>1.92574136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B21-4D17-AF38-B99928763D0C}"/>
            </c:ext>
          </c:extLst>
        </c:ser>
        <c:ser>
          <c:idx val="8"/>
          <c:order val="8"/>
          <c:tx>
            <c:strRef>
              <c:f>'Demand by Case'!$B$30</c:f>
              <c:strCache>
                <c:ptCount val="1"/>
                <c:pt idx="0">
                  <c:v>Pacific</c:v>
                </c:pt>
              </c:strCache>
            </c:strRef>
          </c:tx>
          <c:xVal>
            <c:numRef>
              <c:f>'Demand by Case'!$C$1:$AQ$1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by Case'!$C$30:$AQ$30</c:f>
              <c:numCache>
                <c:formatCode>General</c:formatCode>
                <c:ptCount val="41"/>
                <c:pt idx="0">
                  <c:v>1.403</c:v>
                </c:pt>
                <c:pt idx="1">
                  <c:v>1.429711</c:v>
                </c:pt>
                <c:pt idx="2">
                  <c:v>1.4153640000000001</c:v>
                </c:pt>
                <c:pt idx="3">
                  <c:v>1.40705791</c:v>
                </c:pt>
                <c:pt idx="4">
                  <c:v>1.4177659999999999</c:v>
                </c:pt>
                <c:pt idx="5">
                  <c:v>1.4341026299999999</c:v>
                </c:pt>
                <c:pt idx="6">
                  <c:v>1.4307790300000001</c:v>
                </c:pt>
                <c:pt idx="7">
                  <c:v>1.46387248</c:v>
                </c:pt>
                <c:pt idx="8">
                  <c:v>1.4618903599999999</c:v>
                </c:pt>
                <c:pt idx="9">
                  <c:v>1.4400225600000001</c:v>
                </c:pt>
                <c:pt idx="10">
                  <c:v>1.4558663599999999</c:v>
                </c:pt>
                <c:pt idx="11">
                  <c:v>1.4820283400000001</c:v>
                </c:pt>
                <c:pt idx="12">
                  <c:v>1.5243843799999999</c:v>
                </c:pt>
                <c:pt idx="13">
                  <c:v>1.5039897899999999</c:v>
                </c:pt>
                <c:pt idx="14">
                  <c:v>1.5718749299999999</c:v>
                </c:pt>
                <c:pt idx="15">
                  <c:v>1.55845984</c:v>
                </c:pt>
                <c:pt idx="16">
                  <c:v>1.57805679</c:v>
                </c:pt>
                <c:pt idx="17">
                  <c:v>1.61767741</c:v>
                </c:pt>
                <c:pt idx="18">
                  <c:v>1.6525747</c:v>
                </c:pt>
                <c:pt idx="19">
                  <c:v>1.6901567900000001</c:v>
                </c:pt>
                <c:pt idx="20">
                  <c:v>1.72930041</c:v>
                </c:pt>
                <c:pt idx="21">
                  <c:v>1.7695203100000001</c:v>
                </c:pt>
                <c:pt idx="22">
                  <c:v>1.8197260700000002</c:v>
                </c:pt>
                <c:pt idx="23">
                  <c:v>1.8738093300000001</c:v>
                </c:pt>
                <c:pt idx="24">
                  <c:v>1.9309897499999999</c:v>
                </c:pt>
                <c:pt idx="25">
                  <c:v>1.98638943</c:v>
                </c:pt>
                <c:pt idx="26">
                  <c:v>2.0375271800000001</c:v>
                </c:pt>
                <c:pt idx="27">
                  <c:v>2.0864717100000001</c:v>
                </c:pt>
                <c:pt idx="28">
                  <c:v>2.13575092</c:v>
                </c:pt>
                <c:pt idx="29">
                  <c:v>2.18375684</c:v>
                </c:pt>
                <c:pt idx="30">
                  <c:v>2.2294715099999998</c:v>
                </c:pt>
                <c:pt idx="31">
                  <c:v>2.2722152500000004</c:v>
                </c:pt>
                <c:pt idx="32">
                  <c:v>2.3140018499999999</c:v>
                </c:pt>
                <c:pt idx="33">
                  <c:v>2.3548939999999998</c:v>
                </c:pt>
                <c:pt idx="34">
                  <c:v>2.39286077</c:v>
                </c:pt>
                <c:pt idx="35">
                  <c:v>2.4283166600000001</c:v>
                </c:pt>
                <c:pt idx="36">
                  <c:v>2.4647066899999999</c:v>
                </c:pt>
                <c:pt idx="37">
                  <c:v>2.4998669100000002</c:v>
                </c:pt>
                <c:pt idx="38">
                  <c:v>2.53442385</c:v>
                </c:pt>
                <c:pt idx="39">
                  <c:v>2.5698115699999997</c:v>
                </c:pt>
                <c:pt idx="40">
                  <c:v>2.6072149599999999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B21-4D17-AF38-B99928763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700144"/>
        <c:axId val="899700536"/>
      </c:scatterChart>
      <c:valAx>
        <c:axId val="899700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9700536"/>
        <c:crosses val="autoZero"/>
        <c:crossBetween val="midCat"/>
      </c:valAx>
      <c:valAx>
        <c:axId val="89970053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Electricity Demand (Quads)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9700144"/>
        <c:crosses val="autoZero"/>
        <c:crossBetween val="midCat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8113329295376539"/>
          <c:y val="0.42390982761901685"/>
          <c:w val="0.11174399353926913"/>
          <c:h val="0.41228712689983521"/>
        </c:manualLayout>
      </c:layout>
      <c:overlay val="1"/>
      <c:spPr>
        <a:solidFill>
          <a:sysClr val="window" lastClr="FFFFFF">
            <a:lumMod val="100000"/>
          </a:sysClr>
        </a:solidFill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234315</xdr:colOff>
      <xdr:row>32</xdr:row>
      <xdr:rowOff>129540</xdr:rowOff>
    </xdr:from>
    <xdr:to>
      <xdr:col>26</xdr:col>
      <xdr:colOff>424815</xdr:colOff>
      <xdr:row>58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59</xdr:row>
      <xdr:rowOff>0</xdr:rowOff>
    </xdr:from>
    <xdr:to>
      <xdr:col>26</xdr:col>
      <xdr:colOff>190500</xdr:colOff>
      <xdr:row>84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67C63E-3BA2-477F-B0F2-1ED3F06E0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85</xdr:row>
      <xdr:rowOff>0</xdr:rowOff>
    </xdr:from>
    <xdr:to>
      <xdr:col>26</xdr:col>
      <xdr:colOff>190500</xdr:colOff>
      <xdr:row>110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7A489C-EE2C-4415-A2AA-1E36EE321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Q126"/>
  <sheetViews>
    <sheetView workbookViewId="0"/>
  </sheetViews>
  <sheetFormatPr defaultRowHeight="15" x14ac:dyDescent="0.25"/>
  <cols>
    <col min="1" max="1" width="23.140625" customWidth="1"/>
  </cols>
  <sheetData>
    <row r="1" spans="1:43" ht="23.25" x14ac:dyDescent="0.35">
      <c r="A1" s="7" t="s">
        <v>40</v>
      </c>
    </row>
    <row r="3" spans="1:43" x14ac:dyDescent="0.25">
      <c r="A3" t="s">
        <v>44</v>
      </c>
    </row>
    <row r="4" spans="1:43" x14ac:dyDescent="0.25">
      <c r="A4" t="s">
        <v>11</v>
      </c>
      <c r="C4">
        <v>2010</v>
      </c>
      <c r="D4">
        <v>2011</v>
      </c>
      <c r="E4">
        <v>2012</v>
      </c>
      <c r="F4">
        <v>2013</v>
      </c>
      <c r="G4">
        <v>2014</v>
      </c>
      <c r="H4">
        <v>2015</v>
      </c>
      <c r="I4">
        <v>2016</v>
      </c>
      <c r="J4">
        <v>2017</v>
      </c>
      <c r="K4">
        <v>2018</v>
      </c>
      <c r="L4">
        <v>2019</v>
      </c>
      <c r="M4">
        <v>2020</v>
      </c>
      <c r="N4">
        <v>2021</v>
      </c>
      <c r="O4">
        <v>2022</v>
      </c>
      <c r="P4">
        <v>2023</v>
      </c>
      <c r="Q4">
        <v>2024</v>
      </c>
      <c r="R4">
        <v>2025</v>
      </c>
      <c r="S4">
        <v>2026</v>
      </c>
      <c r="T4">
        <v>2027</v>
      </c>
      <c r="U4">
        <v>2028</v>
      </c>
      <c r="V4">
        <v>2029</v>
      </c>
      <c r="W4">
        <v>2030</v>
      </c>
      <c r="X4">
        <v>2031</v>
      </c>
      <c r="Y4">
        <v>2032</v>
      </c>
      <c r="Z4">
        <v>2033</v>
      </c>
      <c r="AA4">
        <v>2034</v>
      </c>
      <c r="AB4">
        <v>2035</v>
      </c>
      <c r="AC4">
        <v>2036</v>
      </c>
      <c r="AD4">
        <v>2037</v>
      </c>
      <c r="AE4">
        <v>2038</v>
      </c>
      <c r="AF4">
        <v>2039</v>
      </c>
      <c r="AG4">
        <v>2040</v>
      </c>
      <c r="AH4">
        <v>2041</v>
      </c>
      <c r="AI4">
        <v>2042</v>
      </c>
      <c r="AJ4">
        <v>2043</v>
      </c>
      <c r="AK4">
        <v>2044</v>
      </c>
      <c r="AL4">
        <v>2045</v>
      </c>
      <c r="AM4">
        <v>2046</v>
      </c>
      <c r="AN4">
        <v>2047</v>
      </c>
      <c r="AO4">
        <v>2048</v>
      </c>
      <c r="AP4">
        <v>2049</v>
      </c>
      <c r="AQ4">
        <v>2050</v>
      </c>
    </row>
    <row r="5" spans="1:43" x14ac:dyDescent="0.25">
      <c r="A5" t="s">
        <v>0</v>
      </c>
      <c r="B5" t="s">
        <v>1</v>
      </c>
      <c r="C5">
        <v>0.42</v>
      </c>
      <c r="D5">
        <v>0.41174100000000002</v>
      </c>
      <c r="E5">
        <v>0.41017399999999998</v>
      </c>
      <c r="F5">
        <v>0.40934799999999999</v>
      </c>
      <c r="G5">
        <v>0.43726999999999999</v>
      </c>
      <c r="H5">
        <v>0.40548400000000001</v>
      </c>
      <c r="I5">
        <v>0.39820800000000001</v>
      </c>
      <c r="J5">
        <v>0.419095</v>
      </c>
      <c r="K5">
        <v>0.41217999999999999</v>
      </c>
      <c r="L5">
        <v>0.38730900000000001</v>
      </c>
      <c r="M5">
        <v>0.38102799999999998</v>
      </c>
      <c r="N5">
        <v>0.38475399999999998</v>
      </c>
      <c r="O5">
        <v>0.38715500000000003</v>
      </c>
      <c r="P5">
        <v>0.37749700000000003</v>
      </c>
      <c r="Q5">
        <v>0.381749</v>
      </c>
      <c r="R5">
        <v>0.37813400000000003</v>
      </c>
      <c r="S5">
        <v>0.37652000000000002</v>
      </c>
      <c r="T5">
        <v>0.38275500000000001</v>
      </c>
      <c r="U5">
        <v>0.388901</v>
      </c>
      <c r="V5">
        <v>0.39628400000000003</v>
      </c>
      <c r="W5">
        <v>0.40213399999999999</v>
      </c>
      <c r="X5">
        <v>0.408362</v>
      </c>
      <c r="Y5">
        <v>0.41483399999999998</v>
      </c>
      <c r="Z5">
        <v>0.42120000000000002</v>
      </c>
      <c r="AA5">
        <v>0.42776799999999998</v>
      </c>
      <c r="AB5">
        <v>0.436025</v>
      </c>
      <c r="AC5">
        <v>0.44540299999999999</v>
      </c>
      <c r="AD5">
        <v>0.45435900000000001</v>
      </c>
      <c r="AE5">
        <v>0.46357999999999999</v>
      </c>
      <c r="AF5">
        <v>0.47295799999999999</v>
      </c>
      <c r="AG5">
        <v>0.48178399999999999</v>
      </c>
      <c r="AH5">
        <v>0.48999799999999999</v>
      </c>
      <c r="AI5">
        <v>0.49733500000000003</v>
      </c>
      <c r="AJ5">
        <v>0.50409899999999996</v>
      </c>
      <c r="AK5">
        <v>0.510189</v>
      </c>
      <c r="AL5">
        <v>0.51686100000000001</v>
      </c>
      <c r="AM5">
        <v>0.52147299999999996</v>
      </c>
      <c r="AN5">
        <v>0.52655799999999997</v>
      </c>
      <c r="AO5">
        <v>0.53124700000000002</v>
      </c>
      <c r="AP5">
        <v>0.53650299999999995</v>
      </c>
      <c r="AQ5">
        <v>0.54233799999999999</v>
      </c>
    </row>
    <row r="6" spans="1:43" x14ac:dyDescent="0.25">
      <c r="A6" t="s">
        <v>0</v>
      </c>
      <c r="B6" t="s">
        <v>2</v>
      </c>
      <c r="C6">
        <v>1.27</v>
      </c>
      <c r="D6">
        <v>1.2591760000000001</v>
      </c>
      <c r="E6">
        <v>1.2379629999999999</v>
      </c>
      <c r="F6">
        <v>1.2327840000000001</v>
      </c>
      <c r="G6">
        <v>1.261565</v>
      </c>
      <c r="H6">
        <v>1.257234</v>
      </c>
      <c r="I6">
        <v>1.2473860000000001</v>
      </c>
      <c r="J6">
        <v>1.221935</v>
      </c>
      <c r="K6">
        <v>1.257952</v>
      </c>
      <c r="L6">
        <v>1.2375970000000001</v>
      </c>
      <c r="M6">
        <v>1.180221</v>
      </c>
      <c r="N6">
        <v>1.2194469999999999</v>
      </c>
      <c r="O6">
        <v>1.2409859999999999</v>
      </c>
      <c r="P6">
        <v>1.2171559999999999</v>
      </c>
      <c r="Q6">
        <v>1.21804</v>
      </c>
      <c r="R6">
        <v>1.2344999999999999</v>
      </c>
      <c r="S6">
        <v>1.239468</v>
      </c>
      <c r="T6">
        <v>1.2567360000000001</v>
      </c>
      <c r="U6">
        <v>1.270451</v>
      </c>
      <c r="V6">
        <v>1.288511</v>
      </c>
      <c r="W6">
        <v>1.305051</v>
      </c>
      <c r="X6">
        <v>1.321339</v>
      </c>
      <c r="Y6">
        <v>1.3446689999999999</v>
      </c>
      <c r="Z6">
        <v>1.3659289999999999</v>
      </c>
      <c r="AA6">
        <v>1.3919919999999999</v>
      </c>
      <c r="AB6">
        <v>1.419689</v>
      </c>
      <c r="AC6">
        <v>1.4509300000000001</v>
      </c>
      <c r="AD6">
        <v>1.4791730000000001</v>
      </c>
      <c r="AE6">
        <v>1.5084040000000001</v>
      </c>
      <c r="AF6">
        <v>1.5389090000000001</v>
      </c>
      <c r="AG6">
        <v>1.5675509999999999</v>
      </c>
      <c r="AH6">
        <v>1.5933850000000001</v>
      </c>
      <c r="AI6">
        <v>1.6156539999999999</v>
      </c>
      <c r="AJ6">
        <v>1.6364430000000001</v>
      </c>
      <c r="AK6">
        <v>1.655608</v>
      </c>
      <c r="AL6">
        <v>1.675578</v>
      </c>
      <c r="AM6">
        <v>1.6945939999999999</v>
      </c>
      <c r="AN6">
        <v>1.714836</v>
      </c>
      <c r="AO6">
        <v>1.7349159999999999</v>
      </c>
      <c r="AP6">
        <v>1.754872</v>
      </c>
      <c r="AQ6">
        <v>1.77657</v>
      </c>
    </row>
    <row r="7" spans="1:43" x14ac:dyDescent="0.25">
      <c r="A7" t="s">
        <v>0</v>
      </c>
      <c r="B7" t="s">
        <v>3</v>
      </c>
      <c r="C7">
        <v>1.97</v>
      </c>
      <c r="D7">
        <v>1.9698020000000001</v>
      </c>
      <c r="E7">
        <v>1.961978</v>
      </c>
      <c r="F7">
        <v>1.9294690000000001</v>
      </c>
      <c r="G7">
        <v>1.945087</v>
      </c>
      <c r="H7">
        <v>1.9019250000000001</v>
      </c>
      <c r="I7">
        <v>1.9031180000000001</v>
      </c>
      <c r="J7">
        <v>1.873526</v>
      </c>
      <c r="K7">
        <v>1.937452</v>
      </c>
      <c r="L7">
        <v>1.8820049999999999</v>
      </c>
      <c r="M7">
        <v>1.840859</v>
      </c>
      <c r="N7">
        <v>1.8927780000000001</v>
      </c>
      <c r="O7">
        <v>1.8873500000000001</v>
      </c>
      <c r="P7">
        <v>1.8792899999999999</v>
      </c>
      <c r="Q7">
        <v>1.8902969999999999</v>
      </c>
      <c r="R7">
        <v>1.9319949999999999</v>
      </c>
      <c r="S7">
        <v>1.9462980000000001</v>
      </c>
      <c r="T7">
        <v>1.966078</v>
      </c>
      <c r="U7">
        <v>1.982243</v>
      </c>
      <c r="V7">
        <v>1.9999560000000001</v>
      </c>
      <c r="W7">
        <v>2.0182540000000002</v>
      </c>
      <c r="X7">
        <v>2.0380379999999998</v>
      </c>
      <c r="Y7">
        <v>2.0712619999999999</v>
      </c>
      <c r="Z7">
        <v>2.1030519999999999</v>
      </c>
      <c r="AA7">
        <v>2.1453679999999999</v>
      </c>
      <c r="AB7">
        <v>2.1896979999999999</v>
      </c>
      <c r="AC7">
        <v>2.2345619999999999</v>
      </c>
      <c r="AD7">
        <v>2.274203</v>
      </c>
      <c r="AE7">
        <v>2.314279</v>
      </c>
      <c r="AF7">
        <v>2.355029</v>
      </c>
      <c r="AG7">
        <v>2.395181</v>
      </c>
      <c r="AH7">
        <v>2.4314849999999999</v>
      </c>
      <c r="AI7">
        <v>2.4654560000000001</v>
      </c>
      <c r="AJ7">
        <v>2.4967640000000002</v>
      </c>
      <c r="AK7">
        <v>2.5257399999999999</v>
      </c>
      <c r="AL7">
        <v>2.552003</v>
      </c>
      <c r="AM7">
        <v>2.5786340000000001</v>
      </c>
      <c r="AN7">
        <v>2.6071559999999998</v>
      </c>
      <c r="AO7">
        <v>2.634363</v>
      </c>
      <c r="AP7">
        <v>2.6613600000000002</v>
      </c>
      <c r="AQ7">
        <v>2.688507</v>
      </c>
    </row>
    <row r="8" spans="1:43" x14ac:dyDescent="0.25">
      <c r="A8" t="s">
        <v>0</v>
      </c>
      <c r="B8" t="s">
        <v>4</v>
      </c>
      <c r="C8">
        <v>1.0029999999999999</v>
      </c>
      <c r="D8">
        <v>1.004251</v>
      </c>
      <c r="E8">
        <v>1.002292</v>
      </c>
      <c r="F8">
        <v>1.002219</v>
      </c>
      <c r="G8">
        <v>1.034027</v>
      </c>
      <c r="H8">
        <v>1.01352</v>
      </c>
      <c r="I8">
        <v>1.008327</v>
      </c>
      <c r="J8">
        <v>1.0016179999999999</v>
      </c>
      <c r="K8">
        <v>1.0361929999999999</v>
      </c>
      <c r="L8">
        <v>1.0249189999999999</v>
      </c>
      <c r="M8">
        <v>0.996421</v>
      </c>
      <c r="N8">
        <v>1.042554</v>
      </c>
      <c r="O8">
        <v>1.0636479999999999</v>
      </c>
      <c r="P8">
        <v>1.05566</v>
      </c>
      <c r="Q8">
        <v>1.095113</v>
      </c>
      <c r="R8">
        <v>1.1145879999999999</v>
      </c>
      <c r="S8">
        <v>1.102387</v>
      </c>
      <c r="T8">
        <v>1.108819</v>
      </c>
      <c r="U8">
        <v>1.1137539999999999</v>
      </c>
      <c r="V8">
        <v>1.123848</v>
      </c>
      <c r="W8">
        <v>1.134889</v>
      </c>
      <c r="X8">
        <v>1.147373</v>
      </c>
      <c r="Y8">
        <v>1.1657139999999999</v>
      </c>
      <c r="Z8">
        <v>1.185565</v>
      </c>
      <c r="AA8">
        <v>1.2117659999999999</v>
      </c>
      <c r="AB8">
        <v>1.239657</v>
      </c>
      <c r="AC8">
        <v>1.2662659999999999</v>
      </c>
      <c r="AD8">
        <v>1.290929</v>
      </c>
      <c r="AE8">
        <v>1.3153010000000001</v>
      </c>
      <c r="AF8">
        <v>1.338705</v>
      </c>
      <c r="AG8">
        <v>1.3613420000000001</v>
      </c>
      <c r="AH8">
        <v>1.382941</v>
      </c>
      <c r="AI8">
        <v>1.404533</v>
      </c>
      <c r="AJ8">
        <v>1.4249419999999999</v>
      </c>
      <c r="AK8">
        <v>1.443783</v>
      </c>
      <c r="AL8">
        <v>1.460188</v>
      </c>
      <c r="AM8">
        <v>1.4770449999999999</v>
      </c>
      <c r="AN8">
        <v>1.4954289999999999</v>
      </c>
      <c r="AO8">
        <v>1.514562</v>
      </c>
      <c r="AP8">
        <v>1.5344660000000001</v>
      </c>
      <c r="AQ8">
        <v>1.554376</v>
      </c>
    </row>
    <row r="9" spans="1:43" x14ac:dyDescent="0.25">
      <c r="A9" t="s">
        <v>0</v>
      </c>
      <c r="B9" t="s">
        <v>5</v>
      </c>
      <c r="C9">
        <v>2.8149999999999999</v>
      </c>
      <c r="D9">
        <v>2.7323879999999998</v>
      </c>
      <c r="E9">
        <v>2.6630720000000001</v>
      </c>
      <c r="F9">
        <v>2.6745640000000002</v>
      </c>
      <c r="G9">
        <v>2.7214100000000001</v>
      </c>
      <c r="H9">
        <v>2.715687</v>
      </c>
      <c r="I9">
        <v>2.7249140000000001</v>
      </c>
      <c r="J9">
        <v>2.6724960000000002</v>
      </c>
      <c r="K9">
        <v>2.7742640000000001</v>
      </c>
      <c r="L9">
        <v>2.7764579999999999</v>
      </c>
      <c r="M9">
        <v>2.691128</v>
      </c>
      <c r="N9">
        <v>2.806581</v>
      </c>
      <c r="O9">
        <v>2.8887610000000001</v>
      </c>
      <c r="P9">
        <v>2.8789549999999999</v>
      </c>
      <c r="Q9">
        <v>2.9443359999999998</v>
      </c>
      <c r="R9">
        <v>2.9716130000000001</v>
      </c>
      <c r="S9">
        <v>2.9851760000000001</v>
      </c>
      <c r="T9">
        <v>3.019987</v>
      </c>
      <c r="U9">
        <v>3.0478999999999998</v>
      </c>
      <c r="V9">
        <v>3.087952</v>
      </c>
      <c r="W9">
        <v>3.125311</v>
      </c>
      <c r="X9">
        <v>3.1637770000000001</v>
      </c>
      <c r="Y9">
        <v>3.2115860000000001</v>
      </c>
      <c r="Z9">
        <v>3.2587950000000001</v>
      </c>
      <c r="AA9">
        <v>3.309393</v>
      </c>
      <c r="AB9">
        <v>3.3635389999999998</v>
      </c>
      <c r="AC9">
        <v>3.4251299999999998</v>
      </c>
      <c r="AD9">
        <v>3.4895390000000002</v>
      </c>
      <c r="AE9">
        <v>3.5544020000000001</v>
      </c>
      <c r="AF9">
        <v>3.6212170000000001</v>
      </c>
      <c r="AG9">
        <v>3.6841029999999999</v>
      </c>
      <c r="AH9">
        <v>3.7419769999999999</v>
      </c>
      <c r="AI9">
        <v>3.7952490000000001</v>
      </c>
      <c r="AJ9">
        <v>3.8457439999999998</v>
      </c>
      <c r="AK9">
        <v>3.891114</v>
      </c>
      <c r="AL9">
        <v>3.9330959999999999</v>
      </c>
      <c r="AM9">
        <v>3.9733179999999999</v>
      </c>
      <c r="AN9">
        <v>4.0164390000000001</v>
      </c>
      <c r="AO9">
        <v>4.0633650000000001</v>
      </c>
      <c r="AP9">
        <v>4.1139729999999997</v>
      </c>
      <c r="AQ9">
        <v>4.1696020000000003</v>
      </c>
    </row>
    <row r="10" spans="1:43" x14ac:dyDescent="0.25">
      <c r="A10" t="s">
        <v>0</v>
      </c>
      <c r="B10" t="s">
        <v>6</v>
      </c>
      <c r="C10">
        <v>1.1519999999999999</v>
      </c>
      <c r="D10">
        <v>1.1212580000000001</v>
      </c>
      <c r="E10">
        <v>1.091933</v>
      </c>
      <c r="F10">
        <v>1.1194869999999999</v>
      </c>
      <c r="G10">
        <v>1.0894999999999999</v>
      </c>
      <c r="H10">
        <v>1.0482149999999999</v>
      </c>
      <c r="I10">
        <v>1.0371939999999999</v>
      </c>
      <c r="J10">
        <v>1.0051600000000001</v>
      </c>
      <c r="K10">
        <v>1.0586180000000001</v>
      </c>
      <c r="L10">
        <v>1.0520480000000001</v>
      </c>
      <c r="M10">
        <v>1.0007330000000001</v>
      </c>
      <c r="N10">
        <v>1.0454159999999999</v>
      </c>
      <c r="O10">
        <v>1.0622940000000001</v>
      </c>
      <c r="P10">
        <v>1.0613520000000001</v>
      </c>
      <c r="Q10">
        <v>1.0614490000000001</v>
      </c>
      <c r="R10">
        <v>1.06264</v>
      </c>
      <c r="S10">
        <v>1.0844609999999999</v>
      </c>
      <c r="T10">
        <v>1.097089</v>
      </c>
      <c r="U10">
        <v>1.1075440000000001</v>
      </c>
      <c r="V10">
        <v>1.1145400000000001</v>
      </c>
      <c r="W10">
        <v>1.1214500000000001</v>
      </c>
      <c r="X10">
        <v>1.130001</v>
      </c>
      <c r="Y10">
        <v>1.1415029999999999</v>
      </c>
      <c r="Z10">
        <v>1.1537379999999999</v>
      </c>
      <c r="AA10">
        <v>1.169826</v>
      </c>
      <c r="AB10">
        <v>1.1855979999999999</v>
      </c>
      <c r="AC10">
        <v>1.200375</v>
      </c>
      <c r="AD10">
        <v>1.2177260000000001</v>
      </c>
      <c r="AE10">
        <v>1.2352879999999999</v>
      </c>
      <c r="AF10">
        <v>1.2534650000000001</v>
      </c>
      <c r="AG10">
        <v>1.269736</v>
      </c>
      <c r="AH10">
        <v>1.285398</v>
      </c>
      <c r="AI10">
        <v>1.299866</v>
      </c>
      <c r="AJ10">
        <v>1.3124070000000001</v>
      </c>
      <c r="AK10">
        <v>1.322835</v>
      </c>
      <c r="AL10">
        <v>1.3326180000000001</v>
      </c>
      <c r="AM10">
        <v>1.341577</v>
      </c>
      <c r="AN10">
        <v>1.351043</v>
      </c>
      <c r="AO10">
        <v>1.3631800000000001</v>
      </c>
      <c r="AP10">
        <v>1.376873</v>
      </c>
      <c r="AQ10">
        <v>1.3915329999999999</v>
      </c>
    </row>
    <row r="11" spans="1:43" x14ac:dyDescent="0.25">
      <c r="A11" t="s">
        <v>0</v>
      </c>
      <c r="B11" t="s">
        <v>7</v>
      </c>
      <c r="C11">
        <v>1.875</v>
      </c>
      <c r="D11">
        <v>1.945614</v>
      </c>
      <c r="E11">
        <v>1.898577</v>
      </c>
      <c r="F11">
        <v>1.909073</v>
      </c>
      <c r="G11">
        <v>2.0289959999999998</v>
      </c>
      <c r="H11">
        <v>2.0435919999999999</v>
      </c>
      <c r="I11">
        <v>2.0274519999999998</v>
      </c>
      <c r="J11">
        <v>2.0209510000000002</v>
      </c>
      <c r="K11">
        <v>2.1187779999999998</v>
      </c>
      <c r="L11">
        <v>2.156085</v>
      </c>
      <c r="M11">
        <v>2.0692569999999999</v>
      </c>
      <c r="N11">
        <v>2.1994400000000001</v>
      </c>
      <c r="O11">
        <v>2.2924639999999998</v>
      </c>
      <c r="P11">
        <v>2.2416040000000002</v>
      </c>
      <c r="Q11">
        <v>2.3548840000000002</v>
      </c>
      <c r="R11">
        <v>2.4114110000000002</v>
      </c>
      <c r="S11">
        <v>2.43222</v>
      </c>
      <c r="T11">
        <v>2.4576280000000001</v>
      </c>
      <c r="U11">
        <v>2.479679</v>
      </c>
      <c r="V11">
        <v>2.5040429999999998</v>
      </c>
      <c r="W11">
        <v>2.528003</v>
      </c>
      <c r="X11">
        <v>2.5529160000000002</v>
      </c>
      <c r="Y11">
        <v>2.5928390000000001</v>
      </c>
      <c r="Z11">
        <v>2.6361889999999999</v>
      </c>
      <c r="AA11">
        <v>2.6862750000000002</v>
      </c>
      <c r="AB11">
        <v>2.7421139999999999</v>
      </c>
      <c r="AC11">
        <v>2.804967</v>
      </c>
      <c r="AD11">
        <v>2.871648</v>
      </c>
      <c r="AE11">
        <v>2.927629</v>
      </c>
      <c r="AF11">
        <v>2.9816539999999998</v>
      </c>
      <c r="AG11">
        <v>3.028419</v>
      </c>
      <c r="AH11">
        <v>3.0710630000000001</v>
      </c>
      <c r="AI11">
        <v>3.1124800000000001</v>
      </c>
      <c r="AJ11">
        <v>3.1538369999999998</v>
      </c>
      <c r="AK11">
        <v>3.1895069999999999</v>
      </c>
      <c r="AL11">
        <v>3.2250049999999999</v>
      </c>
      <c r="AM11">
        <v>3.254956</v>
      </c>
      <c r="AN11">
        <v>3.285466</v>
      </c>
      <c r="AO11">
        <v>3.321059</v>
      </c>
      <c r="AP11">
        <v>3.3603109999999998</v>
      </c>
      <c r="AQ11">
        <v>3.404515</v>
      </c>
    </row>
    <row r="12" spans="1:43" x14ac:dyDescent="0.25">
      <c r="A12" t="s">
        <v>0</v>
      </c>
      <c r="B12" t="s">
        <v>8</v>
      </c>
      <c r="C12">
        <v>0.89800000000000002</v>
      </c>
      <c r="D12">
        <v>0.91674900000000004</v>
      </c>
      <c r="E12">
        <v>0.92603800000000003</v>
      </c>
      <c r="F12">
        <v>0.919709</v>
      </c>
      <c r="G12">
        <v>0.91946899999999998</v>
      </c>
      <c r="H12">
        <v>0.92200099999999996</v>
      </c>
      <c r="I12">
        <v>0.93077900000000002</v>
      </c>
      <c r="J12">
        <v>0.94208700000000001</v>
      </c>
      <c r="K12">
        <v>0.95075900000000002</v>
      </c>
      <c r="L12">
        <v>0.94692500000000002</v>
      </c>
      <c r="M12">
        <v>0.95475900000000002</v>
      </c>
      <c r="N12">
        <v>0.99486200000000002</v>
      </c>
      <c r="O12">
        <v>1.013368</v>
      </c>
      <c r="P12">
        <v>1.0012650000000001</v>
      </c>
      <c r="Q12">
        <v>1.059129</v>
      </c>
      <c r="R12">
        <v>1.0651980000000001</v>
      </c>
      <c r="S12">
        <v>1.074049</v>
      </c>
      <c r="T12">
        <v>1.090856</v>
      </c>
      <c r="U12">
        <v>1.107022</v>
      </c>
      <c r="V12">
        <v>1.129262</v>
      </c>
      <c r="W12">
        <v>1.153286</v>
      </c>
      <c r="X12">
        <v>1.180213</v>
      </c>
      <c r="Y12">
        <v>1.2131069999999999</v>
      </c>
      <c r="Z12">
        <v>1.2498359999999999</v>
      </c>
      <c r="AA12">
        <v>1.292087</v>
      </c>
      <c r="AB12">
        <v>1.3355900000000001</v>
      </c>
      <c r="AC12">
        <v>1.377219</v>
      </c>
      <c r="AD12">
        <v>1.4169830000000001</v>
      </c>
      <c r="AE12">
        <v>1.4564539999999999</v>
      </c>
      <c r="AF12">
        <v>1.4948170000000001</v>
      </c>
      <c r="AG12">
        <v>1.533247</v>
      </c>
      <c r="AH12">
        <v>1.57138</v>
      </c>
      <c r="AI12">
        <v>1.6069979999999999</v>
      </c>
      <c r="AJ12">
        <v>1.640574</v>
      </c>
      <c r="AK12">
        <v>1.6729259999999999</v>
      </c>
      <c r="AL12">
        <v>1.704548</v>
      </c>
      <c r="AM12">
        <v>1.7369559999999999</v>
      </c>
      <c r="AN12">
        <v>1.7690300000000001</v>
      </c>
      <c r="AO12">
        <v>1.8019989999999999</v>
      </c>
      <c r="AP12">
        <v>1.8346610000000001</v>
      </c>
      <c r="AQ12">
        <v>1.8678630000000001</v>
      </c>
    </row>
    <row r="13" spans="1:43" x14ac:dyDescent="0.25">
      <c r="A13" t="s">
        <v>0</v>
      </c>
      <c r="B13" t="s">
        <v>9</v>
      </c>
      <c r="C13">
        <v>1.403</v>
      </c>
      <c r="D13">
        <v>1.429711</v>
      </c>
      <c r="E13">
        <v>1.4153640000000001</v>
      </c>
      <c r="F13">
        <v>1.3987210000000001</v>
      </c>
      <c r="G13">
        <v>1.4075869999999999</v>
      </c>
      <c r="H13">
        <v>1.4056489999999999</v>
      </c>
      <c r="I13">
        <v>1.39239</v>
      </c>
      <c r="J13">
        <v>1.416317</v>
      </c>
      <c r="K13">
        <v>1.405308</v>
      </c>
      <c r="L13">
        <v>1.3741989999999999</v>
      </c>
      <c r="M13">
        <v>1.376155</v>
      </c>
      <c r="N13">
        <v>1.3907020000000001</v>
      </c>
      <c r="O13">
        <v>1.4235329999999999</v>
      </c>
      <c r="P13">
        <v>1.3938280000000001</v>
      </c>
      <c r="Q13">
        <v>1.4264680000000001</v>
      </c>
      <c r="R13">
        <v>1.4066460000000001</v>
      </c>
      <c r="S13">
        <v>1.4124300000000001</v>
      </c>
      <c r="T13">
        <v>1.444237</v>
      </c>
      <c r="U13">
        <v>1.47231</v>
      </c>
      <c r="V13">
        <v>1.5001869999999999</v>
      </c>
      <c r="W13">
        <v>1.528918</v>
      </c>
      <c r="X13">
        <v>1.5561670000000001</v>
      </c>
      <c r="Y13">
        <v>1.5950390000000001</v>
      </c>
      <c r="Z13">
        <v>1.63897</v>
      </c>
      <c r="AA13">
        <v>1.688788</v>
      </c>
      <c r="AB13">
        <v>1.7404299999999999</v>
      </c>
      <c r="AC13">
        <v>1.7891189999999999</v>
      </c>
      <c r="AD13">
        <v>1.8354349999999999</v>
      </c>
      <c r="AE13">
        <v>1.8817159999999999</v>
      </c>
      <c r="AF13">
        <v>1.928023</v>
      </c>
      <c r="AG13">
        <v>1.973098</v>
      </c>
      <c r="AH13">
        <v>2.0154550000000002</v>
      </c>
      <c r="AI13">
        <v>2.0544929999999999</v>
      </c>
      <c r="AJ13">
        <v>2.088835</v>
      </c>
      <c r="AK13">
        <v>2.1215350000000002</v>
      </c>
      <c r="AL13">
        <v>2.1543800000000002</v>
      </c>
      <c r="AM13">
        <v>2.187462</v>
      </c>
      <c r="AN13">
        <v>2.2201379999999999</v>
      </c>
      <c r="AO13">
        <v>2.2524989999999998</v>
      </c>
      <c r="AP13">
        <v>2.2850440000000001</v>
      </c>
      <c r="AQ13">
        <v>2.3166530000000001</v>
      </c>
    </row>
    <row r="14" spans="1:43" x14ac:dyDescent="0.25">
      <c r="A14" t="s">
        <v>0</v>
      </c>
      <c r="B14" t="s">
        <v>10</v>
      </c>
      <c r="C14">
        <v>12.81</v>
      </c>
      <c r="D14">
        <v>12.79069</v>
      </c>
      <c r="E14">
        <v>12.607393</v>
      </c>
      <c r="F14">
        <v>12.595371</v>
      </c>
      <c r="G14">
        <v>12.844912000000001</v>
      </c>
      <c r="H14">
        <v>12.713305</v>
      </c>
      <c r="I14">
        <v>12.669767</v>
      </c>
      <c r="J14">
        <v>12.573186</v>
      </c>
      <c r="K14">
        <v>12.951503000000001</v>
      </c>
      <c r="L14">
        <v>12.837543999999999</v>
      </c>
      <c r="M14">
        <v>12.490561</v>
      </c>
      <c r="N14">
        <v>12.976532000000001</v>
      </c>
      <c r="O14">
        <v>13.25956</v>
      </c>
      <c r="P14">
        <v>13.106607</v>
      </c>
      <c r="Q14">
        <v>13.431463000000001</v>
      </c>
      <c r="R14">
        <v>13.576725</v>
      </c>
      <c r="S14">
        <v>13.653009000000001</v>
      </c>
      <c r="T14">
        <v>13.824183</v>
      </c>
      <c r="U14">
        <v>13.969803000000001</v>
      </c>
      <c r="V14">
        <v>14.144584</v>
      </c>
      <c r="W14">
        <v>14.317296000000001</v>
      </c>
      <c r="X14">
        <v>14.498184</v>
      </c>
      <c r="Y14">
        <v>14.750555</v>
      </c>
      <c r="Z14">
        <v>15.013273999999999</v>
      </c>
      <c r="AA14">
        <v>15.323262</v>
      </c>
      <c r="AB14">
        <v>15.652338</v>
      </c>
      <c r="AC14">
        <v>15.993971</v>
      </c>
      <c r="AD14">
        <v>16.329993999999999</v>
      </c>
      <c r="AE14">
        <v>16.657050999999999</v>
      </c>
      <c r="AF14">
        <v>16.984776</v>
      </c>
      <c r="AG14">
        <v>17.294461999999999</v>
      </c>
      <c r="AH14">
        <v>17.583079999999999</v>
      </c>
      <c r="AI14">
        <v>17.852062</v>
      </c>
      <c r="AJ14">
        <v>18.103643000000002</v>
      </c>
      <c r="AK14">
        <v>18.333237</v>
      </c>
      <c r="AL14">
        <v>18.554273999999999</v>
      </c>
      <c r="AM14">
        <v>18.766016</v>
      </c>
      <c r="AN14">
        <v>18.986097000000001</v>
      </c>
      <c r="AO14">
        <v>19.217192000000001</v>
      </c>
      <c r="AP14">
        <v>19.458061000000001</v>
      </c>
      <c r="AQ14">
        <v>19.711957999999999</v>
      </c>
    </row>
    <row r="16" spans="1:43" x14ac:dyDescent="0.25">
      <c r="A16" t="s">
        <v>45</v>
      </c>
    </row>
    <row r="17" spans="1:43" x14ac:dyDescent="0.25">
      <c r="B17" t="s">
        <v>14</v>
      </c>
      <c r="C17">
        <v>2010</v>
      </c>
      <c r="D17">
        <v>2011</v>
      </c>
      <c r="E17">
        <v>2012</v>
      </c>
      <c r="F17">
        <v>2013</v>
      </c>
      <c r="G17">
        <v>2014</v>
      </c>
      <c r="H17">
        <v>2015</v>
      </c>
      <c r="I17">
        <v>2016</v>
      </c>
      <c r="J17">
        <v>2017</v>
      </c>
      <c r="K17">
        <v>2018</v>
      </c>
      <c r="L17">
        <v>2019</v>
      </c>
      <c r="M17">
        <v>2020</v>
      </c>
      <c r="N17">
        <v>2021</v>
      </c>
      <c r="O17">
        <v>2022</v>
      </c>
      <c r="P17">
        <v>2023</v>
      </c>
      <c r="Q17">
        <v>2024</v>
      </c>
      <c r="R17">
        <v>2025</v>
      </c>
      <c r="S17">
        <v>2026</v>
      </c>
      <c r="T17">
        <v>2027</v>
      </c>
      <c r="U17">
        <v>2028</v>
      </c>
      <c r="V17">
        <v>2029</v>
      </c>
      <c r="W17">
        <v>2030</v>
      </c>
      <c r="X17">
        <v>2031</v>
      </c>
      <c r="Y17">
        <v>2032</v>
      </c>
      <c r="Z17">
        <v>2033</v>
      </c>
      <c r="AA17">
        <v>2034</v>
      </c>
      <c r="AB17">
        <v>2035</v>
      </c>
      <c r="AC17">
        <v>2036</v>
      </c>
      <c r="AD17">
        <v>2037</v>
      </c>
      <c r="AE17">
        <v>2038</v>
      </c>
      <c r="AF17">
        <v>2039</v>
      </c>
      <c r="AG17">
        <v>2040</v>
      </c>
      <c r="AH17">
        <v>2041</v>
      </c>
      <c r="AI17">
        <v>2042</v>
      </c>
      <c r="AJ17">
        <v>2043</v>
      </c>
      <c r="AK17">
        <v>2044</v>
      </c>
      <c r="AL17">
        <v>2045</v>
      </c>
      <c r="AM17">
        <v>2046</v>
      </c>
      <c r="AN17">
        <v>2047</v>
      </c>
      <c r="AO17">
        <v>2048</v>
      </c>
      <c r="AP17">
        <v>2049</v>
      </c>
      <c r="AQ17">
        <v>2050</v>
      </c>
    </row>
    <row r="18" spans="1:43" x14ac:dyDescent="0.25">
      <c r="B18" t="s">
        <v>1</v>
      </c>
      <c r="F18">
        <v>1.67267E-3</v>
      </c>
      <c r="G18">
        <v>2.78517E-3</v>
      </c>
      <c r="H18">
        <v>5.7806799999999998E-3</v>
      </c>
      <c r="I18">
        <v>8.7267899999999999E-3</v>
      </c>
      <c r="J18">
        <v>1.195686E-2</v>
      </c>
      <c r="K18">
        <v>1.39822E-2</v>
      </c>
      <c r="L18">
        <v>1.629253E-2</v>
      </c>
      <c r="M18">
        <v>1.9924280000000003E-2</v>
      </c>
      <c r="N18">
        <v>2.3596840000000001E-2</v>
      </c>
      <c r="O18">
        <v>2.7368409999999996E-2</v>
      </c>
      <c r="P18">
        <v>3.0992529999999997E-2</v>
      </c>
      <c r="Q18">
        <v>3.5742200000000002E-2</v>
      </c>
      <c r="R18">
        <v>4.0323790000000005E-2</v>
      </c>
      <c r="S18">
        <v>4.4826400000000009E-2</v>
      </c>
      <c r="T18">
        <v>4.7601790000000005E-2</v>
      </c>
      <c r="U18">
        <v>4.9635470000000001E-2</v>
      </c>
      <c r="V18">
        <v>5.1543440000000003E-2</v>
      </c>
      <c r="W18">
        <v>5.3914870000000011E-2</v>
      </c>
      <c r="X18">
        <v>5.6215299999999996E-2</v>
      </c>
      <c r="Y18">
        <v>5.8943519999999999E-2</v>
      </c>
      <c r="Z18">
        <v>6.1828870000000008E-2</v>
      </c>
      <c r="AA18">
        <v>6.4831970000000003E-2</v>
      </c>
      <c r="AB18">
        <v>6.6850130000000008E-2</v>
      </c>
      <c r="AC18">
        <v>6.8678469999999991E-2</v>
      </c>
      <c r="AD18">
        <v>7.0775479999999988E-2</v>
      </c>
      <c r="AE18">
        <v>7.2673460000000009E-2</v>
      </c>
      <c r="AF18">
        <v>7.4371459999999986E-2</v>
      </c>
      <c r="AG18">
        <v>7.6162599999999997E-2</v>
      </c>
      <c r="AH18">
        <v>7.8008370000000007E-2</v>
      </c>
      <c r="AI18">
        <v>7.9965519999999998E-2</v>
      </c>
      <c r="AJ18">
        <v>8.1745540000000005E-2</v>
      </c>
      <c r="AK18">
        <v>8.3724489999999999E-2</v>
      </c>
      <c r="AL18">
        <v>8.5343459999999996E-2</v>
      </c>
      <c r="AM18">
        <v>8.7981279999999995E-2</v>
      </c>
      <c r="AN18">
        <v>9.0145530000000001E-2</v>
      </c>
      <c r="AO18">
        <v>9.2538750000000003E-2</v>
      </c>
      <c r="AP18">
        <v>9.4683639999999999E-2</v>
      </c>
      <c r="AQ18">
        <v>9.6509749999999991E-2</v>
      </c>
    </row>
    <row r="19" spans="1:43" x14ac:dyDescent="0.25">
      <c r="B19" t="s">
        <v>2</v>
      </c>
      <c r="F19">
        <v>5.2620999999999996E-3</v>
      </c>
      <c r="G19">
        <v>5.964370000000001E-3</v>
      </c>
      <c r="H19">
        <v>9.62381E-3</v>
      </c>
      <c r="I19">
        <v>1.2252819999999999E-2</v>
      </c>
      <c r="J19">
        <v>1.504372E-2</v>
      </c>
      <c r="K19">
        <v>1.8066020000000002E-2</v>
      </c>
      <c r="L19">
        <v>2.1735089999999999E-2</v>
      </c>
      <c r="M19">
        <v>2.4533790000000003E-2</v>
      </c>
      <c r="N19">
        <v>2.8815650000000002E-2</v>
      </c>
      <c r="O19">
        <v>3.4573930000000003E-2</v>
      </c>
      <c r="P19">
        <v>4.0230160000000008E-2</v>
      </c>
      <c r="Q19">
        <v>4.5621220000000004E-2</v>
      </c>
      <c r="R19">
        <v>5.0785010000000005E-2</v>
      </c>
      <c r="S19">
        <v>5.5868569999999992E-2</v>
      </c>
      <c r="T19">
        <v>5.8934210000000001E-2</v>
      </c>
      <c r="U19">
        <v>6.2628639999999985E-2</v>
      </c>
      <c r="V19">
        <v>6.5425819999999996E-2</v>
      </c>
      <c r="W19">
        <v>6.8994119999999992E-2</v>
      </c>
      <c r="X19">
        <v>7.3251650000000001E-2</v>
      </c>
      <c r="Y19">
        <v>7.6162649999999998E-2</v>
      </c>
      <c r="Z19">
        <v>8.069562999999999E-2</v>
      </c>
      <c r="AA19">
        <v>8.3995589999999995E-2</v>
      </c>
      <c r="AB19">
        <v>8.6989700000000003E-2</v>
      </c>
      <c r="AC19">
        <v>8.8912790000000005E-2</v>
      </c>
      <c r="AD19">
        <v>9.1965829999999998E-2</v>
      </c>
      <c r="AE19">
        <v>9.4312759999999995E-2</v>
      </c>
      <c r="AF19">
        <v>9.5833020000000005E-2</v>
      </c>
      <c r="AG19">
        <v>9.7933370000000006E-2</v>
      </c>
      <c r="AH19">
        <v>0.10050704999999999</v>
      </c>
      <c r="AI19">
        <v>0.10357403999999999</v>
      </c>
      <c r="AJ19">
        <v>0.10644192</v>
      </c>
      <c r="AK19">
        <v>0.10950157999999999</v>
      </c>
      <c r="AL19">
        <v>0.11204503000000002</v>
      </c>
      <c r="AM19">
        <v>0.11486118000000001</v>
      </c>
      <c r="AN19">
        <v>0.11747842</v>
      </c>
      <c r="AO19">
        <v>0.12050195999999999</v>
      </c>
      <c r="AP19">
        <v>0.12355862999999999</v>
      </c>
      <c r="AQ19">
        <v>0.12574277</v>
      </c>
    </row>
    <row r="20" spans="1:43" x14ac:dyDescent="0.25">
      <c r="B20" t="s">
        <v>3</v>
      </c>
      <c r="F20">
        <v>3.6836000000000003E-4</v>
      </c>
      <c r="G20">
        <v>4.6887000000000003E-4</v>
      </c>
      <c r="H20">
        <v>7.2126999999999998E-4</v>
      </c>
      <c r="I20">
        <v>8.7959000000000008E-4</v>
      </c>
      <c r="J20">
        <v>1.1823199999999997E-3</v>
      </c>
      <c r="K20">
        <v>1.6983600000000001E-3</v>
      </c>
      <c r="L20">
        <v>2.6995399999999998E-3</v>
      </c>
      <c r="M20">
        <v>4.8426299999999997E-3</v>
      </c>
      <c r="N20">
        <v>6.9325199999999984E-3</v>
      </c>
      <c r="O20">
        <v>8.7719200000000008E-3</v>
      </c>
      <c r="P20">
        <v>1.1245450000000002E-2</v>
      </c>
      <c r="Q20">
        <v>1.3029540000000001E-2</v>
      </c>
      <c r="R20">
        <v>1.4783280000000001E-2</v>
      </c>
      <c r="S20">
        <v>1.652646E-2</v>
      </c>
      <c r="T20">
        <v>1.7730860000000001E-2</v>
      </c>
      <c r="U20">
        <v>1.9496769999999997E-2</v>
      </c>
      <c r="V20">
        <v>2.2015199999999999E-2</v>
      </c>
      <c r="W20">
        <v>2.4478920000000001E-2</v>
      </c>
      <c r="X20">
        <v>2.808832E-2</v>
      </c>
      <c r="Y20">
        <v>2.975622E-2</v>
      </c>
      <c r="Z20">
        <v>3.3001639999999999E-2</v>
      </c>
      <c r="AA20">
        <v>3.4684519999999996E-2</v>
      </c>
      <c r="AB20">
        <v>3.5804280000000008E-2</v>
      </c>
      <c r="AC20">
        <v>3.6702689999999996E-2</v>
      </c>
      <c r="AD20">
        <v>3.8703189999999998E-2</v>
      </c>
      <c r="AE20">
        <v>3.9946280000000001E-2</v>
      </c>
      <c r="AF20">
        <v>4.0912289999999997E-2</v>
      </c>
      <c r="AG20">
        <v>4.2085150000000002E-2</v>
      </c>
      <c r="AH20">
        <v>4.3672639999999999E-2</v>
      </c>
      <c r="AI20">
        <v>4.5520739999999997E-2</v>
      </c>
      <c r="AJ20">
        <v>4.7270989999999999E-2</v>
      </c>
      <c r="AK20">
        <v>4.9174260000000004E-2</v>
      </c>
      <c r="AL20">
        <v>5.1324330000000001E-2</v>
      </c>
      <c r="AM20">
        <v>5.3306799999999994E-2</v>
      </c>
      <c r="AN20">
        <v>5.4729219999999995E-2</v>
      </c>
      <c r="AO20">
        <v>5.6893910000000006E-2</v>
      </c>
      <c r="AP20">
        <v>5.8957549999999997E-2</v>
      </c>
      <c r="AQ20">
        <v>6.0777039999999997E-2</v>
      </c>
    </row>
    <row r="21" spans="1:43" x14ac:dyDescent="0.25">
      <c r="B21" t="s">
        <v>4</v>
      </c>
      <c r="F21">
        <v>1.8507999999999996E-4</v>
      </c>
      <c r="G21">
        <v>4.4961000000000008E-4</v>
      </c>
      <c r="H21">
        <v>9.4156999999999997E-4</v>
      </c>
      <c r="I21">
        <v>1.42286E-3</v>
      </c>
      <c r="J21">
        <v>3.01469E-3</v>
      </c>
      <c r="K21">
        <v>4.7501499999999999E-3</v>
      </c>
      <c r="L21">
        <v>6.1811500000000007E-3</v>
      </c>
      <c r="M21">
        <v>7.0341299999999995E-3</v>
      </c>
      <c r="N21">
        <v>7.916949999999999E-3</v>
      </c>
      <c r="O21">
        <v>9.0620200000000005E-3</v>
      </c>
      <c r="P21">
        <v>1.0403620000000001E-2</v>
      </c>
      <c r="Q21">
        <v>1.1884270000000001E-2</v>
      </c>
      <c r="R21">
        <v>1.3276610000000001E-2</v>
      </c>
      <c r="S21">
        <v>1.4656609999999997E-2</v>
      </c>
      <c r="T21">
        <v>1.5468239999999999E-2</v>
      </c>
      <c r="U21">
        <v>1.6713039999999998E-2</v>
      </c>
      <c r="V21">
        <v>1.7991190000000004E-2</v>
      </c>
      <c r="W21">
        <v>1.9722969999999999E-2</v>
      </c>
      <c r="X21">
        <v>2.1820630000000001E-2</v>
      </c>
      <c r="Y21">
        <v>2.3619189999999998E-2</v>
      </c>
      <c r="Z21">
        <v>2.5361939999999999E-2</v>
      </c>
      <c r="AA21">
        <v>2.6139249999999996E-2</v>
      </c>
      <c r="AB21">
        <v>2.6636069999999998E-2</v>
      </c>
      <c r="AC21">
        <v>2.7350860000000001E-2</v>
      </c>
      <c r="AD21">
        <v>2.8108929999999994E-2</v>
      </c>
      <c r="AE21">
        <v>2.881864E-2</v>
      </c>
      <c r="AF21">
        <v>2.9730819999999995E-2</v>
      </c>
      <c r="AG21">
        <v>3.073557E-2</v>
      </c>
      <c r="AH21">
        <v>3.177758E-2</v>
      </c>
      <c r="AI21">
        <v>3.270853E-2</v>
      </c>
      <c r="AJ21">
        <v>3.3702870000000003E-2</v>
      </c>
      <c r="AK21">
        <v>3.5016640000000002E-2</v>
      </c>
      <c r="AL21">
        <v>3.693784E-2</v>
      </c>
      <c r="AM21">
        <v>3.8384540000000002E-2</v>
      </c>
      <c r="AN21">
        <v>3.9505939999999996E-2</v>
      </c>
      <c r="AO21">
        <v>4.0580489999999997E-2</v>
      </c>
      <c r="AP21">
        <v>4.160092E-2</v>
      </c>
      <c r="AQ21">
        <v>4.2618820000000002E-2</v>
      </c>
    </row>
    <row r="22" spans="1:43" x14ac:dyDescent="0.25">
      <c r="B22" t="s">
        <v>5</v>
      </c>
      <c r="F22">
        <v>1.33256E-3</v>
      </c>
      <c r="G22">
        <v>1.6203999999999999E-3</v>
      </c>
      <c r="H22">
        <v>3.5144099999999999E-3</v>
      </c>
      <c r="I22">
        <v>5.5234699999999999E-3</v>
      </c>
      <c r="J22">
        <v>7.6000699999999996E-3</v>
      </c>
      <c r="K22">
        <v>9.5110899999999998E-3</v>
      </c>
      <c r="L22">
        <v>1.213289E-2</v>
      </c>
      <c r="M22">
        <v>1.558821E-2</v>
      </c>
      <c r="N22">
        <v>1.952075E-2</v>
      </c>
      <c r="O22">
        <v>2.5510280000000003E-2</v>
      </c>
      <c r="P22">
        <v>3.1346900000000004E-2</v>
      </c>
      <c r="Q22">
        <v>3.6410870000000005E-2</v>
      </c>
      <c r="R22">
        <v>4.1959030000000001E-2</v>
      </c>
      <c r="S22">
        <v>4.780483E-2</v>
      </c>
      <c r="T22">
        <v>5.3107350000000005E-2</v>
      </c>
      <c r="U22">
        <v>5.9437159999999996E-2</v>
      </c>
      <c r="V22">
        <v>6.5798229999999999E-2</v>
      </c>
      <c r="W22">
        <v>7.2778680000000012E-2</v>
      </c>
      <c r="X22">
        <v>8.0766589999999999E-2</v>
      </c>
      <c r="Y22">
        <v>8.9060620000000007E-2</v>
      </c>
      <c r="Z22">
        <v>9.8607849999999997E-2</v>
      </c>
      <c r="AA22">
        <v>0.10787094</v>
      </c>
      <c r="AB22">
        <v>0.11533953</v>
      </c>
      <c r="AC22">
        <v>0.122362</v>
      </c>
      <c r="AD22">
        <v>0.12988052</v>
      </c>
      <c r="AE22">
        <v>0.13713713</v>
      </c>
      <c r="AF22">
        <v>0.14428676000000001</v>
      </c>
      <c r="AG22">
        <v>0.15246633000000001</v>
      </c>
      <c r="AH22">
        <v>0.16139361000000002</v>
      </c>
      <c r="AI22">
        <v>0.17076042000000002</v>
      </c>
      <c r="AJ22">
        <v>0.18036578</v>
      </c>
      <c r="AK22">
        <v>0.19074591999999999</v>
      </c>
      <c r="AL22">
        <v>0.20168802999999996</v>
      </c>
      <c r="AM22">
        <v>0.21265143</v>
      </c>
      <c r="AN22">
        <v>0.22375144</v>
      </c>
      <c r="AO22">
        <v>0.23503705999999999</v>
      </c>
      <c r="AP22">
        <v>0.24636290999999999</v>
      </c>
      <c r="AQ22">
        <v>0.25751463999999996</v>
      </c>
    </row>
    <row r="23" spans="1:43" x14ac:dyDescent="0.25">
      <c r="B23" t="s">
        <v>6</v>
      </c>
      <c r="F23">
        <v>2.3748000000000004E-4</v>
      </c>
      <c r="G23">
        <v>2.5253999999999999E-4</v>
      </c>
      <c r="H23">
        <v>3.5332000000000001E-4</v>
      </c>
      <c r="I23">
        <v>4.0601E-4</v>
      </c>
      <c r="J23">
        <v>5.1035000000000002E-4</v>
      </c>
      <c r="K23">
        <v>6.3669999999999992E-4</v>
      </c>
      <c r="L23">
        <v>7.1554999999999991E-4</v>
      </c>
      <c r="M23">
        <v>7.4224000000000013E-4</v>
      </c>
      <c r="N23">
        <v>8.0510999999999994E-4</v>
      </c>
      <c r="O23">
        <v>9.0030999999999998E-4</v>
      </c>
      <c r="P23">
        <v>9.9187999999999989E-4</v>
      </c>
      <c r="Q23">
        <v>1.4427300000000001E-3</v>
      </c>
      <c r="R23">
        <v>1.94622E-3</v>
      </c>
      <c r="S23">
        <v>2.4913400000000003E-3</v>
      </c>
      <c r="T23">
        <v>3.0138299999999995E-3</v>
      </c>
      <c r="U23">
        <v>3.7357699999999998E-3</v>
      </c>
      <c r="V23">
        <v>5.2540599999999996E-3</v>
      </c>
      <c r="W23">
        <v>6.6794300000000001E-3</v>
      </c>
      <c r="X23">
        <v>8.2082800000000001E-3</v>
      </c>
      <c r="Y23">
        <v>1.042327E-2</v>
      </c>
      <c r="Z23">
        <v>1.2660499999999998E-2</v>
      </c>
      <c r="AA23">
        <v>1.42036E-2</v>
      </c>
      <c r="AB23">
        <v>1.6076090000000001E-2</v>
      </c>
      <c r="AC23">
        <v>1.8533930000000001E-2</v>
      </c>
      <c r="AD23">
        <v>1.9654639999999998E-2</v>
      </c>
      <c r="AE23">
        <v>2.0632869999999998E-2</v>
      </c>
      <c r="AF23">
        <v>2.1466679999999995E-2</v>
      </c>
      <c r="AG23">
        <v>2.2759860000000003E-2</v>
      </c>
      <c r="AH23">
        <v>2.3922449999999998E-2</v>
      </c>
      <c r="AI23">
        <v>2.5364000000000005E-2</v>
      </c>
      <c r="AJ23">
        <v>2.7306230000000001E-2</v>
      </c>
      <c r="AK23">
        <v>2.9363569999999995E-2</v>
      </c>
      <c r="AL23">
        <v>3.135868E-2</v>
      </c>
      <c r="AM23">
        <v>3.3474959999999998E-2</v>
      </c>
      <c r="AN23">
        <v>3.5703079999999998E-2</v>
      </c>
      <c r="AO23">
        <v>3.7183979999999998E-2</v>
      </c>
      <c r="AP23">
        <v>3.8571359999999999E-2</v>
      </c>
      <c r="AQ23">
        <v>4.0073909999999997E-2</v>
      </c>
    </row>
    <row r="24" spans="1:43" x14ac:dyDescent="0.25">
      <c r="B24" t="s">
        <v>7</v>
      </c>
      <c r="F24">
        <v>1.4235000000000002E-4</v>
      </c>
      <c r="G24">
        <v>2.3819999999999999E-4</v>
      </c>
      <c r="H24">
        <v>1.0326300000000001E-3</v>
      </c>
      <c r="I24">
        <v>1.6752E-3</v>
      </c>
      <c r="J24">
        <v>2.2929400000000003E-3</v>
      </c>
      <c r="K24">
        <v>3.5177500000000005E-3</v>
      </c>
      <c r="L24">
        <v>4.4950799999999994E-3</v>
      </c>
      <c r="M24">
        <v>6.25313E-3</v>
      </c>
      <c r="N24">
        <v>8.4903100000000009E-3</v>
      </c>
      <c r="O24">
        <v>1.2470189999999999E-2</v>
      </c>
      <c r="P24">
        <v>1.5686060000000002E-2</v>
      </c>
      <c r="Q24">
        <v>1.8586849999999999E-2</v>
      </c>
      <c r="R24">
        <v>2.1735000000000001E-2</v>
      </c>
      <c r="S24">
        <v>2.5126749999999996E-2</v>
      </c>
      <c r="T24">
        <v>2.8427200000000003E-2</v>
      </c>
      <c r="U24">
        <v>3.2141110000000001E-2</v>
      </c>
      <c r="V24">
        <v>3.6803679999999998E-2</v>
      </c>
      <c r="W24">
        <v>4.1681420000000004E-2</v>
      </c>
      <c r="X24">
        <v>4.718087E-2</v>
      </c>
      <c r="Y24">
        <v>5.2045720000000004E-2</v>
      </c>
      <c r="Z24">
        <v>5.7717529999999996E-2</v>
      </c>
      <c r="AA24">
        <v>6.2860730000000004E-2</v>
      </c>
      <c r="AB24">
        <v>6.6807409999999998E-2</v>
      </c>
      <c r="AC24">
        <v>7.1031229999999987E-2</v>
      </c>
      <c r="AD24">
        <v>7.5214420000000004E-2</v>
      </c>
      <c r="AE24">
        <v>7.9697500000000004E-2</v>
      </c>
      <c r="AF24">
        <v>8.4164100000000006E-2</v>
      </c>
      <c r="AG24">
        <v>8.9136309999999996E-2</v>
      </c>
      <c r="AH24">
        <v>9.4309259999999992E-2</v>
      </c>
      <c r="AI24">
        <v>9.9665279999999995E-2</v>
      </c>
      <c r="AJ24">
        <v>0.10505338</v>
      </c>
      <c r="AK24">
        <v>0.11044118</v>
      </c>
      <c r="AL24">
        <v>0.11604864000000001</v>
      </c>
      <c r="AM24">
        <v>0.12220939</v>
      </c>
      <c r="AN24">
        <v>0.12825276999999999</v>
      </c>
      <c r="AO24">
        <v>0.13409156</v>
      </c>
      <c r="AP24">
        <v>0.13984745999999998</v>
      </c>
      <c r="AQ24">
        <v>0.14568086999999999</v>
      </c>
    </row>
    <row r="25" spans="1:43" x14ac:dyDescent="0.25">
      <c r="B25" t="s">
        <v>8</v>
      </c>
      <c r="F25">
        <v>2.66936E-3</v>
      </c>
      <c r="G25">
        <v>3.2695299999999997E-3</v>
      </c>
      <c r="H25">
        <v>8.1618799999999998E-3</v>
      </c>
      <c r="I25">
        <v>1.081065E-2</v>
      </c>
      <c r="J25">
        <v>1.339974E-2</v>
      </c>
      <c r="K25">
        <v>1.6318359999999997E-2</v>
      </c>
      <c r="L25">
        <v>1.9819379999999998E-2</v>
      </c>
      <c r="M25">
        <v>2.5033989999999999E-2</v>
      </c>
      <c r="N25">
        <v>2.9966819999999998E-2</v>
      </c>
      <c r="O25">
        <v>3.5396699999999996E-2</v>
      </c>
      <c r="P25">
        <v>4.1022509999999998E-2</v>
      </c>
      <c r="Q25">
        <v>4.5039269999999999E-2</v>
      </c>
      <c r="R25">
        <v>4.9282759999999995E-2</v>
      </c>
      <c r="S25">
        <v>5.3613199999999993E-2</v>
      </c>
      <c r="T25">
        <v>5.7061559999999997E-2</v>
      </c>
      <c r="U25">
        <v>6.062244E-2</v>
      </c>
      <c r="V25">
        <v>6.4814070000000001E-2</v>
      </c>
      <c r="W25">
        <v>6.9375320000000004E-2</v>
      </c>
      <c r="X25">
        <v>7.3922719999999997E-2</v>
      </c>
      <c r="Y25">
        <v>7.9400289999999998E-2</v>
      </c>
      <c r="Z25">
        <v>8.4629650000000001E-2</v>
      </c>
      <c r="AA25">
        <v>8.9465759999999991E-2</v>
      </c>
      <c r="AB25">
        <v>9.3704019999999999E-2</v>
      </c>
      <c r="AC25">
        <v>9.7988390000000009E-2</v>
      </c>
      <c r="AD25">
        <v>0.10256899</v>
      </c>
      <c r="AE25">
        <v>0.10726379</v>
      </c>
      <c r="AF25">
        <v>0.11220400000000001</v>
      </c>
      <c r="AG25">
        <v>0.11710796000000001</v>
      </c>
      <c r="AH25">
        <v>0.12217586</v>
      </c>
      <c r="AI25">
        <v>0.1275849</v>
      </c>
      <c r="AJ25">
        <v>0.13307438000000002</v>
      </c>
      <c r="AK25">
        <v>0.13843214999999998</v>
      </c>
      <c r="AL25">
        <v>0.14398206999999999</v>
      </c>
      <c r="AM25">
        <v>0.14968476</v>
      </c>
      <c r="AN25">
        <v>0.15578474999999997</v>
      </c>
      <c r="AO25">
        <v>0.16187061999999999</v>
      </c>
      <c r="AP25">
        <v>0.16800240999999999</v>
      </c>
      <c r="AQ25">
        <v>0.17396012000000002</v>
      </c>
    </row>
    <row r="26" spans="1:43" x14ac:dyDescent="0.25">
      <c r="B26" t="s">
        <v>9</v>
      </c>
      <c r="F26">
        <v>8.3369099999999995E-3</v>
      </c>
      <c r="G26">
        <v>1.0179000000000001E-2</v>
      </c>
      <c r="H26">
        <v>2.8453630000000001E-2</v>
      </c>
      <c r="I26">
        <v>3.8389029999999998E-2</v>
      </c>
      <c r="J26">
        <v>4.7555480000000004E-2</v>
      </c>
      <c r="K26">
        <v>5.6582359999999991E-2</v>
      </c>
      <c r="L26">
        <v>6.5823560000000003E-2</v>
      </c>
      <c r="M26">
        <v>7.9711359999999995E-2</v>
      </c>
      <c r="N26">
        <v>9.1326340000000006E-2</v>
      </c>
      <c r="O26">
        <v>0.10085137999999999</v>
      </c>
      <c r="P26">
        <v>0.12388786</v>
      </c>
      <c r="Q26">
        <v>0.14586288000000003</v>
      </c>
      <c r="R26">
        <v>0.16576168000000002</v>
      </c>
      <c r="S26">
        <v>0.18524232000000002</v>
      </c>
      <c r="T26">
        <v>0.19931312000000001</v>
      </c>
      <c r="U26">
        <v>0.21207893999999999</v>
      </c>
      <c r="V26">
        <v>0.22539939000000001</v>
      </c>
      <c r="W26">
        <v>0.23995067</v>
      </c>
      <c r="X26">
        <v>0.25622230000000001</v>
      </c>
      <c r="Y26">
        <v>0.27050570000000007</v>
      </c>
      <c r="Z26">
        <v>0.28473670000000006</v>
      </c>
      <c r="AA26">
        <v>0.29795061</v>
      </c>
      <c r="AB26">
        <v>0.30783631</v>
      </c>
      <c r="AC26">
        <v>0.31764084999999997</v>
      </c>
      <c r="AD26">
        <v>0.32742764000000002</v>
      </c>
      <c r="AE26">
        <v>0.33670873000000001</v>
      </c>
      <c r="AF26">
        <v>0.34499118000000006</v>
      </c>
      <c r="AG26">
        <v>0.35344186</v>
      </c>
      <c r="AH26">
        <v>0.36231907999999996</v>
      </c>
      <c r="AI26">
        <v>0.37143154</v>
      </c>
      <c r="AJ26">
        <v>0.38114116000000003</v>
      </c>
      <c r="AK26">
        <v>0.39027404999999998</v>
      </c>
      <c r="AL26">
        <v>0.39879773999999996</v>
      </c>
      <c r="AM26">
        <v>0.40782672000000003</v>
      </c>
      <c r="AN26">
        <v>0.41694019000000004</v>
      </c>
      <c r="AO26">
        <v>0.42613998000000003</v>
      </c>
      <c r="AP26">
        <v>0.43467700000000004</v>
      </c>
      <c r="AQ26">
        <v>0.44392141000000002</v>
      </c>
    </row>
    <row r="27" spans="1:43" x14ac:dyDescent="0.25">
      <c r="B27" t="s">
        <v>10</v>
      </c>
      <c r="F27">
        <v>2.0206869999999998E-2</v>
      </c>
      <c r="G27">
        <v>2.5227690000000004E-2</v>
      </c>
      <c r="H27">
        <v>5.8583200000000002E-2</v>
      </c>
      <c r="I27">
        <v>8.0086420000000005E-2</v>
      </c>
      <c r="J27">
        <v>0.10255617</v>
      </c>
      <c r="K27">
        <v>0.12506298999999999</v>
      </c>
      <c r="L27">
        <v>0.14989476999999998</v>
      </c>
      <c r="M27">
        <v>0.18366376000000004</v>
      </c>
      <c r="N27">
        <v>0.21737128999999999</v>
      </c>
      <c r="O27">
        <v>0.25490514000000003</v>
      </c>
      <c r="P27">
        <v>0.30580697000000001</v>
      </c>
      <c r="Q27">
        <v>0.35361982999999997</v>
      </c>
      <c r="R27">
        <v>0.39985338000000004</v>
      </c>
      <c r="S27">
        <v>0.44615647999999997</v>
      </c>
      <c r="T27">
        <v>0.48065816</v>
      </c>
      <c r="U27">
        <v>0.51648934000000002</v>
      </c>
      <c r="V27">
        <v>0.55504507999999997</v>
      </c>
      <c r="W27">
        <v>0.59757640000000001</v>
      </c>
      <c r="X27">
        <v>0.64567666000000001</v>
      </c>
      <c r="Y27">
        <v>0.68991718000000002</v>
      </c>
      <c r="Z27">
        <v>0.73924031000000001</v>
      </c>
      <c r="AA27">
        <v>0.78200296999999996</v>
      </c>
      <c r="AB27">
        <v>0.81604354000000001</v>
      </c>
      <c r="AC27">
        <v>0.84920120999999993</v>
      </c>
      <c r="AD27">
        <v>0.88429963999999994</v>
      </c>
      <c r="AE27">
        <v>0.91719116000000012</v>
      </c>
      <c r="AF27">
        <v>0.94796030999999992</v>
      </c>
      <c r="AG27">
        <v>0.98182901000000011</v>
      </c>
      <c r="AH27">
        <v>1.0180859</v>
      </c>
      <c r="AI27">
        <v>1.05657497</v>
      </c>
      <c r="AJ27">
        <v>1.0961022499999999</v>
      </c>
      <c r="AK27">
        <v>1.1366738399999998</v>
      </c>
      <c r="AL27">
        <v>1.1775258199999998</v>
      </c>
      <c r="AM27">
        <v>1.2203810600000002</v>
      </c>
      <c r="AN27">
        <v>1.26229134</v>
      </c>
      <c r="AO27">
        <v>1.3048383100000001</v>
      </c>
      <c r="AP27">
        <v>1.3462618799999999</v>
      </c>
      <c r="AQ27">
        <v>1.3867993300000001</v>
      </c>
    </row>
    <row r="28" spans="1:43" x14ac:dyDescent="0.25">
      <c r="F28" s="3"/>
    </row>
    <row r="30" spans="1:43" x14ac:dyDescent="0.25">
      <c r="A30" t="s">
        <v>43</v>
      </c>
    </row>
    <row r="31" spans="1:43" x14ac:dyDescent="0.25">
      <c r="A31" t="s">
        <v>11</v>
      </c>
      <c r="C31">
        <v>2010</v>
      </c>
      <c r="D31">
        <v>2011</v>
      </c>
      <c r="E31">
        <v>2012</v>
      </c>
      <c r="F31">
        <v>2013</v>
      </c>
      <c r="G31">
        <v>2014</v>
      </c>
      <c r="H31">
        <v>2015</v>
      </c>
      <c r="I31">
        <v>2016</v>
      </c>
      <c r="J31">
        <v>2017</v>
      </c>
      <c r="K31">
        <v>2018</v>
      </c>
      <c r="L31">
        <v>2019</v>
      </c>
      <c r="M31">
        <v>2020</v>
      </c>
      <c r="N31">
        <v>2021</v>
      </c>
      <c r="O31">
        <v>2022</v>
      </c>
      <c r="P31">
        <v>2023</v>
      </c>
      <c r="Q31">
        <v>2024</v>
      </c>
      <c r="R31">
        <v>2025</v>
      </c>
      <c r="S31">
        <v>2026</v>
      </c>
      <c r="T31">
        <v>2027</v>
      </c>
      <c r="U31">
        <v>2028</v>
      </c>
      <c r="V31">
        <v>2029</v>
      </c>
      <c r="W31">
        <v>2030</v>
      </c>
      <c r="X31">
        <v>2031</v>
      </c>
      <c r="Y31">
        <v>2032</v>
      </c>
      <c r="Z31">
        <v>2033</v>
      </c>
      <c r="AA31">
        <v>2034</v>
      </c>
      <c r="AB31">
        <v>2035</v>
      </c>
      <c r="AC31">
        <v>2036</v>
      </c>
      <c r="AD31">
        <v>2037</v>
      </c>
      <c r="AE31">
        <v>2038</v>
      </c>
      <c r="AF31">
        <v>2039</v>
      </c>
      <c r="AG31">
        <v>2040</v>
      </c>
      <c r="AH31">
        <v>2041</v>
      </c>
      <c r="AI31">
        <v>2042</v>
      </c>
      <c r="AJ31">
        <v>2043</v>
      </c>
      <c r="AK31">
        <v>2044</v>
      </c>
      <c r="AL31">
        <v>2045</v>
      </c>
      <c r="AM31">
        <v>2046</v>
      </c>
      <c r="AN31">
        <v>2047</v>
      </c>
      <c r="AO31">
        <v>2048</v>
      </c>
      <c r="AP31">
        <v>2049</v>
      </c>
      <c r="AQ31">
        <v>2050</v>
      </c>
    </row>
    <row r="32" spans="1:43" x14ac:dyDescent="0.25">
      <c r="A32" t="s">
        <v>0</v>
      </c>
      <c r="B32" t="s">
        <v>1</v>
      </c>
      <c r="C32">
        <f>C5+C18</f>
        <v>0.42</v>
      </c>
      <c r="D32">
        <f t="shared" ref="D32:AQ38" si="0">D5+D18</f>
        <v>0.41174100000000002</v>
      </c>
      <c r="E32">
        <f t="shared" si="0"/>
        <v>0.41017399999999998</v>
      </c>
      <c r="F32">
        <f t="shared" si="0"/>
        <v>0.41102066999999998</v>
      </c>
      <c r="G32">
        <f t="shared" si="0"/>
        <v>0.44005517</v>
      </c>
      <c r="H32">
        <f t="shared" si="0"/>
        <v>0.41126467999999999</v>
      </c>
      <c r="I32">
        <f t="shared" si="0"/>
        <v>0.40693478999999999</v>
      </c>
      <c r="J32">
        <f t="shared" si="0"/>
        <v>0.43105186000000001</v>
      </c>
      <c r="K32">
        <f t="shared" si="0"/>
        <v>0.42616219999999999</v>
      </c>
      <c r="L32">
        <f t="shared" si="0"/>
        <v>0.40360152999999999</v>
      </c>
      <c r="M32">
        <f t="shared" si="0"/>
        <v>0.40095227999999999</v>
      </c>
      <c r="N32">
        <f t="shared" si="0"/>
        <v>0.40835083999999999</v>
      </c>
      <c r="O32">
        <f t="shared" si="0"/>
        <v>0.41452341000000004</v>
      </c>
      <c r="P32">
        <f t="shared" si="0"/>
        <v>0.40848953000000005</v>
      </c>
      <c r="Q32">
        <f t="shared" si="0"/>
        <v>0.41749120000000001</v>
      </c>
      <c r="R32">
        <f t="shared" si="0"/>
        <v>0.41845779000000005</v>
      </c>
      <c r="S32">
        <f t="shared" si="0"/>
        <v>0.42134640000000001</v>
      </c>
      <c r="T32">
        <f t="shared" si="0"/>
        <v>0.43035679000000004</v>
      </c>
      <c r="U32">
        <f t="shared" si="0"/>
        <v>0.43853647000000001</v>
      </c>
      <c r="V32">
        <f t="shared" si="0"/>
        <v>0.44782744000000002</v>
      </c>
      <c r="W32">
        <f t="shared" si="0"/>
        <v>0.45604887</v>
      </c>
      <c r="X32">
        <f t="shared" si="0"/>
        <v>0.46457729999999997</v>
      </c>
      <c r="Y32">
        <f t="shared" si="0"/>
        <v>0.47377751999999995</v>
      </c>
      <c r="Z32">
        <f t="shared" si="0"/>
        <v>0.48302887000000005</v>
      </c>
      <c r="AA32">
        <f t="shared" si="0"/>
        <v>0.49259997</v>
      </c>
      <c r="AB32">
        <f t="shared" si="0"/>
        <v>0.50287513000000006</v>
      </c>
      <c r="AC32">
        <f t="shared" si="0"/>
        <v>0.51408147000000004</v>
      </c>
      <c r="AD32">
        <f t="shared" si="0"/>
        <v>0.52513447999999996</v>
      </c>
      <c r="AE32">
        <f t="shared" si="0"/>
        <v>0.53625345999999996</v>
      </c>
      <c r="AF32">
        <f t="shared" si="0"/>
        <v>0.54732945999999993</v>
      </c>
      <c r="AG32">
        <f t="shared" si="0"/>
        <v>0.55794659999999996</v>
      </c>
      <c r="AH32">
        <f t="shared" si="0"/>
        <v>0.56800636999999998</v>
      </c>
      <c r="AI32">
        <f t="shared" si="0"/>
        <v>0.57730051999999998</v>
      </c>
      <c r="AJ32">
        <f t="shared" si="0"/>
        <v>0.58584453999999997</v>
      </c>
      <c r="AK32">
        <f t="shared" si="0"/>
        <v>0.59391349000000004</v>
      </c>
      <c r="AL32">
        <f t="shared" si="0"/>
        <v>0.60220446000000005</v>
      </c>
      <c r="AM32">
        <f t="shared" si="0"/>
        <v>0.60945428000000001</v>
      </c>
      <c r="AN32">
        <f t="shared" si="0"/>
        <v>0.61670353</v>
      </c>
      <c r="AO32">
        <f t="shared" si="0"/>
        <v>0.62378575000000003</v>
      </c>
      <c r="AP32">
        <f t="shared" si="0"/>
        <v>0.63118663999999991</v>
      </c>
      <c r="AQ32">
        <f t="shared" si="0"/>
        <v>0.63884774999999994</v>
      </c>
    </row>
    <row r="33" spans="1:43" x14ac:dyDescent="0.25">
      <c r="A33" t="s">
        <v>0</v>
      </c>
      <c r="B33" t="s">
        <v>2</v>
      </c>
      <c r="C33">
        <f t="shared" ref="C33:R41" si="1">C6+C19</f>
        <v>1.27</v>
      </c>
      <c r="D33">
        <f t="shared" si="1"/>
        <v>1.2591760000000001</v>
      </c>
      <c r="E33">
        <f t="shared" si="1"/>
        <v>1.2379629999999999</v>
      </c>
      <c r="F33">
        <f t="shared" si="1"/>
        <v>1.2380461</v>
      </c>
      <c r="G33">
        <f t="shared" si="1"/>
        <v>1.2675293700000001</v>
      </c>
      <c r="H33">
        <f t="shared" si="1"/>
        <v>1.2668578099999999</v>
      </c>
      <c r="I33">
        <f t="shared" si="1"/>
        <v>1.2596388200000002</v>
      </c>
      <c r="J33">
        <f t="shared" si="1"/>
        <v>1.23697872</v>
      </c>
      <c r="K33">
        <f t="shared" si="1"/>
        <v>1.27601802</v>
      </c>
      <c r="L33">
        <f t="shared" si="1"/>
        <v>1.25933209</v>
      </c>
      <c r="M33">
        <f t="shared" si="1"/>
        <v>1.20475479</v>
      </c>
      <c r="N33">
        <f t="shared" si="1"/>
        <v>1.24826265</v>
      </c>
      <c r="O33">
        <f t="shared" si="1"/>
        <v>1.27555993</v>
      </c>
      <c r="P33">
        <f t="shared" si="1"/>
        <v>1.2573861599999998</v>
      </c>
      <c r="Q33">
        <f t="shared" si="1"/>
        <v>1.2636612199999999</v>
      </c>
      <c r="R33">
        <f t="shared" si="1"/>
        <v>1.28528501</v>
      </c>
      <c r="S33">
        <f t="shared" si="0"/>
        <v>1.2953365699999999</v>
      </c>
      <c r="T33">
        <f t="shared" si="0"/>
        <v>1.3156702100000002</v>
      </c>
      <c r="U33">
        <f t="shared" si="0"/>
        <v>1.33307964</v>
      </c>
      <c r="V33">
        <f t="shared" si="0"/>
        <v>1.3539368199999999</v>
      </c>
      <c r="W33">
        <f t="shared" si="0"/>
        <v>1.3740451199999999</v>
      </c>
      <c r="X33">
        <f t="shared" si="0"/>
        <v>1.39459065</v>
      </c>
      <c r="Y33">
        <f t="shared" si="0"/>
        <v>1.4208316499999998</v>
      </c>
      <c r="Z33">
        <f t="shared" si="0"/>
        <v>1.4466246299999999</v>
      </c>
      <c r="AA33">
        <f t="shared" si="0"/>
        <v>1.4759875899999999</v>
      </c>
      <c r="AB33">
        <f t="shared" si="0"/>
        <v>1.5066786999999999</v>
      </c>
      <c r="AC33">
        <f t="shared" si="0"/>
        <v>1.53984279</v>
      </c>
      <c r="AD33">
        <f t="shared" si="0"/>
        <v>1.57113883</v>
      </c>
      <c r="AE33">
        <f t="shared" si="0"/>
        <v>1.6027167600000001</v>
      </c>
      <c r="AF33">
        <f t="shared" si="0"/>
        <v>1.63474202</v>
      </c>
      <c r="AG33">
        <f t="shared" si="0"/>
        <v>1.6654843699999999</v>
      </c>
      <c r="AH33">
        <f t="shared" si="0"/>
        <v>1.6938920500000001</v>
      </c>
      <c r="AI33">
        <f t="shared" si="0"/>
        <v>1.71922804</v>
      </c>
      <c r="AJ33">
        <f t="shared" si="0"/>
        <v>1.7428849200000001</v>
      </c>
      <c r="AK33">
        <f t="shared" si="0"/>
        <v>1.7651095799999998</v>
      </c>
      <c r="AL33">
        <f t="shared" si="0"/>
        <v>1.78762303</v>
      </c>
      <c r="AM33">
        <f t="shared" si="0"/>
        <v>1.8094551800000001</v>
      </c>
      <c r="AN33">
        <f t="shared" si="0"/>
        <v>1.8323144200000001</v>
      </c>
      <c r="AO33">
        <f t="shared" si="0"/>
        <v>1.8554179599999998</v>
      </c>
      <c r="AP33">
        <f t="shared" si="0"/>
        <v>1.87843063</v>
      </c>
      <c r="AQ33">
        <f t="shared" si="0"/>
        <v>1.90231277</v>
      </c>
    </row>
    <row r="34" spans="1:43" x14ac:dyDescent="0.25">
      <c r="A34" t="s">
        <v>0</v>
      </c>
      <c r="B34" t="s">
        <v>3</v>
      </c>
      <c r="C34">
        <f t="shared" si="1"/>
        <v>1.97</v>
      </c>
      <c r="D34">
        <f t="shared" si="0"/>
        <v>1.9698020000000001</v>
      </c>
      <c r="E34">
        <f t="shared" si="0"/>
        <v>1.961978</v>
      </c>
      <c r="F34">
        <f t="shared" si="0"/>
        <v>1.9298373600000001</v>
      </c>
      <c r="G34">
        <f t="shared" si="0"/>
        <v>1.94555587</v>
      </c>
      <c r="H34">
        <f t="shared" si="0"/>
        <v>1.9026462700000002</v>
      </c>
      <c r="I34">
        <f t="shared" si="0"/>
        <v>1.9039975900000001</v>
      </c>
      <c r="J34">
        <f t="shared" si="0"/>
        <v>1.8747083200000001</v>
      </c>
      <c r="K34">
        <f t="shared" si="0"/>
        <v>1.93915036</v>
      </c>
      <c r="L34">
        <f t="shared" si="0"/>
        <v>1.88470454</v>
      </c>
      <c r="M34">
        <f t="shared" si="0"/>
        <v>1.84570163</v>
      </c>
      <c r="N34">
        <f t="shared" si="0"/>
        <v>1.8997105200000002</v>
      </c>
      <c r="O34">
        <f t="shared" si="0"/>
        <v>1.8961219200000001</v>
      </c>
      <c r="P34">
        <f t="shared" si="0"/>
        <v>1.89053545</v>
      </c>
      <c r="Q34">
        <f t="shared" si="0"/>
        <v>1.9033265399999999</v>
      </c>
      <c r="R34">
        <f t="shared" si="0"/>
        <v>1.94677828</v>
      </c>
      <c r="S34">
        <f t="shared" si="0"/>
        <v>1.96282446</v>
      </c>
      <c r="T34">
        <f t="shared" si="0"/>
        <v>1.9838088599999999</v>
      </c>
      <c r="U34">
        <f t="shared" si="0"/>
        <v>2.0017397699999999</v>
      </c>
      <c r="V34">
        <f t="shared" si="0"/>
        <v>2.0219711999999999</v>
      </c>
      <c r="W34">
        <f t="shared" si="0"/>
        <v>2.0427329200000002</v>
      </c>
      <c r="X34">
        <f t="shared" si="0"/>
        <v>2.06612632</v>
      </c>
      <c r="Y34">
        <f t="shared" si="0"/>
        <v>2.1010182199999998</v>
      </c>
      <c r="Z34">
        <f t="shared" si="0"/>
        <v>2.1360536400000001</v>
      </c>
      <c r="AA34">
        <f t="shared" si="0"/>
        <v>2.1800525199999998</v>
      </c>
      <c r="AB34">
        <f t="shared" si="0"/>
        <v>2.2255022799999997</v>
      </c>
      <c r="AC34">
        <f t="shared" si="0"/>
        <v>2.2712646899999998</v>
      </c>
      <c r="AD34">
        <f t="shared" si="0"/>
        <v>2.3129061900000001</v>
      </c>
      <c r="AE34">
        <f t="shared" si="0"/>
        <v>2.3542252800000001</v>
      </c>
      <c r="AF34">
        <f t="shared" si="0"/>
        <v>2.3959412900000001</v>
      </c>
      <c r="AG34">
        <f t="shared" si="0"/>
        <v>2.4372661500000001</v>
      </c>
      <c r="AH34">
        <f t="shared" si="0"/>
        <v>2.4751576399999999</v>
      </c>
      <c r="AI34">
        <f t="shared" si="0"/>
        <v>2.5109767400000003</v>
      </c>
      <c r="AJ34">
        <f t="shared" si="0"/>
        <v>2.5440349900000001</v>
      </c>
      <c r="AK34">
        <f t="shared" si="0"/>
        <v>2.5749142599999999</v>
      </c>
      <c r="AL34">
        <f t="shared" si="0"/>
        <v>2.6033273299999999</v>
      </c>
      <c r="AM34">
        <f t="shared" si="0"/>
        <v>2.6319408000000002</v>
      </c>
      <c r="AN34">
        <f t="shared" si="0"/>
        <v>2.6618852199999998</v>
      </c>
      <c r="AO34">
        <f t="shared" si="0"/>
        <v>2.6912569099999999</v>
      </c>
      <c r="AP34">
        <f t="shared" si="0"/>
        <v>2.7203175500000003</v>
      </c>
      <c r="AQ34">
        <f t="shared" si="0"/>
        <v>2.74928404</v>
      </c>
    </row>
    <row r="35" spans="1:43" x14ac:dyDescent="0.25">
      <c r="A35" t="s">
        <v>0</v>
      </c>
      <c r="B35" t="s">
        <v>4</v>
      </c>
      <c r="C35">
        <f t="shared" si="1"/>
        <v>1.0029999999999999</v>
      </c>
      <c r="D35">
        <f t="shared" si="0"/>
        <v>1.004251</v>
      </c>
      <c r="E35">
        <f t="shared" si="0"/>
        <v>1.002292</v>
      </c>
      <c r="F35">
        <f t="shared" si="0"/>
        <v>1.00240408</v>
      </c>
      <c r="G35">
        <f t="shared" si="0"/>
        <v>1.03447661</v>
      </c>
      <c r="H35">
        <f t="shared" si="0"/>
        <v>1.0144615699999999</v>
      </c>
      <c r="I35">
        <f t="shared" si="0"/>
        <v>1.0097498599999999</v>
      </c>
      <c r="J35">
        <f t="shared" si="0"/>
        <v>1.00463269</v>
      </c>
      <c r="K35">
        <f t="shared" si="0"/>
        <v>1.0409431499999999</v>
      </c>
      <c r="L35">
        <f t="shared" si="0"/>
        <v>1.0311001499999999</v>
      </c>
      <c r="M35">
        <f t="shared" si="0"/>
        <v>1.0034551300000001</v>
      </c>
      <c r="N35">
        <f t="shared" si="0"/>
        <v>1.05047095</v>
      </c>
      <c r="O35">
        <f t="shared" si="0"/>
        <v>1.0727100199999999</v>
      </c>
      <c r="P35">
        <f t="shared" si="0"/>
        <v>1.06606362</v>
      </c>
      <c r="Q35">
        <f t="shared" si="0"/>
        <v>1.1069972699999999</v>
      </c>
      <c r="R35">
        <f t="shared" si="0"/>
        <v>1.1278646099999998</v>
      </c>
      <c r="S35">
        <f t="shared" si="0"/>
        <v>1.1170436100000001</v>
      </c>
      <c r="T35">
        <f t="shared" si="0"/>
        <v>1.1242872399999999</v>
      </c>
      <c r="U35">
        <f t="shared" si="0"/>
        <v>1.1304670399999999</v>
      </c>
      <c r="V35">
        <f t="shared" si="0"/>
        <v>1.14183919</v>
      </c>
      <c r="W35">
        <f t="shared" si="0"/>
        <v>1.1546119699999999</v>
      </c>
      <c r="X35">
        <f t="shared" si="0"/>
        <v>1.1691936299999999</v>
      </c>
      <c r="Y35">
        <f t="shared" si="0"/>
        <v>1.1893331899999999</v>
      </c>
      <c r="Z35">
        <f t="shared" si="0"/>
        <v>1.21092694</v>
      </c>
      <c r="AA35">
        <f t="shared" si="0"/>
        <v>1.2379052499999998</v>
      </c>
      <c r="AB35">
        <f t="shared" si="0"/>
        <v>1.2662930699999999</v>
      </c>
      <c r="AC35">
        <f t="shared" si="0"/>
        <v>1.29361686</v>
      </c>
      <c r="AD35">
        <f t="shared" si="0"/>
        <v>1.3190379299999999</v>
      </c>
      <c r="AE35">
        <f t="shared" si="0"/>
        <v>1.3441196399999999</v>
      </c>
      <c r="AF35">
        <f t="shared" si="0"/>
        <v>1.36843582</v>
      </c>
      <c r="AG35">
        <f t="shared" si="0"/>
        <v>1.3920775700000001</v>
      </c>
      <c r="AH35">
        <f t="shared" si="0"/>
        <v>1.4147185799999999</v>
      </c>
      <c r="AI35">
        <f t="shared" si="0"/>
        <v>1.4372415300000001</v>
      </c>
      <c r="AJ35">
        <f t="shared" si="0"/>
        <v>1.4586448699999999</v>
      </c>
      <c r="AK35">
        <f t="shared" si="0"/>
        <v>1.4787996400000001</v>
      </c>
      <c r="AL35">
        <f t="shared" si="0"/>
        <v>1.49712584</v>
      </c>
      <c r="AM35">
        <f t="shared" si="0"/>
        <v>1.51542954</v>
      </c>
      <c r="AN35">
        <f t="shared" si="0"/>
        <v>1.5349349399999999</v>
      </c>
      <c r="AO35">
        <f t="shared" si="0"/>
        <v>1.5551424899999999</v>
      </c>
      <c r="AP35">
        <f t="shared" si="0"/>
        <v>1.5760669200000001</v>
      </c>
      <c r="AQ35">
        <f t="shared" si="0"/>
        <v>1.5969948199999999</v>
      </c>
    </row>
    <row r="36" spans="1:43" x14ac:dyDescent="0.25">
      <c r="A36" t="s">
        <v>0</v>
      </c>
      <c r="B36" t="s">
        <v>5</v>
      </c>
      <c r="C36">
        <f t="shared" si="1"/>
        <v>2.8149999999999999</v>
      </c>
      <c r="D36">
        <f t="shared" si="0"/>
        <v>2.7323879999999998</v>
      </c>
      <c r="E36">
        <f t="shared" si="0"/>
        <v>2.6630720000000001</v>
      </c>
      <c r="F36">
        <f t="shared" si="0"/>
        <v>2.67589656</v>
      </c>
      <c r="G36">
        <f t="shared" si="0"/>
        <v>2.7230304000000003</v>
      </c>
      <c r="H36">
        <f t="shared" si="0"/>
        <v>2.7192014100000002</v>
      </c>
      <c r="I36">
        <f t="shared" si="0"/>
        <v>2.73043747</v>
      </c>
      <c r="J36">
        <f t="shared" si="0"/>
        <v>2.6800960700000003</v>
      </c>
      <c r="K36">
        <f t="shared" si="0"/>
        <v>2.7837750900000002</v>
      </c>
      <c r="L36">
        <f t="shared" si="0"/>
        <v>2.78859089</v>
      </c>
      <c r="M36">
        <f t="shared" si="0"/>
        <v>2.7067162100000002</v>
      </c>
      <c r="N36">
        <f t="shared" si="0"/>
        <v>2.8261017499999999</v>
      </c>
      <c r="O36">
        <f t="shared" si="0"/>
        <v>2.9142712800000004</v>
      </c>
      <c r="P36">
        <f t="shared" si="0"/>
        <v>2.9103018999999999</v>
      </c>
      <c r="Q36">
        <f t="shared" si="0"/>
        <v>2.9807468699999999</v>
      </c>
      <c r="R36">
        <f t="shared" si="0"/>
        <v>3.0135720300000002</v>
      </c>
      <c r="S36">
        <f t="shared" si="0"/>
        <v>3.0329808300000001</v>
      </c>
      <c r="T36">
        <f t="shared" si="0"/>
        <v>3.0730943499999999</v>
      </c>
      <c r="U36">
        <f t="shared" si="0"/>
        <v>3.1073371599999997</v>
      </c>
      <c r="V36">
        <f t="shared" si="0"/>
        <v>3.15375023</v>
      </c>
      <c r="W36">
        <f t="shared" si="0"/>
        <v>3.1980896799999998</v>
      </c>
      <c r="X36">
        <f t="shared" si="0"/>
        <v>3.2445435900000001</v>
      </c>
      <c r="Y36">
        <f t="shared" si="0"/>
        <v>3.3006466200000002</v>
      </c>
      <c r="Z36">
        <f t="shared" si="0"/>
        <v>3.3574028500000002</v>
      </c>
      <c r="AA36">
        <f t="shared" si="0"/>
        <v>3.4172639400000002</v>
      </c>
      <c r="AB36">
        <f t="shared" si="0"/>
        <v>3.4788785299999998</v>
      </c>
      <c r="AC36">
        <f t="shared" si="0"/>
        <v>3.5474919999999996</v>
      </c>
      <c r="AD36">
        <f t="shared" si="0"/>
        <v>3.6194195200000001</v>
      </c>
      <c r="AE36">
        <f t="shared" si="0"/>
        <v>3.6915391300000002</v>
      </c>
      <c r="AF36">
        <f t="shared" si="0"/>
        <v>3.7655037600000001</v>
      </c>
      <c r="AG36">
        <f t="shared" si="0"/>
        <v>3.8365693300000001</v>
      </c>
      <c r="AH36">
        <f t="shared" si="0"/>
        <v>3.9033706100000001</v>
      </c>
      <c r="AI36">
        <f t="shared" si="0"/>
        <v>3.9660094200000002</v>
      </c>
      <c r="AJ36">
        <f t="shared" si="0"/>
        <v>4.0261097799999996</v>
      </c>
      <c r="AK36">
        <f t="shared" si="0"/>
        <v>4.0818599200000003</v>
      </c>
      <c r="AL36">
        <f t="shared" si="0"/>
        <v>4.1347840299999996</v>
      </c>
      <c r="AM36">
        <f t="shared" si="0"/>
        <v>4.1859694300000001</v>
      </c>
      <c r="AN36">
        <f t="shared" si="0"/>
        <v>4.2401904400000001</v>
      </c>
      <c r="AO36">
        <f t="shared" si="0"/>
        <v>4.2984020599999999</v>
      </c>
      <c r="AP36">
        <f t="shared" si="0"/>
        <v>4.3603359099999999</v>
      </c>
      <c r="AQ36">
        <f t="shared" si="0"/>
        <v>4.4271166400000004</v>
      </c>
    </row>
    <row r="37" spans="1:43" x14ac:dyDescent="0.25">
      <c r="A37" t="s">
        <v>0</v>
      </c>
      <c r="B37" t="s">
        <v>6</v>
      </c>
      <c r="C37">
        <f t="shared" si="1"/>
        <v>1.1519999999999999</v>
      </c>
      <c r="D37">
        <f t="shared" si="0"/>
        <v>1.1212580000000001</v>
      </c>
      <c r="E37">
        <f t="shared" si="0"/>
        <v>1.091933</v>
      </c>
      <c r="F37">
        <f t="shared" si="0"/>
        <v>1.1197244799999999</v>
      </c>
      <c r="G37">
        <f t="shared" si="0"/>
        <v>1.0897525399999999</v>
      </c>
      <c r="H37">
        <f t="shared" si="0"/>
        <v>1.04856832</v>
      </c>
      <c r="I37">
        <f t="shared" si="0"/>
        <v>1.03760001</v>
      </c>
      <c r="J37">
        <f t="shared" si="0"/>
        <v>1.0056703500000002</v>
      </c>
      <c r="K37">
        <f t="shared" si="0"/>
        <v>1.0592547000000001</v>
      </c>
      <c r="L37">
        <f t="shared" si="0"/>
        <v>1.0527635500000001</v>
      </c>
      <c r="M37">
        <f t="shared" si="0"/>
        <v>1.00147524</v>
      </c>
      <c r="N37">
        <f t="shared" si="0"/>
        <v>1.0462211099999998</v>
      </c>
      <c r="O37">
        <f t="shared" si="0"/>
        <v>1.0631943100000001</v>
      </c>
      <c r="P37">
        <f t="shared" si="0"/>
        <v>1.06234388</v>
      </c>
      <c r="Q37">
        <f t="shared" si="0"/>
        <v>1.06289173</v>
      </c>
      <c r="R37">
        <f t="shared" si="0"/>
        <v>1.06458622</v>
      </c>
      <c r="S37">
        <f t="shared" si="0"/>
        <v>1.0869523399999999</v>
      </c>
      <c r="T37">
        <f t="shared" si="0"/>
        <v>1.10010283</v>
      </c>
      <c r="U37">
        <f t="shared" si="0"/>
        <v>1.1112797700000001</v>
      </c>
      <c r="V37">
        <f t="shared" si="0"/>
        <v>1.11979406</v>
      </c>
      <c r="W37">
        <f t="shared" si="0"/>
        <v>1.12812943</v>
      </c>
      <c r="X37">
        <f t="shared" si="0"/>
        <v>1.1382092800000001</v>
      </c>
      <c r="Y37">
        <f t="shared" si="0"/>
        <v>1.1519262699999999</v>
      </c>
      <c r="Z37">
        <f t="shared" si="0"/>
        <v>1.1663984999999999</v>
      </c>
      <c r="AA37">
        <f t="shared" si="0"/>
        <v>1.1840296000000001</v>
      </c>
      <c r="AB37">
        <f t="shared" si="0"/>
        <v>1.20167409</v>
      </c>
      <c r="AC37">
        <f t="shared" si="0"/>
        <v>1.21890893</v>
      </c>
      <c r="AD37">
        <f t="shared" si="0"/>
        <v>1.23738064</v>
      </c>
      <c r="AE37">
        <f t="shared" si="0"/>
        <v>1.25592087</v>
      </c>
      <c r="AF37">
        <f t="shared" si="0"/>
        <v>1.2749316800000001</v>
      </c>
      <c r="AG37">
        <f t="shared" si="0"/>
        <v>1.2924958600000001</v>
      </c>
      <c r="AH37">
        <f t="shared" si="0"/>
        <v>1.30932045</v>
      </c>
      <c r="AI37">
        <f t="shared" si="0"/>
        <v>1.3252299999999999</v>
      </c>
      <c r="AJ37">
        <f t="shared" si="0"/>
        <v>1.3397132300000001</v>
      </c>
      <c r="AK37">
        <f t="shared" si="0"/>
        <v>1.3521985699999999</v>
      </c>
      <c r="AL37">
        <f t="shared" si="0"/>
        <v>1.3639766800000002</v>
      </c>
      <c r="AM37">
        <f t="shared" si="0"/>
        <v>1.37505196</v>
      </c>
      <c r="AN37">
        <f t="shared" si="0"/>
        <v>1.38674608</v>
      </c>
      <c r="AO37">
        <f t="shared" si="0"/>
        <v>1.4003639800000001</v>
      </c>
      <c r="AP37">
        <f t="shared" si="0"/>
        <v>1.41544436</v>
      </c>
      <c r="AQ37">
        <f t="shared" si="0"/>
        <v>1.43160691</v>
      </c>
    </row>
    <row r="38" spans="1:43" x14ac:dyDescent="0.25">
      <c r="A38" t="s">
        <v>0</v>
      </c>
      <c r="B38" t="s">
        <v>7</v>
      </c>
      <c r="C38">
        <f t="shared" si="1"/>
        <v>1.875</v>
      </c>
      <c r="D38">
        <f t="shared" si="0"/>
        <v>1.945614</v>
      </c>
      <c r="E38">
        <f t="shared" si="0"/>
        <v>1.898577</v>
      </c>
      <c r="F38">
        <f t="shared" si="0"/>
        <v>1.90921535</v>
      </c>
      <c r="G38">
        <f t="shared" si="0"/>
        <v>2.0292341999999999</v>
      </c>
      <c r="H38">
        <f t="shared" si="0"/>
        <v>2.0446246299999999</v>
      </c>
      <c r="I38">
        <f t="shared" si="0"/>
        <v>2.0291272</v>
      </c>
      <c r="J38">
        <f t="shared" si="0"/>
        <v>2.02324394</v>
      </c>
      <c r="K38">
        <f t="shared" si="0"/>
        <v>2.1222957499999997</v>
      </c>
      <c r="L38">
        <f t="shared" si="0"/>
        <v>2.1605800799999999</v>
      </c>
      <c r="M38">
        <f t="shared" si="0"/>
        <v>2.0755101300000001</v>
      </c>
      <c r="N38">
        <f t="shared" si="0"/>
        <v>2.2079303100000001</v>
      </c>
      <c r="O38">
        <f t="shared" si="0"/>
        <v>2.30493419</v>
      </c>
      <c r="P38">
        <f t="shared" si="0"/>
        <v>2.2572900600000003</v>
      </c>
      <c r="Q38">
        <f t="shared" si="0"/>
        <v>2.3734708500000004</v>
      </c>
      <c r="R38">
        <f t="shared" si="0"/>
        <v>2.4331460000000003</v>
      </c>
      <c r="S38">
        <f t="shared" si="0"/>
        <v>2.4573467500000001</v>
      </c>
      <c r="T38">
        <f t="shared" si="0"/>
        <v>2.4860552</v>
      </c>
      <c r="U38">
        <f t="shared" si="0"/>
        <v>2.5118201099999999</v>
      </c>
      <c r="V38">
        <f t="shared" si="0"/>
        <v>2.5408466799999996</v>
      </c>
      <c r="W38">
        <f t="shared" si="0"/>
        <v>2.5696844200000002</v>
      </c>
      <c r="X38">
        <f t="shared" si="0"/>
        <v>2.6000968700000002</v>
      </c>
      <c r="Y38">
        <f t="shared" si="0"/>
        <v>2.6448847200000003</v>
      </c>
      <c r="Z38">
        <f t="shared" si="0"/>
        <v>2.69390653</v>
      </c>
      <c r="AA38">
        <f t="shared" si="0"/>
        <v>2.7491357300000003</v>
      </c>
      <c r="AB38">
        <f t="shared" si="0"/>
        <v>2.80892141</v>
      </c>
      <c r="AC38">
        <f t="shared" si="0"/>
        <v>2.87599823</v>
      </c>
      <c r="AD38">
        <f t="shared" si="0"/>
        <v>2.94686242</v>
      </c>
      <c r="AE38">
        <f t="shared" si="0"/>
        <v>3.0073265</v>
      </c>
      <c r="AF38">
        <f t="shared" si="0"/>
        <v>3.0658181</v>
      </c>
      <c r="AG38">
        <f t="shared" si="0"/>
        <v>3.1175553100000002</v>
      </c>
      <c r="AH38">
        <f t="shared" ref="D38:AQ41" si="2">AH11+AH24</f>
        <v>3.1653722600000003</v>
      </c>
      <c r="AI38">
        <f t="shared" si="2"/>
        <v>3.2121452800000001</v>
      </c>
      <c r="AJ38">
        <f t="shared" si="2"/>
        <v>3.25889038</v>
      </c>
      <c r="AK38">
        <f t="shared" si="2"/>
        <v>3.2999481799999999</v>
      </c>
      <c r="AL38">
        <f t="shared" si="2"/>
        <v>3.3410536399999997</v>
      </c>
      <c r="AM38">
        <f t="shared" si="2"/>
        <v>3.37716539</v>
      </c>
      <c r="AN38">
        <f t="shared" si="2"/>
        <v>3.41371877</v>
      </c>
      <c r="AO38">
        <f t="shared" si="2"/>
        <v>3.4551505599999999</v>
      </c>
      <c r="AP38">
        <f t="shared" si="2"/>
        <v>3.5001584599999997</v>
      </c>
      <c r="AQ38">
        <f t="shared" si="2"/>
        <v>3.55019587</v>
      </c>
    </row>
    <row r="39" spans="1:43" x14ac:dyDescent="0.25">
      <c r="A39" t="s">
        <v>0</v>
      </c>
      <c r="B39" t="s">
        <v>8</v>
      </c>
      <c r="C39">
        <f t="shared" si="1"/>
        <v>0.89800000000000002</v>
      </c>
      <c r="D39">
        <f t="shared" si="2"/>
        <v>0.91674900000000004</v>
      </c>
      <c r="E39">
        <f t="shared" si="2"/>
        <v>0.92603800000000003</v>
      </c>
      <c r="F39">
        <f t="shared" si="2"/>
        <v>0.92237835999999995</v>
      </c>
      <c r="G39">
        <f t="shared" si="2"/>
        <v>0.92273852999999995</v>
      </c>
      <c r="H39">
        <f t="shared" si="2"/>
        <v>0.93016287999999991</v>
      </c>
      <c r="I39">
        <f t="shared" si="2"/>
        <v>0.94158965000000006</v>
      </c>
      <c r="J39">
        <f t="shared" si="2"/>
        <v>0.95548674</v>
      </c>
      <c r="K39">
        <f t="shared" si="2"/>
        <v>0.96707736</v>
      </c>
      <c r="L39">
        <f t="shared" si="2"/>
        <v>0.96674437999999996</v>
      </c>
      <c r="M39">
        <f t="shared" si="2"/>
        <v>0.97979298999999997</v>
      </c>
      <c r="N39">
        <f t="shared" si="2"/>
        <v>1.02482882</v>
      </c>
      <c r="O39">
        <f t="shared" si="2"/>
        <v>1.0487647</v>
      </c>
      <c r="P39">
        <f t="shared" si="2"/>
        <v>1.04228751</v>
      </c>
      <c r="Q39">
        <f t="shared" si="2"/>
        <v>1.10416827</v>
      </c>
      <c r="R39">
        <f t="shared" si="2"/>
        <v>1.1144807600000002</v>
      </c>
      <c r="S39">
        <f t="shared" si="2"/>
        <v>1.1276622000000001</v>
      </c>
      <c r="T39">
        <f t="shared" si="2"/>
        <v>1.14791756</v>
      </c>
      <c r="U39">
        <f t="shared" si="2"/>
        <v>1.1676444399999999</v>
      </c>
      <c r="V39">
        <f t="shared" si="2"/>
        <v>1.1940760699999999</v>
      </c>
      <c r="W39">
        <f t="shared" si="2"/>
        <v>1.2226613200000001</v>
      </c>
      <c r="X39">
        <f t="shared" si="2"/>
        <v>1.2541357199999998</v>
      </c>
      <c r="Y39">
        <f t="shared" si="2"/>
        <v>1.2925072899999999</v>
      </c>
      <c r="Z39">
        <f t="shared" si="2"/>
        <v>1.3344656499999998</v>
      </c>
      <c r="AA39">
        <f t="shared" si="2"/>
        <v>1.3815527599999999</v>
      </c>
      <c r="AB39">
        <f t="shared" si="2"/>
        <v>1.4292940199999999</v>
      </c>
      <c r="AC39">
        <f t="shared" si="2"/>
        <v>1.47520739</v>
      </c>
      <c r="AD39">
        <f t="shared" si="2"/>
        <v>1.5195519900000001</v>
      </c>
      <c r="AE39">
        <f t="shared" si="2"/>
        <v>1.5637177899999999</v>
      </c>
      <c r="AF39">
        <f t="shared" si="2"/>
        <v>1.607021</v>
      </c>
      <c r="AG39">
        <f t="shared" si="2"/>
        <v>1.65035496</v>
      </c>
      <c r="AH39">
        <f t="shared" si="2"/>
        <v>1.69355586</v>
      </c>
      <c r="AI39">
        <f t="shared" si="2"/>
        <v>1.7345828999999999</v>
      </c>
      <c r="AJ39">
        <f t="shared" si="2"/>
        <v>1.77364838</v>
      </c>
      <c r="AK39">
        <f t="shared" si="2"/>
        <v>1.8113581499999998</v>
      </c>
      <c r="AL39">
        <f t="shared" si="2"/>
        <v>1.84853007</v>
      </c>
      <c r="AM39">
        <f t="shared" si="2"/>
        <v>1.8866407599999999</v>
      </c>
      <c r="AN39">
        <f t="shared" si="2"/>
        <v>1.9248147500000001</v>
      </c>
      <c r="AO39">
        <f t="shared" si="2"/>
        <v>1.9638696199999999</v>
      </c>
      <c r="AP39">
        <f t="shared" si="2"/>
        <v>2.0026634100000003</v>
      </c>
      <c r="AQ39">
        <f t="shared" si="2"/>
        <v>2.0418231200000001</v>
      </c>
    </row>
    <row r="40" spans="1:43" x14ac:dyDescent="0.25">
      <c r="A40" t="s">
        <v>0</v>
      </c>
      <c r="B40" t="s">
        <v>9</v>
      </c>
      <c r="C40">
        <f t="shared" si="1"/>
        <v>1.403</v>
      </c>
      <c r="D40">
        <f t="shared" si="2"/>
        <v>1.429711</v>
      </c>
      <c r="E40">
        <f t="shared" si="2"/>
        <v>1.4153640000000001</v>
      </c>
      <c r="F40">
        <f t="shared" si="2"/>
        <v>1.40705791</v>
      </c>
      <c r="G40">
        <f t="shared" si="2"/>
        <v>1.4177659999999999</v>
      </c>
      <c r="H40">
        <f t="shared" si="2"/>
        <v>1.4341026299999999</v>
      </c>
      <c r="I40">
        <f t="shared" si="2"/>
        <v>1.4307790300000001</v>
      </c>
      <c r="J40">
        <f t="shared" si="2"/>
        <v>1.46387248</v>
      </c>
      <c r="K40">
        <f t="shared" si="2"/>
        <v>1.4618903599999999</v>
      </c>
      <c r="L40">
        <f t="shared" si="2"/>
        <v>1.4400225600000001</v>
      </c>
      <c r="M40">
        <f t="shared" si="2"/>
        <v>1.4558663599999999</v>
      </c>
      <c r="N40">
        <f t="shared" si="2"/>
        <v>1.4820283400000001</v>
      </c>
      <c r="O40">
        <f t="shared" si="2"/>
        <v>1.5243843799999999</v>
      </c>
      <c r="P40">
        <f t="shared" si="2"/>
        <v>1.51771586</v>
      </c>
      <c r="Q40">
        <f t="shared" si="2"/>
        <v>1.57233088</v>
      </c>
      <c r="R40">
        <f t="shared" si="2"/>
        <v>1.57240768</v>
      </c>
      <c r="S40">
        <f t="shared" si="2"/>
        <v>1.59767232</v>
      </c>
      <c r="T40">
        <f t="shared" si="2"/>
        <v>1.64355012</v>
      </c>
      <c r="U40">
        <f t="shared" si="2"/>
        <v>1.6843889400000001</v>
      </c>
      <c r="V40">
        <f t="shared" si="2"/>
        <v>1.7255863899999999</v>
      </c>
      <c r="W40">
        <f t="shared" si="2"/>
        <v>1.76886867</v>
      </c>
      <c r="X40">
        <f t="shared" si="2"/>
        <v>1.8123893</v>
      </c>
      <c r="Y40">
        <f t="shared" si="2"/>
        <v>1.8655447000000001</v>
      </c>
      <c r="Z40">
        <f t="shared" si="2"/>
        <v>1.9237067000000001</v>
      </c>
      <c r="AA40">
        <f t="shared" si="2"/>
        <v>1.98673861</v>
      </c>
      <c r="AB40">
        <f t="shared" si="2"/>
        <v>2.0482663099999998</v>
      </c>
      <c r="AC40">
        <f t="shared" si="2"/>
        <v>2.10675985</v>
      </c>
      <c r="AD40">
        <f t="shared" si="2"/>
        <v>2.1628626400000002</v>
      </c>
      <c r="AE40">
        <f t="shared" si="2"/>
        <v>2.2184247299999997</v>
      </c>
      <c r="AF40">
        <f t="shared" si="2"/>
        <v>2.2730141800000001</v>
      </c>
      <c r="AG40">
        <f t="shared" si="2"/>
        <v>2.32653986</v>
      </c>
      <c r="AH40">
        <f t="shared" si="2"/>
        <v>2.37777408</v>
      </c>
      <c r="AI40">
        <f t="shared" si="2"/>
        <v>2.42592454</v>
      </c>
      <c r="AJ40">
        <f t="shared" si="2"/>
        <v>2.4699761599999999</v>
      </c>
      <c r="AK40">
        <f t="shared" si="2"/>
        <v>2.5118090500000001</v>
      </c>
      <c r="AL40">
        <f t="shared" si="2"/>
        <v>2.5531777400000002</v>
      </c>
      <c r="AM40">
        <f t="shared" si="2"/>
        <v>2.5952887200000001</v>
      </c>
      <c r="AN40">
        <f t="shared" si="2"/>
        <v>2.63707819</v>
      </c>
      <c r="AO40">
        <f t="shared" si="2"/>
        <v>2.6786389799999997</v>
      </c>
      <c r="AP40">
        <f t="shared" si="2"/>
        <v>2.7197210000000003</v>
      </c>
      <c r="AQ40">
        <f t="shared" si="2"/>
        <v>2.7605744100000003</v>
      </c>
    </row>
    <row r="41" spans="1:43" x14ac:dyDescent="0.25">
      <c r="A41" t="s">
        <v>0</v>
      </c>
      <c r="B41" t="s">
        <v>10</v>
      </c>
      <c r="C41">
        <f t="shared" si="1"/>
        <v>12.81</v>
      </c>
      <c r="D41">
        <f t="shared" si="2"/>
        <v>12.79069</v>
      </c>
      <c r="E41">
        <f t="shared" si="2"/>
        <v>12.607393</v>
      </c>
      <c r="F41">
        <f t="shared" si="2"/>
        <v>12.615577870000001</v>
      </c>
      <c r="G41">
        <f t="shared" si="2"/>
        <v>12.87013969</v>
      </c>
      <c r="H41">
        <f t="shared" si="2"/>
        <v>12.771888199999999</v>
      </c>
      <c r="I41">
        <f t="shared" si="2"/>
        <v>12.749853420000001</v>
      </c>
      <c r="J41">
        <f t="shared" si="2"/>
        <v>12.675742169999999</v>
      </c>
      <c r="K41">
        <f t="shared" si="2"/>
        <v>13.076565990000001</v>
      </c>
      <c r="L41">
        <f t="shared" si="2"/>
        <v>12.987438769999999</v>
      </c>
      <c r="M41">
        <f t="shared" si="2"/>
        <v>12.67422476</v>
      </c>
      <c r="N41">
        <f t="shared" si="2"/>
        <v>13.193903290000002</v>
      </c>
      <c r="O41">
        <f t="shared" si="2"/>
        <v>13.51446514</v>
      </c>
      <c r="P41">
        <f t="shared" si="2"/>
        <v>13.412413970000001</v>
      </c>
      <c r="Q41">
        <f t="shared" si="2"/>
        <v>13.78508283</v>
      </c>
      <c r="R41">
        <f t="shared" si="2"/>
        <v>13.976578379999999</v>
      </c>
      <c r="S41">
        <f t="shared" si="2"/>
        <v>14.09916548</v>
      </c>
      <c r="T41">
        <f t="shared" si="2"/>
        <v>14.30484116</v>
      </c>
      <c r="U41">
        <f t="shared" si="2"/>
        <v>14.48629234</v>
      </c>
      <c r="V41">
        <f t="shared" si="2"/>
        <v>14.699629079999999</v>
      </c>
      <c r="W41">
        <f t="shared" si="2"/>
        <v>14.9148724</v>
      </c>
      <c r="X41">
        <f t="shared" si="2"/>
        <v>15.14386066</v>
      </c>
      <c r="Y41">
        <f t="shared" si="2"/>
        <v>15.44047218</v>
      </c>
      <c r="Z41">
        <f t="shared" si="2"/>
        <v>15.752514309999999</v>
      </c>
      <c r="AA41">
        <f t="shared" si="2"/>
        <v>16.10526497</v>
      </c>
      <c r="AB41">
        <f t="shared" si="2"/>
        <v>16.468381539999999</v>
      </c>
      <c r="AC41">
        <f t="shared" si="2"/>
        <v>16.843172209999999</v>
      </c>
      <c r="AD41">
        <f t="shared" si="2"/>
        <v>17.214293639999998</v>
      </c>
      <c r="AE41">
        <f t="shared" si="2"/>
        <v>17.574242160000001</v>
      </c>
      <c r="AF41">
        <f t="shared" si="2"/>
        <v>17.932736309999999</v>
      </c>
      <c r="AG41">
        <f t="shared" si="2"/>
        <v>18.276291009999998</v>
      </c>
      <c r="AH41">
        <f t="shared" si="2"/>
        <v>18.601165899999998</v>
      </c>
      <c r="AI41">
        <f t="shared" si="2"/>
        <v>18.90863697</v>
      </c>
      <c r="AJ41">
        <f t="shared" si="2"/>
        <v>19.199745250000003</v>
      </c>
      <c r="AK41">
        <f t="shared" si="2"/>
        <v>19.469910840000001</v>
      </c>
      <c r="AL41">
        <f t="shared" si="2"/>
        <v>19.731799819999999</v>
      </c>
      <c r="AM41">
        <f t="shared" si="2"/>
        <v>19.986397060000002</v>
      </c>
      <c r="AN41">
        <f t="shared" si="2"/>
        <v>20.248388340000002</v>
      </c>
      <c r="AO41">
        <f t="shared" si="2"/>
        <v>20.522030310000002</v>
      </c>
      <c r="AP41">
        <f t="shared" si="2"/>
        <v>20.804322880000001</v>
      </c>
      <c r="AQ41">
        <f t="shared" si="2"/>
        <v>21.098757329999998</v>
      </c>
    </row>
    <row r="46" spans="1:43" ht="23.25" x14ac:dyDescent="0.35">
      <c r="A46" s="7" t="s">
        <v>12</v>
      </c>
    </row>
    <row r="48" spans="1:43" x14ac:dyDescent="0.25">
      <c r="A48" t="s">
        <v>46</v>
      </c>
      <c r="B48" t="s">
        <v>26</v>
      </c>
    </row>
    <row r="49" spans="1:39" x14ac:dyDescent="0.25">
      <c r="A49" t="s">
        <v>15</v>
      </c>
      <c r="B49">
        <v>2014</v>
      </c>
      <c r="C49">
        <v>2015</v>
      </c>
      <c r="D49">
        <v>2016</v>
      </c>
      <c r="E49">
        <v>2017</v>
      </c>
      <c r="F49">
        <v>2018</v>
      </c>
      <c r="G49">
        <v>2019</v>
      </c>
      <c r="H49">
        <v>2020</v>
      </c>
      <c r="I49">
        <v>2021</v>
      </c>
      <c r="J49">
        <v>2022</v>
      </c>
      <c r="K49">
        <v>2023</v>
      </c>
      <c r="L49">
        <v>2024</v>
      </c>
      <c r="M49">
        <v>2025</v>
      </c>
      <c r="N49">
        <v>2026</v>
      </c>
      <c r="O49">
        <v>2027</v>
      </c>
      <c r="P49">
        <v>2028</v>
      </c>
      <c r="Q49">
        <v>2029</v>
      </c>
      <c r="R49">
        <v>2030</v>
      </c>
      <c r="S49">
        <v>2031</v>
      </c>
      <c r="T49">
        <v>2032</v>
      </c>
      <c r="U49">
        <v>2033</v>
      </c>
      <c r="V49">
        <v>2034</v>
      </c>
      <c r="W49">
        <v>2035</v>
      </c>
      <c r="X49">
        <v>2036</v>
      </c>
      <c r="Y49">
        <v>2037</v>
      </c>
      <c r="Z49">
        <v>2038</v>
      </c>
      <c r="AA49">
        <v>2039</v>
      </c>
      <c r="AB49">
        <v>2040</v>
      </c>
      <c r="AC49">
        <v>2041</v>
      </c>
      <c r="AD49">
        <v>2042</v>
      </c>
      <c r="AE49">
        <v>2043</v>
      </c>
      <c r="AF49">
        <v>2044</v>
      </c>
      <c r="AG49">
        <v>2045</v>
      </c>
      <c r="AH49">
        <v>2046</v>
      </c>
      <c r="AI49">
        <v>2047</v>
      </c>
      <c r="AJ49">
        <v>2048</v>
      </c>
      <c r="AK49">
        <v>2049</v>
      </c>
      <c r="AL49">
        <v>2050</v>
      </c>
    </row>
    <row r="50" spans="1:39" x14ac:dyDescent="0.25">
      <c r="A50" t="s">
        <v>16</v>
      </c>
      <c r="B50">
        <v>0.43726900000000002</v>
      </c>
      <c r="C50">
        <v>0.40548299999999998</v>
      </c>
      <c r="D50">
        <v>0.398198</v>
      </c>
      <c r="E50">
        <v>0.419095</v>
      </c>
      <c r="F50">
        <v>0.41217500000000001</v>
      </c>
      <c r="G50">
        <v>0.38730900000000001</v>
      </c>
      <c r="H50">
        <v>0.38108500000000001</v>
      </c>
      <c r="I50">
        <v>0.384745</v>
      </c>
      <c r="J50">
        <v>0.38712000000000002</v>
      </c>
      <c r="K50">
        <v>0.376859</v>
      </c>
      <c r="L50">
        <v>0.38178099999999998</v>
      </c>
      <c r="M50">
        <v>0.37845499999999999</v>
      </c>
      <c r="N50">
        <v>0.37876799999999999</v>
      </c>
      <c r="O50">
        <v>0.386436</v>
      </c>
      <c r="P50">
        <v>0.393343</v>
      </c>
      <c r="Q50">
        <v>0.40190700000000001</v>
      </c>
      <c r="R50">
        <v>0.40889700000000001</v>
      </c>
      <c r="S50">
        <v>0.41639700000000002</v>
      </c>
      <c r="T50">
        <v>0.42363499999999998</v>
      </c>
      <c r="U50">
        <v>0.42897200000000002</v>
      </c>
      <c r="V50">
        <v>0.43665599999999999</v>
      </c>
      <c r="W50">
        <v>0.445988</v>
      </c>
      <c r="X50">
        <v>0.45646599999999998</v>
      </c>
      <c r="Y50">
        <v>0.46734999999999999</v>
      </c>
      <c r="Z50">
        <v>0.47781400000000002</v>
      </c>
      <c r="AA50">
        <v>0.48830400000000002</v>
      </c>
      <c r="AB50">
        <v>0.49723499999999998</v>
      </c>
      <c r="AC50">
        <v>0.50550300000000004</v>
      </c>
      <c r="AD50">
        <v>0.51347600000000004</v>
      </c>
      <c r="AE50">
        <v>0.52247200000000005</v>
      </c>
      <c r="AF50">
        <v>0.52815999999999996</v>
      </c>
      <c r="AG50">
        <v>0.53451899999999997</v>
      </c>
      <c r="AH50">
        <v>0.54053099999999998</v>
      </c>
      <c r="AI50">
        <v>0.546933</v>
      </c>
      <c r="AJ50">
        <v>0.55312300000000003</v>
      </c>
      <c r="AK50">
        <v>0.55980600000000003</v>
      </c>
      <c r="AL50">
        <v>0.56730700000000001</v>
      </c>
    </row>
    <row r="51" spans="1:39" x14ac:dyDescent="0.25">
      <c r="A51" t="s">
        <v>17</v>
      </c>
      <c r="B51">
        <v>1.2615639999999999</v>
      </c>
      <c r="C51">
        <v>1.257233</v>
      </c>
      <c r="D51">
        <v>1.247347</v>
      </c>
      <c r="E51">
        <v>1.2219359999999999</v>
      </c>
      <c r="F51">
        <v>1.2579359999999999</v>
      </c>
      <c r="G51">
        <v>1.2375989999999999</v>
      </c>
      <c r="H51">
        <v>1.1806179999999999</v>
      </c>
      <c r="I51">
        <v>1.219376</v>
      </c>
      <c r="J51">
        <v>1.240745</v>
      </c>
      <c r="K51">
        <v>1.213789</v>
      </c>
      <c r="L51">
        <v>1.218146</v>
      </c>
      <c r="M51">
        <v>1.2341169999999999</v>
      </c>
      <c r="N51">
        <v>1.246075</v>
      </c>
      <c r="O51">
        <v>1.266815</v>
      </c>
      <c r="P51">
        <v>1.284789</v>
      </c>
      <c r="Q51">
        <v>1.3083229999999999</v>
      </c>
      <c r="R51">
        <v>1.3280289999999999</v>
      </c>
      <c r="S51">
        <v>1.3514839999999999</v>
      </c>
      <c r="T51">
        <v>1.3770210000000001</v>
      </c>
      <c r="U51">
        <v>1.4003779999999999</v>
      </c>
      <c r="V51">
        <v>1.4275929999999999</v>
      </c>
      <c r="W51">
        <v>1.4588859999999999</v>
      </c>
      <c r="X51">
        <v>1.4929079999999999</v>
      </c>
      <c r="Y51">
        <v>1.5283599999999999</v>
      </c>
      <c r="Z51">
        <v>1.562864</v>
      </c>
      <c r="AA51">
        <v>1.5978650000000001</v>
      </c>
      <c r="AB51">
        <v>1.6264989999999999</v>
      </c>
      <c r="AC51">
        <v>1.6513789999999999</v>
      </c>
      <c r="AD51">
        <v>1.6768259999999999</v>
      </c>
      <c r="AE51">
        <v>1.7011160000000001</v>
      </c>
      <c r="AF51">
        <v>1.724286</v>
      </c>
      <c r="AG51">
        <v>1.7481640000000001</v>
      </c>
      <c r="AH51">
        <v>1.77264</v>
      </c>
      <c r="AI51">
        <v>1.798138</v>
      </c>
      <c r="AJ51">
        <v>1.822513</v>
      </c>
      <c r="AK51">
        <v>1.8485009999999999</v>
      </c>
      <c r="AL51">
        <v>1.877138</v>
      </c>
    </row>
    <row r="52" spans="1:39" x14ac:dyDescent="0.25">
      <c r="A52" t="s">
        <v>18</v>
      </c>
      <c r="B52">
        <v>1.9450879999999999</v>
      </c>
      <c r="C52">
        <v>1.901926</v>
      </c>
      <c r="D52">
        <v>1.903078</v>
      </c>
      <c r="E52">
        <v>1.8735280000000001</v>
      </c>
      <c r="F52">
        <v>1.93746</v>
      </c>
      <c r="G52">
        <v>1.8820110000000001</v>
      </c>
      <c r="H52">
        <v>1.8408770000000001</v>
      </c>
      <c r="I52">
        <v>1.8927389999999999</v>
      </c>
      <c r="J52">
        <v>1.8875059999999999</v>
      </c>
      <c r="K52">
        <v>1.8712789999999999</v>
      </c>
      <c r="L52">
        <v>1.890334</v>
      </c>
      <c r="M52">
        <v>1.9267319999999999</v>
      </c>
      <c r="N52">
        <v>1.953937</v>
      </c>
      <c r="O52">
        <v>1.983582</v>
      </c>
      <c r="P52">
        <v>2.0028269999999999</v>
      </c>
      <c r="Q52">
        <v>2.0312039999999998</v>
      </c>
      <c r="R52">
        <v>2.058643</v>
      </c>
      <c r="S52">
        <v>2.0874280000000001</v>
      </c>
      <c r="T52">
        <v>2.127338</v>
      </c>
      <c r="U52">
        <v>2.16649</v>
      </c>
      <c r="V52">
        <v>2.215074</v>
      </c>
      <c r="W52">
        <v>2.2667540000000002</v>
      </c>
      <c r="X52">
        <v>2.31731</v>
      </c>
      <c r="Y52">
        <v>2.365294</v>
      </c>
      <c r="Z52">
        <v>2.4141240000000002</v>
      </c>
      <c r="AA52">
        <v>2.462866</v>
      </c>
      <c r="AB52">
        <v>2.5030030000000001</v>
      </c>
      <c r="AC52">
        <v>2.538894</v>
      </c>
      <c r="AD52">
        <v>2.576962</v>
      </c>
      <c r="AE52">
        <v>2.612412</v>
      </c>
      <c r="AF52">
        <v>2.6479180000000002</v>
      </c>
      <c r="AG52">
        <v>2.6821549999999998</v>
      </c>
      <c r="AH52">
        <v>2.7176999999999998</v>
      </c>
      <c r="AI52">
        <v>2.7536909999999999</v>
      </c>
      <c r="AJ52">
        <v>2.787811</v>
      </c>
      <c r="AK52">
        <v>2.8234349999999999</v>
      </c>
      <c r="AL52">
        <v>2.8617490000000001</v>
      </c>
    </row>
    <row r="53" spans="1:39" x14ac:dyDescent="0.25">
      <c r="A53" t="s">
        <v>19</v>
      </c>
      <c r="B53">
        <v>1.034027</v>
      </c>
      <c r="C53">
        <v>1.01352</v>
      </c>
      <c r="D53">
        <v>1.0083089999999999</v>
      </c>
      <c r="E53">
        <v>1.001619</v>
      </c>
      <c r="F53">
        <v>1.036197</v>
      </c>
      <c r="G53">
        <v>1.024921</v>
      </c>
      <c r="H53">
        <v>0.99642600000000003</v>
      </c>
      <c r="I53">
        <v>1.042556</v>
      </c>
      <c r="J53">
        <v>1.063728</v>
      </c>
      <c r="K53">
        <v>1.051239</v>
      </c>
      <c r="L53">
        <v>1.095126</v>
      </c>
      <c r="M53">
        <v>1.1117109999999999</v>
      </c>
      <c r="N53">
        <v>1.1064970000000001</v>
      </c>
      <c r="O53">
        <v>1.117486</v>
      </c>
      <c r="P53">
        <v>1.1240509999999999</v>
      </c>
      <c r="Q53">
        <v>1.138973</v>
      </c>
      <c r="R53">
        <v>1.1551309999999999</v>
      </c>
      <c r="S53">
        <v>1.1722790000000001</v>
      </c>
      <c r="T53">
        <v>1.1951080000000001</v>
      </c>
      <c r="U53">
        <v>1.219711</v>
      </c>
      <c r="V53">
        <v>1.24881</v>
      </c>
      <c r="W53">
        <v>1.2798529999999999</v>
      </c>
      <c r="X53">
        <v>1.3094110000000001</v>
      </c>
      <c r="Y53">
        <v>1.3374159999999999</v>
      </c>
      <c r="Z53">
        <v>1.3657820000000001</v>
      </c>
      <c r="AA53">
        <v>1.393084</v>
      </c>
      <c r="AB53">
        <v>1.4163209999999999</v>
      </c>
      <c r="AC53">
        <v>1.438831</v>
      </c>
      <c r="AD53">
        <v>1.46322</v>
      </c>
      <c r="AE53">
        <v>1.4859610000000001</v>
      </c>
      <c r="AF53">
        <v>1.5087029999999999</v>
      </c>
      <c r="AG53">
        <v>1.530038</v>
      </c>
      <c r="AH53">
        <v>1.551183</v>
      </c>
      <c r="AI53">
        <v>1.5733410000000001</v>
      </c>
      <c r="AJ53">
        <v>1.5959000000000001</v>
      </c>
      <c r="AK53">
        <v>1.6198319999999999</v>
      </c>
      <c r="AL53">
        <v>1.645796</v>
      </c>
    </row>
    <row r="54" spans="1:39" x14ac:dyDescent="0.25">
      <c r="A54" t="s">
        <v>20</v>
      </c>
      <c r="B54">
        <v>2.721409</v>
      </c>
      <c r="C54">
        <v>2.7156850000000001</v>
      </c>
      <c r="D54">
        <v>2.724898</v>
      </c>
      <c r="E54">
        <v>2.6724929999999998</v>
      </c>
      <c r="F54">
        <v>2.7742580000000001</v>
      </c>
      <c r="G54">
        <v>2.7764600000000002</v>
      </c>
      <c r="H54">
        <v>2.6909990000000001</v>
      </c>
      <c r="I54">
        <v>2.806508</v>
      </c>
      <c r="J54">
        <v>2.8885930000000002</v>
      </c>
      <c r="K54">
        <v>2.8723990000000001</v>
      </c>
      <c r="L54">
        <v>2.9444180000000002</v>
      </c>
      <c r="M54">
        <v>2.9727190000000001</v>
      </c>
      <c r="N54">
        <v>3.0005739999999999</v>
      </c>
      <c r="O54">
        <v>3.0443600000000002</v>
      </c>
      <c r="P54">
        <v>3.07992</v>
      </c>
      <c r="Q54">
        <v>3.1296879999999998</v>
      </c>
      <c r="R54">
        <v>3.1765159999999999</v>
      </c>
      <c r="S54">
        <v>3.2239969999999998</v>
      </c>
      <c r="T54">
        <v>3.2795519999999998</v>
      </c>
      <c r="U54">
        <v>3.3346520000000002</v>
      </c>
      <c r="V54">
        <v>3.393656</v>
      </c>
      <c r="W54">
        <v>3.4553150000000001</v>
      </c>
      <c r="X54">
        <v>3.5213640000000002</v>
      </c>
      <c r="Y54">
        <v>3.592295</v>
      </c>
      <c r="Z54">
        <v>3.666039</v>
      </c>
      <c r="AA54">
        <v>3.7412570000000001</v>
      </c>
      <c r="AB54">
        <v>3.8066070000000001</v>
      </c>
      <c r="AC54">
        <v>3.8650920000000002</v>
      </c>
      <c r="AD54">
        <v>3.9236339999999998</v>
      </c>
      <c r="AE54">
        <v>3.9804550000000001</v>
      </c>
      <c r="AF54">
        <v>4.034745</v>
      </c>
      <c r="AG54">
        <v>4.088241</v>
      </c>
      <c r="AH54">
        <v>4.1398320000000002</v>
      </c>
      <c r="AI54">
        <v>4.1939770000000003</v>
      </c>
      <c r="AJ54">
        <v>4.250883</v>
      </c>
      <c r="AK54">
        <v>4.3117840000000003</v>
      </c>
      <c r="AL54">
        <v>4.377999</v>
      </c>
    </row>
    <row r="55" spans="1:39" x14ac:dyDescent="0.25">
      <c r="A55" t="s">
        <v>21</v>
      </c>
      <c r="B55">
        <v>1.0894999999999999</v>
      </c>
      <c r="C55">
        <v>1.048214</v>
      </c>
      <c r="D55">
        <v>1.037183</v>
      </c>
      <c r="E55">
        <v>1.0051589999999999</v>
      </c>
      <c r="F55">
        <v>1.0586169999999999</v>
      </c>
      <c r="G55">
        <v>1.0520480000000001</v>
      </c>
      <c r="H55">
        <v>1.000632</v>
      </c>
      <c r="I55">
        <v>1.0454159999999999</v>
      </c>
      <c r="J55">
        <v>1.062254</v>
      </c>
      <c r="K55">
        <v>1.056535</v>
      </c>
      <c r="L55">
        <v>1.061458</v>
      </c>
      <c r="M55">
        <v>1.060494</v>
      </c>
      <c r="N55">
        <v>1.0899669999999999</v>
      </c>
      <c r="O55">
        <v>1.107305</v>
      </c>
      <c r="P55">
        <v>1.118965</v>
      </c>
      <c r="Q55">
        <v>1.130288</v>
      </c>
      <c r="R55">
        <v>1.14211</v>
      </c>
      <c r="S55">
        <v>1.15493</v>
      </c>
      <c r="T55">
        <v>1.1706810000000001</v>
      </c>
      <c r="U55">
        <v>1.1872119999999999</v>
      </c>
      <c r="V55">
        <v>1.207171</v>
      </c>
      <c r="W55">
        <v>1.2271069999999999</v>
      </c>
      <c r="X55">
        <v>1.249198</v>
      </c>
      <c r="Y55">
        <v>1.2712330000000001</v>
      </c>
      <c r="Z55">
        <v>1.2938890000000001</v>
      </c>
      <c r="AA55">
        <v>1.3158669999999999</v>
      </c>
      <c r="AB55">
        <v>1.3333410000000001</v>
      </c>
      <c r="AC55">
        <v>1.3488869999999999</v>
      </c>
      <c r="AD55">
        <v>1.3659939999999999</v>
      </c>
      <c r="AE55">
        <v>1.380881</v>
      </c>
      <c r="AF55">
        <v>1.3939010000000001</v>
      </c>
      <c r="AG55">
        <v>1.4066320000000001</v>
      </c>
      <c r="AH55">
        <v>1.4198679999999999</v>
      </c>
      <c r="AI55">
        <v>1.437006</v>
      </c>
      <c r="AJ55">
        <v>1.455327</v>
      </c>
      <c r="AK55">
        <v>1.47431</v>
      </c>
      <c r="AL55">
        <v>1.494313</v>
      </c>
    </row>
    <row r="56" spans="1:39" x14ac:dyDescent="0.25">
      <c r="A56" t="s">
        <v>22</v>
      </c>
      <c r="B56">
        <v>2.0289950000000001</v>
      </c>
      <c r="C56">
        <v>2.04359</v>
      </c>
      <c r="D56">
        <v>2.027431</v>
      </c>
      <c r="E56">
        <v>2.0209489999999999</v>
      </c>
      <c r="F56">
        <v>2.118776</v>
      </c>
      <c r="G56">
        <v>2.156085</v>
      </c>
      <c r="H56">
        <v>2.0690740000000001</v>
      </c>
      <c r="I56">
        <v>2.1994479999999998</v>
      </c>
      <c r="J56">
        <v>2.2924389999999999</v>
      </c>
      <c r="K56">
        <v>2.2318229999999999</v>
      </c>
      <c r="L56">
        <v>2.3549180000000001</v>
      </c>
      <c r="M56">
        <v>2.4065639999999999</v>
      </c>
      <c r="N56">
        <v>2.4451329999999998</v>
      </c>
      <c r="O56">
        <v>2.483009</v>
      </c>
      <c r="P56">
        <v>2.5070760000000001</v>
      </c>
      <c r="Q56">
        <v>2.543431</v>
      </c>
      <c r="R56">
        <v>2.5805940000000001</v>
      </c>
      <c r="S56">
        <v>2.6185040000000002</v>
      </c>
      <c r="T56">
        <v>2.6661250000000001</v>
      </c>
      <c r="U56">
        <v>2.7171430000000001</v>
      </c>
      <c r="V56">
        <v>2.7796259999999999</v>
      </c>
      <c r="W56">
        <v>2.844347</v>
      </c>
      <c r="X56">
        <v>2.9148429999999999</v>
      </c>
      <c r="Y56">
        <v>2.9876469999999999</v>
      </c>
      <c r="Z56">
        <v>3.0523920000000002</v>
      </c>
      <c r="AA56">
        <v>3.1160329999999998</v>
      </c>
      <c r="AB56">
        <v>3.1649280000000002</v>
      </c>
      <c r="AC56">
        <v>3.208663</v>
      </c>
      <c r="AD56">
        <v>3.258553</v>
      </c>
      <c r="AE56">
        <v>3.3075800000000002</v>
      </c>
      <c r="AF56">
        <v>3.3526069999999999</v>
      </c>
      <c r="AG56">
        <v>3.3954970000000002</v>
      </c>
      <c r="AH56">
        <v>3.438437</v>
      </c>
      <c r="AI56">
        <v>3.4874450000000001</v>
      </c>
      <c r="AJ56">
        <v>3.5414669999999999</v>
      </c>
      <c r="AK56">
        <v>3.5987830000000001</v>
      </c>
      <c r="AL56">
        <v>3.6590349999999998</v>
      </c>
    </row>
    <row r="57" spans="1:39" x14ac:dyDescent="0.25">
      <c r="A57" t="s">
        <v>23</v>
      </c>
      <c r="B57">
        <v>0.91947100000000004</v>
      </c>
      <c r="C57">
        <v>0.92200199999999999</v>
      </c>
      <c r="D57">
        <v>0.93084999999999996</v>
      </c>
      <c r="E57">
        <v>0.94208800000000004</v>
      </c>
      <c r="F57">
        <v>0.95075900000000002</v>
      </c>
      <c r="G57">
        <v>0.94692200000000004</v>
      </c>
      <c r="H57">
        <v>0.95487599999999995</v>
      </c>
      <c r="I57">
        <v>0.99485800000000002</v>
      </c>
      <c r="J57">
        <v>1.013285</v>
      </c>
      <c r="K57">
        <v>0.99757399999999996</v>
      </c>
      <c r="L57">
        <v>1.0591999999999999</v>
      </c>
      <c r="M57">
        <v>1.0634729999999999</v>
      </c>
      <c r="N57">
        <v>1.0801430000000001</v>
      </c>
      <c r="O57">
        <v>1.1020289999999999</v>
      </c>
      <c r="P57">
        <v>1.1207659999999999</v>
      </c>
      <c r="Q57">
        <v>1.1483840000000001</v>
      </c>
      <c r="R57">
        <v>1.178326</v>
      </c>
      <c r="S57">
        <v>1.2102409999999999</v>
      </c>
      <c r="T57">
        <v>1.2481720000000001</v>
      </c>
      <c r="U57">
        <v>1.2902439999999999</v>
      </c>
      <c r="V57">
        <v>1.3374889999999999</v>
      </c>
      <c r="W57">
        <v>1.4159660000000001</v>
      </c>
      <c r="X57">
        <v>1.464572</v>
      </c>
      <c r="Y57">
        <v>1.5060549999999999</v>
      </c>
      <c r="Z57">
        <v>1.5331630000000001</v>
      </c>
      <c r="AA57">
        <v>1.5610040000000001</v>
      </c>
      <c r="AB57">
        <v>1.601586</v>
      </c>
      <c r="AC57">
        <v>1.639853</v>
      </c>
      <c r="AD57">
        <v>1.6797310000000001</v>
      </c>
      <c r="AE57">
        <v>1.718982</v>
      </c>
      <c r="AF57">
        <v>1.7553479999999999</v>
      </c>
      <c r="AG57">
        <v>1.793641</v>
      </c>
      <c r="AH57">
        <v>1.832576</v>
      </c>
      <c r="AI57">
        <v>1.8721779999999999</v>
      </c>
      <c r="AJ57">
        <v>1.9105049999999999</v>
      </c>
      <c r="AK57">
        <v>1.951532</v>
      </c>
      <c r="AL57">
        <v>1.9957199999999999</v>
      </c>
    </row>
    <row r="58" spans="1:39" x14ac:dyDescent="0.25">
      <c r="A58" t="s">
        <v>24</v>
      </c>
      <c r="B58">
        <v>1.407589</v>
      </c>
      <c r="C58">
        <v>1.405651</v>
      </c>
      <c r="D58">
        <v>1.392471</v>
      </c>
      <c r="E58">
        <v>1.416317</v>
      </c>
      <c r="F58">
        <v>1.4052960000000001</v>
      </c>
      <c r="G58">
        <v>1.374198</v>
      </c>
      <c r="H58">
        <v>1.3763799999999999</v>
      </c>
      <c r="I58">
        <v>1.3907799999999999</v>
      </c>
      <c r="J58">
        <v>1.4234020000000001</v>
      </c>
      <c r="K58">
        <v>1.3903749999999999</v>
      </c>
      <c r="L58">
        <v>1.426696</v>
      </c>
      <c r="M58">
        <v>1.406174</v>
      </c>
      <c r="N58">
        <v>1.4212450000000001</v>
      </c>
      <c r="O58">
        <v>1.4607779999999999</v>
      </c>
      <c r="P58">
        <v>1.49166</v>
      </c>
      <c r="Q58">
        <v>1.526915</v>
      </c>
      <c r="R58">
        <v>1.5616650000000001</v>
      </c>
      <c r="S58">
        <v>1.595086</v>
      </c>
      <c r="T58">
        <v>1.6387039999999999</v>
      </c>
      <c r="U58">
        <v>1.6874899999999999</v>
      </c>
      <c r="V58">
        <v>1.7419279999999999</v>
      </c>
      <c r="W58">
        <v>1.8292600000000001</v>
      </c>
      <c r="X58">
        <v>1.8845229999999999</v>
      </c>
      <c r="Y58">
        <v>1.9351860000000001</v>
      </c>
      <c r="Z58">
        <v>1.9713579999999999</v>
      </c>
      <c r="AA58">
        <v>2.009442</v>
      </c>
      <c r="AB58">
        <v>2.057534</v>
      </c>
      <c r="AC58">
        <v>2.1019139999999998</v>
      </c>
      <c r="AD58">
        <v>2.1460520000000001</v>
      </c>
      <c r="AE58">
        <v>2.1874959999999999</v>
      </c>
      <c r="AF58">
        <v>2.2255539999999998</v>
      </c>
      <c r="AG58">
        <v>2.26573</v>
      </c>
      <c r="AH58">
        <v>2.3039849999999999</v>
      </c>
      <c r="AI58">
        <v>2.3449339999999999</v>
      </c>
      <c r="AJ58">
        <v>2.3827150000000001</v>
      </c>
      <c r="AK58">
        <v>2.4229579999999999</v>
      </c>
      <c r="AL58">
        <v>2.4659200000000001</v>
      </c>
    </row>
    <row r="59" spans="1:39" x14ac:dyDescent="0.25">
      <c r="A59" t="s">
        <v>25</v>
      </c>
      <c r="B59">
        <v>12.844911</v>
      </c>
      <c r="C59">
        <v>12.713305</v>
      </c>
      <c r="D59">
        <v>12.669765</v>
      </c>
      <c r="E59">
        <v>12.573183</v>
      </c>
      <c r="F59">
        <v>12.951473</v>
      </c>
      <c r="G59">
        <v>12.837552000000001</v>
      </c>
      <c r="H59">
        <v>12.490966</v>
      </c>
      <c r="I59">
        <v>12.976428</v>
      </c>
      <c r="J59">
        <v>13.259072</v>
      </c>
      <c r="K59">
        <v>13.061870000000001</v>
      </c>
      <c r="L59">
        <v>13.432078000000001</v>
      </c>
      <c r="M59">
        <v>13.560438</v>
      </c>
      <c r="N59">
        <v>13.722339</v>
      </c>
      <c r="O59">
        <v>13.9518</v>
      </c>
      <c r="P59">
        <v>14.123396</v>
      </c>
      <c r="Q59">
        <v>14.359113000000001</v>
      </c>
      <c r="R59">
        <v>14.589911000000001</v>
      </c>
      <c r="S59">
        <v>14.830347</v>
      </c>
      <c r="T59">
        <v>15.126334999999999</v>
      </c>
      <c r="U59">
        <v>15.432292</v>
      </c>
      <c r="V59">
        <v>15.788002000000001</v>
      </c>
      <c r="W59">
        <v>16.223476000000002</v>
      </c>
      <c r="X59">
        <v>16.610593999999999</v>
      </c>
      <c r="Y59">
        <v>16.990835000000001</v>
      </c>
      <c r="Z59">
        <v>17.337425</v>
      </c>
      <c r="AA59">
        <v>17.685724</v>
      </c>
      <c r="AB59">
        <v>18.007052999999999</v>
      </c>
      <c r="AC59">
        <v>18.299015000000001</v>
      </c>
      <c r="AD59">
        <v>18.604445999999999</v>
      </c>
      <c r="AE59">
        <v>18.897358000000001</v>
      </c>
      <c r="AF59">
        <v>19.171223000000001</v>
      </c>
      <c r="AG59">
        <v>19.444614000000001</v>
      </c>
      <c r="AH59">
        <v>19.716750999999999</v>
      </c>
      <c r="AI59">
        <v>20.007641</v>
      </c>
      <c r="AJ59">
        <v>20.300242999999998</v>
      </c>
      <c r="AK59">
        <v>20.610941</v>
      </c>
      <c r="AL59">
        <v>20.944974999999999</v>
      </c>
    </row>
    <row r="61" spans="1:39" x14ac:dyDescent="0.25">
      <c r="A61" s="1" t="s">
        <v>38</v>
      </c>
      <c r="B61" s="1">
        <v>2014</v>
      </c>
      <c r="C61" s="1">
        <v>2015</v>
      </c>
      <c r="D61" s="1">
        <v>2016</v>
      </c>
      <c r="E61" s="1">
        <v>2017</v>
      </c>
      <c r="F61" s="1">
        <v>2018</v>
      </c>
      <c r="G61" s="1">
        <v>2019</v>
      </c>
      <c r="H61" s="1">
        <v>2020</v>
      </c>
      <c r="I61" s="1">
        <v>2021</v>
      </c>
      <c r="J61" s="1">
        <v>2022</v>
      </c>
      <c r="K61" s="1">
        <v>2023</v>
      </c>
      <c r="L61" s="1">
        <v>2024</v>
      </c>
      <c r="M61" s="1">
        <v>2025</v>
      </c>
      <c r="N61" s="1">
        <v>2026</v>
      </c>
      <c r="O61" s="1">
        <v>2027</v>
      </c>
      <c r="P61" s="1">
        <v>2028</v>
      </c>
      <c r="Q61" s="1">
        <v>2029</v>
      </c>
      <c r="R61" s="1">
        <v>2030</v>
      </c>
      <c r="S61" s="1">
        <v>2031</v>
      </c>
      <c r="T61" s="1">
        <v>2032</v>
      </c>
      <c r="U61" s="1">
        <v>2033</v>
      </c>
      <c r="V61" s="1">
        <v>2034</v>
      </c>
      <c r="W61" s="1">
        <v>2035</v>
      </c>
      <c r="X61" s="1">
        <v>2036</v>
      </c>
      <c r="Y61" s="1">
        <v>2037</v>
      </c>
      <c r="Z61" s="1">
        <v>2038</v>
      </c>
      <c r="AA61" s="1">
        <v>2039</v>
      </c>
      <c r="AB61" s="1">
        <v>2040</v>
      </c>
      <c r="AC61" s="1">
        <v>2041</v>
      </c>
      <c r="AD61" s="1">
        <v>2042</v>
      </c>
      <c r="AE61" s="1">
        <v>2043</v>
      </c>
      <c r="AF61" s="1">
        <v>2044</v>
      </c>
      <c r="AG61" s="1">
        <v>2045</v>
      </c>
      <c r="AH61" s="1">
        <v>2046</v>
      </c>
      <c r="AI61" s="1">
        <v>2047</v>
      </c>
      <c r="AJ61" s="1">
        <v>2048</v>
      </c>
      <c r="AK61" s="1">
        <v>2049</v>
      </c>
      <c r="AL61" s="1">
        <v>2050</v>
      </c>
    </row>
    <row r="62" spans="1:39" x14ac:dyDescent="0.25">
      <c r="A62" t="s">
        <v>1</v>
      </c>
      <c r="B62" s="6">
        <v>2.78517E-3</v>
      </c>
      <c r="C62" s="6">
        <v>5.7806799999999998E-3</v>
      </c>
      <c r="D62" s="6">
        <v>8.7267899999999999E-3</v>
      </c>
      <c r="E62" s="6">
        <v>1.195686E-2</v>
      </c>
      <c r="F62" s="6">
        <v>1.39822E-2</v>
      </c>
      <c r="G62" s="6">
        <v>1.629253E-2</v>
      </c>
      <c r="H62" s="6">
        <v>1.9924280000000003E-2</v>
      </c>
      <c r="I62" s="6">
        <v>2.3596840000000001E-2</v>
      </c>
      <c r="J62" s="6">
        <v>2.7368409999999996E-2</v>
      </c>
      <c r="K62" s="6">
        <v>3.0992529999999997E-2</v>
      </c>
      <c r="L62" s="6">
        <v>3.5743140000000007E-2</v>
      </c>
      <c r="M62" s="6">
        <v>4.0332390000000003E-2</v>
      </c>
      <c r="N62" s="6">
        <v>4.4846999999999998E-2</v>
      </c>
      <c r="O62" s="6">
        <v>4.7660810000000005E-2</v>
      </c>
      <c r="P62" s="6">
        <v>4.9832189999999998E-2</v>
      </c>
      <c r="Q62" s="6">
        <v>5.1817959999999996E-2</v>
      </c>
      <c r="R62" s="6">
        <v>5.4085840000000003E-2</v>
      </c>
      <c r="S62" s="6">
        <v>5.6612599999999999E-2</v>
      </c>
      <c r="T62" s="6">
        <v>5.9457089999999997E-2</v>
      </c>
      <c r="U62" s="6">
        <v>6.3174999999999995E-2</v>
      </c>
      <c r="V62" s="6">
        <v>6.5691949999999999E-2</v>
      </c>
      <c r="W62" s="6">
        <v>6.7696820000000005E-2</v>
      </c>
      <c r="X62" s="6">
        <v>6.9572120000000015E-2</v>
      </c>
      <c r="Y62" s="6">
        <v>7.1346960000000001E-2</v>
      </c>
      <c r="Z62" s="6">
        <v>7.3287980000000003E-2</v>
      </c>
      <c r="AA62" s="6">
        <v>7.4985469999999999E-2</v>
      </c>
      <c r="AB62" s="6">
        <v>7.695304E-2</v>
      </c>
      <c r="AC62" s="5">
        <v>7.9046500000000006E-2</v>
      </c>
      <c r="AD62" s="5">
        <v>8.109226999999998E-2</v>
      </c>
      <c r="AE62" s="5">
        <v>8.2535990000000004E-2</v>
      </c>
      <c r="AF62" s="5">
        <v>8.5644229999999988E-2</v>
      </c>
      <c r="AG62" s="5">
        <v>8.7884039999999997E-2</v>
      </c>
      <c r="AH62" s="5">
        <v>9.0265250000000005E-2</v>
      </c>
      <c r="AI62" s="5">
        <v>9.2583890000000002E-2</v>
      </c>
      <c r="AJ62" s="5">
        <v>9.4835260000000005E-2</v>
      </c>
      <c r="AK62" s="5">
        <v>9.703123000000001E-2</v>
      </c>
      <c r="AL62" s="5">
        <v>9.90616E-2</v>
      </c>
      <c r="AM62" s="5"/>
    </row>
    <row r="63" spans="1:39" x14ac:dyDescent="0.25">
      <c r="A63" t="s">
        <v>2</v>
      </c>
      <c r="B63" s="6">
        <v>5.964370000000001E-3</v>
      </c>
      <c r="C63" s="6">
        <v>9.62381E-3</v>
      </c>
      <c r="D63" s="6">
        <v>1.2252819999999999E-2</v>
      </c>
      <c r="E63" s="6">
        <v>1.504372E-2</v>
      </c>
      <c r="F63" s="6">
        <v>1.8066020000000002E-2</v>
      </c>
      <c r="G63" s="6">
        <v>2.1735089999999999E-2</v>
      </c>
      <c r="H63" s="6">
        <v>2.4533790000000003E-2</v>
      </c>
      <c r="I63" s="6">
        <v>2.8815650000000002E-2</v>
      </c>
      <c r="J63" s="6">
        <v>3.4573930000000003E-2</v>
      </c>
      <c r="K63" s="6">
        <v>4.0230160000000008E-2</v>
      </c>
      <c r="L63" s="6">
        <v>4.5622349999999999E-2</v>
      </c>
      <c r="M63" s="6">
        <v>5.0794580000000013E-2</v>
      </c>
      <c r="N63" s="6">
        <v>5.5891939999999994E-2</v>
      </c>
      <c r="O63" s="6">
        <v>5.8994560000000001E-2</v>
      </c>
      <c r="P63" s="6">
        <v>6.1992139999999994E-2</v>
      </c>
      <c r="Q63" s="6">
        <v>6.4921010000000001E-2</v>
      </c>
      <c r="R63" s="6">
        <v>6.844045E-2</v>
      </c>
      <c r="S63" s="6">
        <v>7.2447170000000005E-2</v>
      </c>
      <c r="T63" s="6">
        <v>7.6205739999999994E-2</v>
      </c>
      <c r="U63" s="6">
        <v>8.0994449999999996E-2</v>
      </c>
      <c r="V63" s="6">
        <v>8.4751010000000002E-2</v>
      </c>
      <c r="W63" s="6">
        <v>8.7308179999999999E-2</v>
      </c>
      <c r="X63" s="6">
        <v>8.9419360000000003E-2</v>
      </c>
      <c r="Y63" s="6">
        <v>9.1334239999999997E-2</v>
      </c>
      <c r="Z63" s="6">
        <v>9.3673910000000013E-2</v>
      </c>
      <c r="AA63" s="6">
        <v>9.5286099999999999E-2</v>
      </c>
      <c r="AB63" s="6">
        <v>9.797721999999999E-2</v>
      </c>
      <c r="AC63" s="5">
        <v>0.10161664999999999</v>
      </c>
      <c r="AD63" s="5">
        <v>0.10456818</v>
      </c>
      <c r="AE63" s="5">
        <v>0.10758047</v>
      </c>
      <c r="AF63" s="5">
        <v>0.11097021999999998</v>
      </c>
      <c r="AG63" s="5">
        <v>0.1142097</v>
      </c>
      <c r="AH63" s="5">
        <v>0.11714402</v>
      </c>
      <c r="AI63" s="5">
        <v>0.12000716</v>
      </c>
      <c r="AJ63" s="5">
        <v>0.12309627000000001</v>
      </c>
      <c r="AK63" s="5">
        <v>0.12579493</v>
      </c>
      <c r="AL63" s="5">
        <v>0.12820968999999999</v>
      </c>
      <c r="AM63" s="5"/>
    </row>
    <row r="64" spans="1:39" x14ac:dyDescent="0.25">
      <c r="A64" t="s">
        <v>3</v>
      </c>
      <c r="B64" s="6">
        <v>4.6887000000000003E-4</v>
      </c>
      <c r="C64" s="6">
        <v>7.2126999999999998E-4</v>
      </c>
      <c r="D64" s="6">
        <v>8.7959000000000008E-4</v>
      </c>
      <c r="E64" s="6">
        <v>1.1823199999999997E-3</v>
      </c>
      <c r="F64" s="6">
        <v>1.6983600000000001E-3</v>
      </c>
      <c r="G64" s="6">
        <v>2.6995399999999998E-3</v>
      </c>
      <c r="H64" s="6">
        <v>4.8426299999999997E-3</v>
      </c>
      <c r="I64" s="6">
        <v>6.9325199999999984E-3</v>
      </c>
      <c r="J64" s="6">
        <v>8.7719200000000008E-3</v>
      </c>
      <c r="K64" s="6">
        <v>1.1245450000000002E-2</v>
      </c>
      <c r="L64" s="6">
        <v>1.3031040000000001E-2</v>
      </c>
      <c r="M64" s="6">
        <v>1.4793510000000001E-2</v>
      </c>
      <c r="N64" s="6">
        <v>1.6549899999999999E-2</v>
      </c>
      <c r="O64" s="6">
        <v>1.7779730000000001E-2</v>
      </c>
      <c r="P64" s="6">
        <v>1.9981870000000002E-2</v>
      </c>
      <c r="Q64" s="6">
        <v>2.1850149999999999E-2</v>
      </c>
      <c r="R64" s="6">
        <v>2.4598469999999997E-2</v>
      </c>
      <c r="S64" s="6">
        <v>2.8005879999999997E-2</v>
      </c>
      <c r="T64" s="6">
        <v>3.0301169999999999E-2</v>
      </c>
      <c r="U64" s="6">
        <v>3.3660059999999999E-2</v>
      </c>
      <c r="V64" s="6">
        <v>3.5407859999999999E-2</v>
      </c>
      <c r="W64" s="6">
        <v>3.6431989999999997E-2</v>
      </c>
      <c r="X64" s="6">
        <v>3.7366990000000003E-2</v>
      </c>
      <c r="Y64" s="6">
        <v>3.8572320000000007E-2</v>
      </c>
      <c r="Z64" s="6">
        <v>3.9707199999999998E-2</v>
      </c>
      <c r="AA64" s="6">
        <v>4.0769350000000003E-2</v>
      </c>
      <c r="AB64" s="6">
        <v>4.2487979999999995E-2</v>
      </c>
      <c r="AC64" s="5">
        <v>4.4776309999999993E-2</v>
      </c>
      <c r="AD64" s="5">
        <v>4.720133E-2</v>
      </c>
      <c r="AE64" s="5">
        <v>4.9660789999999989E-2</v>
      </c>
      <c r="AF64" s="5">
        <v>5.1762599999999992E-2</v>
      </c>
      <c r="AG64" s="5">
        <v>5.4124070000000003E-2</v>
      </c>
      <c r="AH64" s="5">
        <v>5.6620870000000004E-2</v>
      </c>
      <c r="AI64" s="5">
        <v>5.8813139999999993E-2</v>
      </c>
      <c r="AJ64" s="5">
        <v>6.1136420000000004E-2</v>
      </c>
      <c r="AK64" s="5">
        <v>6.3241759999999994E-2</v>
      </c>
      <c r="AL64" s="5">
        <v>6.522204999999999E-2</v>
      </c>
      <c r="AM64" s="5"/>
    </row>
    <row r="65" spans="1:39" x14ac:dyDescent="0.25">
      <c r="A65" t="s">
        <v>4</v>
      </c>
      <c r="B65" s="6">
        <v>4.4961000000000008E-4</v>
      </c>
      <c r="C65" s="6">
        <v>9.4156999999999997E-4</v>
      </c>
      <c r="D65" s="6">
        <v>1.42286E-3</v>
      </c>
      <c r="E65" s="6">
        <v>3.01469E-3</v>
      </c>
      <c r="F65" s="6">
        <v>4.7501499999999999E-3</v>
      </c>
      <c r="G65" s="6">
        <v>6.1811500000000007E-3</v>
      </c>
      <c r="H65" s="6">
        <v>7.0341299999999995E-3</v>
      </c>
      <c r="I65" s="6">
        <v>7.916949999999999E-3</v>
      </c>
      <c r="J65" s="6">
        <v>9.0620200000000005E-3</v>
      </c>
      <c r="K65" s="6">
        <v>1.0403620000000001E-2</v>
      </c>
      <c r="L65" s="6">
        <v>1.1885669999999999E-2</v>
      </c>
      <c r="M65" s="6">
        <v>1.3283730000000001E-2</v>
      </c>
      <c r="N65" s="6">
        <v>1.4672649999999997E-2</v>
      </c>
      <c r="O65" s="6">
        <v>1.5497409999999998E-2</v>
      </c>
      <c r="P65" s="6">
        <v>1.6832269999999996E-2</v>
      </c>
      <c r="Q65" s="6">
        <v>1.8022940000000001E-2</v>
      </c>
      <c r="R65" s="6">
        <v>1.9597930000000003E-2</v>
      </c>
      <c r="S65" s="6">
        <v>2.1676049999999995E-2</v>
      </c>
      <c r="T65" s="6">
        <v>2.3558160000000002E-2</v>
      </c>
      <c r="U65" s="6">
        <v>2.5193380000000005E-2</v>
      </c>
      <c r="V65" s="6">
        <v>2.622383E-2</v>
      </c>
      <c r="W65" s="6">
        <v>2.6737279999999999E-2</v>
      </c>
      <c r="X65" s="6">
        <v>2.7350480000000003E-2</v>
      </c>
      <c r="Y65" s="6">
        <v>2.8091010000000003E-2</v>
      </c>
      <c r="Z65" s="6">
        <v>2.8883369999999998E-2</v>
      </c>
      <c r="AA65" s="6">
        <v>3.0058499999999998E-2</v>
      </c>
      <c r="AB65" s="6">
        <v>3.1297890000000002E-2</v>
      </c>
      <c r="AC65" s="5">
        <v>3.2611840000000003E-2</v>
      </c>
      <c r="AD65" s="5">
        <v>3.3836940000000003E-2</v>
      </c>
      <c r="AE65" s="5">
        <v>3.5463309999999998E-2</v>
      </c>
      <c r="AF65" s="5">
        <v>3.6809629999999996E-2</v>
      </c>
      <c r="AG65" s="5">
        <v>3.8682789999999995E-2</v>
      </c>
      <c r="AH65" s="5">
        <v>4.0814530000000002E-2</v>
      </c>
      <c r="AI65" s="5">
        <v>4.2469239999999998E-2</v>
      </c>
      <c r="AJ65" s="5">
        <v>4.3820060000000001E-2</v>
      </c>
      <c r="AK65" s="5">
        <v>4.5047280000000002E-2</v>
      </c>
      <c r="AL65" s="5">
        <v>4.6166399999999996E-2</v>
      </c>
      <c r="AM65" s="5"/>
    </row>
    <row r="66" spans="1:39" x14ac:dyDescent="0.25">
      <c r="A66" t="s">
        <v>5</v>
      </c>
      <c r="B66" s="6">
        <v>1.6203999999999999E-3</v>
      </c>
      <c r="C66" s="6">
        <v>3.5144099999999999E-3</v>
      </c>
      <c r="D66" s="6">
        <v>5.5234699999999999E-3</v>
      </c>
      <c r="E66" s="6">
        <v>7.6000699999999996E-3</v>
      </c>
      <c r="F66" s="6">
        <v>9.5110899999999998E-3</v>
      </c>
      <c r="G66" s="6">
        <v>1.213289E-2</v>
      </c>
      <c r="H66" s="6">
        <v>1.558821E-2</v>
      </c>
      <c r="I66" s="6">
        <v>1.952075E-2</v>
      </c>
      <c r="J66" s="6">
        <v>2.5510280000000003E-2</v>
      </c>
      <c r="K66" s="6">
        <v>3.1346900000000004E-2</v>
      </c>
      <c r="L66" s="6">
        <v>3.6414019999999998E-2</v>
      </c>
      <c r="M66" s="6">
        <v>4.19888E-2</v>
      </c>
      <c r="N66" s="6">
        <v>4.7888400000000005E-2</v>
      </c>
      <c r="O66" s="6">
        <v>5.3301140000000004E-2</v>
      </c>
      <c r="P66" s="6">
        <v>5.922798E-2</v>
      </c>
      <c r="Q66" s="6">
        <v>6.6085409999999997E-2</v>
      </c>
      <c r="R66" s="6">
        <v>7.3264060000000006E-2</v>
      </c>
      <c r="S66" s="6">
        <v>8.1285350000000006E-2</v>
      </c>
      <c r="T66" s="6">
        <v>9.0157870000000001E-2</v>
      </c>
      <c r="U66" s="6">
        <v>9.9889039999999998E-2</v>
      </c>
      <c r="V66" s="6">
        <v>0.10916488000000001</v>
      </c>
      <c r="W66" s="6">
        <v>0.11688959</v>
      </c>
      <c r="X66" s="6">
        <v>0.12458115</v>
      </c>
      <c r="Y66" s="6">
        <v>0.13202406</v>
      </c>
      <c r="Z66" s="6">
        <v>0.13964836999999999</v>
      </c>
      <c r="AA66" s="6">
        <v>0.14730714</v>
      </c>
      <c r="AB66" s="6">
        <v>0.15616648</v>
      </c>
      <c r="AC66" s="5">
        <v>0.16597586</v>
      </c>
      <c r="AD66" s="5">
        <v>0.17589969000000003</v>
      </c>
      <c r="AE66" s="5">
        <v>0.18616577999999998</v>
      </c>
      <c r="AF66" s="5">
        <v>0.19695641</v>
      </c>
      <c r="AG66" s="5">
        <v>0.20835698000000002</v>
      </c>
      <c r="AH66" s="5">
        <v>0.22020656</v>
      </c>
      <c r="AI66" s="5">
        <v>0.23239719000000003</v>
      </c>
      <c r="AJ66" s="5">
        <v>0.24454616999999998</v>
      </c>
      <c r="AK66" s="5">
        <v>0.25666023999999998</v>
      </c>
      <c r="AL66" s="5">
        <v>0.26882939</v>
      </c>
      <c r="AM66" s="5"/>
    </row>
    <row r="67" spans="1:39" x14ac:dyDescent="0.25">
      <c r="A67" t="s">
        <v>6</v>
      </c>
      <c r="B67" s="6">
        <v>2.5253999999999999E-4</v>
      </c>
      <c r="C67" s="6">
        <v>3.5332000000000001E-4</v>
      </c>
      <c r="D67" s="6">
        <v>4.0601E-4</v>
      </c>
      <c r="E67" s="6">
        <v>5.1035000000000002E-4</v>
      </c>
      <c r="F67" s="6">
        <v>6.3669999999999992E-4</v>
      </c>
      <c r="G67" s="6">
        <v>7.1554999999999991E-4</v>
      </c>
      <c r="H67" s="6">
        <v>7.4224000000000013E-4</v>
      </c>
      <c r="I67" s="6">
        <v>8.0510999999999994E-4</v>
      </c>
      <c r="J67" s="6">
        <v>9.0030999999999998E-4</v>
      </c>
      <c r="K67" s="6">
        <v>9.9187999999999989E-4</v>
      </c>
      <c r="L67" s="6">
        <v>1.4431799999999999E-3</v>
      </c>
      <c r="M67" s="6">
        <v>1.9500800000000001E-3</v>
      </c>
      <c r="N67" s="6">
        <v>2.5016299999999999E-3</v>
      </c>
      <c r="O67" s="6">
        <v>3.0367800000000002E-3</v>
      </c>
      <c r="P67" s="6">
        <v>3.9488200000000005E-3</v>
      </c>
      <c r="Q67" s="6">
        <v>5.4299200000000004E-3</v>
      </c>
      <c r="R67" s="6">
        <v>7.0051399999999991E-3</v>
      </c>
      <c r="S67" s="6">
        <v>8.6358900000000002E-3</v>
      </c>
      <c r="T67" s="6">
        <v>1.0991389999999998E-2</v>
      </c>
      <c r="U67" s="6">
        <v>1.3165369999999999E-2</v>
      </c>
      <c r="V67" s="6">
        <v>1.4659409999999999E-2</v>
      </c>
      <c r="W67" s="6">
        <v>1.6275990000000001E-2</v>
      </c>
      <c r="X67" s="6">
        <v>1.7269669999999997E-2</v>
      </c>
      <c r="Y67" s="6">
        <v>1.850276E-2</v>
      </c>
      <c r="Z67" s="6">
        <v>1.9561949999999998E-2</v>
      </c>
      <c r="AA67" s="6">
        <v>2.0823320000000003E-2</v>
      </c>
      <c r="AB67" s="6">
        <v>2.2251649999999998E-2</v>
      </c>
      <c r="AC67" s="5">
        <v>2.3919450000000002E-2</v>
      </c>
      <c r="AD67" s="5">
        <v>2.571387E-2</v>
      </c>
      <c r="AE67" s="5">
        <v>2.8249150000000001E-2</v>
      </c>
      <c r="AF67" s="5">
        <v>3.0704569999999997E-2</v>
      </c>
      <c r="AG67" s="5">
        <v>3.3231999999999998E-2</v>
      </c>
      <c r="AH67" s="5">
        <v>3.5678640000000005E-2</v>
      </c>
      <c r="AI67" s="5">
        <v>3.7509169999999994E-2</v>
      </c>
      <c r="AJ67" s="5">
        <v>3.9128039999999996E-2</v>
      </c>
      <c r="AK67" s="5">
        <v>4.0768940000000004E-2</v>
      </c>
      <c r="AL67" s="5">
        <v>4.2522509999999999E-2</v>
      </c>
      <c r="AM67" s="5"/>
    </row>
    <row r="68" spans="1:39" x14ac:dyDescent="0.25">
      <c r="A68" t="s">
        <v>7</v>
      </c>
      <c r="B68" s="6">
        <v>2.3819999999999999E-4</v>
      </c>
      <c r="C68" s="6">
        <v>1.0326300000000001E-3</v>
      </c>
      <c r="D68" s="6">
        <v>1.6752E-3</v>
      </c>
      <c r="E68" s="6">
        <v>2.2929400000000003E-3</v>
      </c>
      <c r="F68" s="6">
        <v>3.5177500000000005E-3</v>
      </c>
      <c r="G68" s="6">
        <v>4.4950799999999994E-3</v>
      </c>
      <c r="H68" s="6">
        <v>6.25313E-3</v>
      </c>
      <c r="I68" s="6">
        <v>8.4903100000000009E-3</v>
      </c>
      <c r="J68" s="6">
        <v>1.2470189999999999E-2</v>
      </c>
      <c r="K68" s="6">
        <v>1.5686060000000002E-2</v>
      </c>
      <c r="L68" s="6">
        <v>1.859038E-2</v>
      </c>
      <c r="M68" s="6">
        <v>2.1761809999999999E-2</v>
      </c>
      <c r="N68" s="6">
        <v>2.5198959999999999E-2</v>
      </c>
      <c r="O68" s="6">
        <v>2.8579570000000002E-2</v>
      </c>
      <c r="P68" s="6">
        <v>3.2740239999999997E-2</v>
      </c>
      <c r="Q68" s="6">
        <v>3.7077659999999991E-2</v>
      </c>
      <c r="R68" s="6">
        <v>4.1984349999999997E-2</v>
      </c>
      <c r="S68" s="6">
        <v>4.7617719999999995E-2</v>
      </c>
      <c r="T68" s="6">
        <v>5.3085710000000001E-2</v>
      </c>
      <c r="U68" s="6">
        <v>5.8963979999999999E-2</v>
      </c>
      <c r="V68" s="6">
        <v>6.3867900000000005E-2</v>
      </c>
      <c r="W68" s="6">
        <v>6.817100999999999E-2</v>
      </c>
      <c r="X68" s="6">
        <v>7.245270999999999E-2</v>
      </c>
      <c r="Y68" s="6">
        <v>7.682383999999999E-2</v>
      </c>
      <c r="Z68" s="6">
        <v>8.1549969999999999E-2</v>
      </c>
      <c r="AA68" s="6">
        <v>8.636054E-2</v>
      </c>
      <c r="AB68" s="6">
        <v>9.1850070000000006E-2</v>
      </c>
      <c r="AC68" s="5">
        <v>9.7474130000000006E-2</v>
      </c>
      <c r="AD68" s="5">
        <v>0.10306485000000001</v>
      </c>
      <c r="AE68" s="5">
        <v>0.10867098</v>
      </c>
      <c r="AF68" s="5">
        <v>0.11448934</v>
      </c>
      <c r="AG68" s="5">
        <v>0.12077987</v>
      </c>
      <c r="AH68" s="5">
        <v>0.12697745999999999</v>
      </c>
      <c r="AI68" s="5">
        <v>0.13332651000000001</v>
      </c>
      <c r="AJ68" s="5">
        <v>0.13907584000000001</v>
      </c>
      <c r="AK68" s="5">
        <v>0.14522088999999999</v>
      </c>
      <c r="AL68" s="5">
        <v>0.15167127000000002</v>
      </c>
      <c r="AM68" s="5"/>
    </row>
    <row r="69" spans="1:39" x14ac:dyDescent="0.25">
      <c r="A69" t="s">
        <v>8</v>
      </c>
      <c r="B69" s="6">
        <v>3.2695299999999997E-3</v>
      </c>
      <c r="C69" s="6">
        <v>8.1618799999999998E-3</v>
      </c>
      <c r="D69" s="6">
        <v>1.081065E-2</v>
      </c>
      <c r="E69" s="6">
        <v>1.339974E-2</v>
      </c>
      <c r="F69" s="6">
        <v>1.6318359999999997E-2</v>
      </c>
      <c r="G69" s="6">
        <v>1.9819379999999998E-2</v>
      </c>
      <c r="H69" s="6">
        <v>2.5033989999999999E-2</v>
      </c>
      <c r="I69" s="6">
        <v>2.9966819999999998E-2</v>
      </c>
      <c r="J69" s="6">
        <v>3.5396699999999996E-2</v>
      </c>
      <c r="K69" s="6">
        <v>4.1022509999999998E-2</v>
      </c>
      <c r="L69" s="6">
        <v>4.5044440000000005E-2</v>
      </c>
      <c r="M69" s="6">
        <v>4.9318359999999999E-2</v>
      </c>
      <c r="N69" s="6">
        <v>5.3695520000000004E-2</v>
      </c>
      <c r="O69" s="6">
        <v>5.7232730000000002E-2</v>
      </c>
      <c r="P69" s="6">
        <v>6.0863449999999999E-2</v>
      </c>
      <c r="Q69" s="6">
        <v>6.4969840000000001E-2</v>
      </c>
      <c r="R69" s="6">
        <v>6.9578299999999996E-2</v>
      </c>
      <c r="S69" s="6">
        <v>7.4259480000000003E-2</v>
      </c>
      <c r="T69" s="6">
        <v>7.9925199999999988E-2</v>
      </c>
      <c r="U69" s="6">
        <v>8.5060650000000015E-2</v>
      </c>
      <c r="V69" s="6">
        <v>8.9840360000000008E-2</v>
      </c>
      <c r="W69" s="6">
        <v>9.4014700000000007E-2</v>
      </c>
      <c r="X69" s="6">
        <v>9.8400649999999992E-2</v>
      </c>
      <c r="Y69" s="6">
        <v>0.10396620999999999</v>
      </c>
      <c r="Z69" s="6">
        <v>0.10957735</v>
      </c>
      <c r="AA69" s="6">
        <v>0.11501691</v>
      </c>
      <c r="AB69" s="6">
        <v>0.1205104</v>
      </c>
      <c r="AC69" s="5">
        <v>0.12643198</v>
      </c>
      <c r="AD69" s="5">
        <v>0.13223091000000001</v>
      </c>
      <c r="AE69" s="5">
        <v>0.13806548000000002</v>
      </c>
      <c r="AF69" s="5">
        <v>0.14408613000000001</v>
      </c>
      <c r="AG69" s="5">
        <v>0.15032381</v>
      </c>
      <c r="AH69" s="5">
        <v>0.15632101000000001</v>
      </c>
      <c r="AI69" s="5">
        <v>0.16252231</v>
      </c>
      <c r="AJ69" s="5">
        <v>0.16908478999999998</v>
      </c>
      <c r="AK69" s="5">
        <v>0.17548508000000002</v>
      </c>
      <c r="AL69" s="5">
        <v>0.18188351999999999</v>
      </c>
      <c r="AM69" s="5"/>
    </row>
    <row r="70" spans="1:39" x14ac:dyDescent="0.25">
      <c r="A70" t="s">
        <v>9</v>
      </c>
      <c r="B70" s="6">
        <v>1.0179000000000001E-2</v>
      </c>
      <c r="C70" s="6">
        <v>2.8453630000000001E-2</v>
      </c>
      <c r="D70" s="6">
        <v>3.8389029999999998E-2</v>
      </c>
      <c r="E70" s="6">
        <v>4.7555480000000004E-2</v>
      </c>
      <c r="F70" s="6">
        <v>5.6582359999999991E-2</v>
      </c>
      <c r="G70" s="6">
        <v>6.5823560000000003E-2</v>
      </c>
      <c r="H70" s="6">
        <v>7.9711359999999995E-2</v>
      </c>
      <c r="I70" s="6">
        <v>9.1326340000000006E-2</v>
      </c>
      <c r="J70" s="6">
        <v>0.10085137999999999</v>
      </c>
      <c r="K70" s="6">
        <v>0.12388778</v>
      </c>
      <c r="L70" s="6">
        <v>0.14587085000000002</v>
      </c>
      <c r="M70" s="6">
        <v>0.16584446999999999</v>
      </c>
      <c r="N70" s="6">
        <v>0.18542918</v>
      </c>
      <c r="O70" s="6">
        <v>0.19984313000000001</v>
      </c>
      <c r="P70" s="6">
        <v>0.21322522999999999</v>
      </c>
      <c r="Q70" s="6">
        <v>0.22640701999999999</v>
      </c>
      <c r="R70" s="6">
        <v>0.24147772000000003</v>
      </c>
      <c r="S70" s="6">
        <v>0.25769578000000004</v>
      </c>
      <c r="T70" s="6">
        <v>0.27271028000000003</v>
      </c>
      <c r="U70" s="6">
        <v>0.28706702000000001</v>
      </c>
      <c r="V70" s="6">
        <v>0.30059345000000004</v>
      </c>
      <c r="W70" s="6">
        <v>0.31156977999999996</v>
      </c>
      <c r="X70" s="6">
        <v>0.32117310999999998</v>
      </c>
      <c r="Y70" s="6">
        <v>0.33123717999999996</v>
      </c>
      <c r="Z70" s="6">
        <v>0.34051959999999998</v>
      </c>
      <c r="AA70" s="6">
        <v>0.34868735000000001</v>
      </c>
      <c r="AB70" s="6">
        <v>0.35790972999999998</v>
      </c>
      <c r="AC70" s="5">
        <v>0.36727622000000004</v>
      </c>
      <c r="AD70" s="5">
        <v>0.37695377000000002</v>
      </c>
      <c r="AE70" s="5">
        <v>0.38677306999999994</v>
      </c>
      <c r="AF70" s="5">
        <v>0.39659046999999997</v>
      </c>
      <c r="AG70" s="5">
        <v>0.40636132000000003</v>
      </c>
      <c r="AH70" s="5">
        <v>0.41688583999999995</v>
      </c>
      <c r="AI70" s="5">
        <v>0.42583622999999998</v>
      </c>
      <c r="AJ70" s="5">
        <v>0.43581975000000006</v>
      </c>
      <c r="AK70" s="5">
        <v>0.44545426999999999</v>
      </c>
      <c r="AL70" s="5">
        <v>0.45539707999999995</v>
      </c>
      <c r="AM70" s="5"/>
    </row>
    <row r="71" spans="1:39" x14ac:dyDescent="0.25">
      <c r="A71" s="3" t="s">
        <v>10</v>
      </c>
      <c r="B71" s="6">
        <v>2.5227690000000004E-2</v>
      </c>
      <c r="C71" s="6">
        <v>5.8583200000000002E-2</v>
      </c>
      <c r="D71" s="6">
        <v>8.0086420000000005E-2</v>
      </c>
      <c r="E71" s="6">
        <v>0.10255617</v>
      </c>
      <c r="F71" s="6">
        <v>0.12506298999999999</v>
      </c>
      <c r="G71" s="6">
        <v>0.14989476999999998</v>
      </c>
      <c r="H71" s="6">
        <v>0.18366376000000004</v>
      </c>
      <c r="I71" s="6">
        <v>0.21737128999999999</v>
      </c>
      <c r="J71" s="6">
        <v>0.25490514000000003</v>
      </c>
      <c r="K71" s="6">
        <v>0.30580689</v>
      </c>
      <c r="L71" s="6">
        <v>0.35364507000000001</v>
      </c>
      <c r="M71" s="6">
        <v>0.40006773000000001</v>
      </c>
      <c r="N71" s="6">
        <v>0.44667518</v>
      </c>
      <c r="O71" s="6">
        <v>0.48192585999999998</v>
      </c>
      <c r="P71" s="6">
        <v>0.51864418999999995</v>
      </c>
      <c r="Q71" s="6">
        <v>0.55658191000000012</v>
      </c>
      <c r="R71" s="6">
        <v>0.60003226000000009</v>
      </c>
      <c r="S71" s="6">
        <v>0.64823591999999997</v>
      </c>
      <c r="T71" s="6">
        <v>0.69639261000000008</v>
      </c>
      <c r="U71" s="6">
        <v>0.74716894999999994</v>
      </c>
      <c r="V71" s="6">
        <v>0.79020064999999995</v>
      </c>
      <c r="W71" s="6">
        <v>0.82509533999999995</v>
      </c>
      <c r="X71" s="6">
        <v>0.85758623999999994</v>
      </c>
      <c r="Y71" s="6">
        <v>0.89189857999999989</v>
      </c>
      <c r="Z71" s="6">
        <v>0.92640970000000011</v>
      </c>
      <c r="AA71" s="6">
        <v>0.95929467999999996</v>
      </c>
      <c r="AB71" s="6">
        <v>0.99740446000000005</v>
      </c>
      <c r="AC71" s="5">
        <v>1.0391289400000001</v>
      </c>
      <c r="AD71" s="5">
        <v>1.0805618100000001</v>
      </c>
      <c r="AE71" s="5">
        <v>1.1231650199999998</v>
      </c>
      <c r="AF71" s="5">
        <v>1.1680135999999999</v>
      </c>
      <c r="AG71" s="5">
        <v>1.21395458</v>
      </c>
      <c r="AH71" s="5">
        <v>1.2609141799999999</v>
      </c>
      <c r="AI71" s="5">
        <v>1.3054648400000002</v>
      </c>
      <c r="AJ71" s="5">
        <v>1.3505426</v>
      </c>
      <c r="AK71" s="5">
        <v>1.39470462</v>
      </c>
      <c r="AL71" s="5">
        <v>1.43896351</v>
      </c>
      <c r="AM71" s="5"/>
    </row>
    <row r="73" spans="1:39" x14ac:dyDescent="0.25">
      <c r="A73" t="s">
        <v>42</v>
      </c>
    </row>
    <row r="74" spans="1:39" x14ac:dyDescent="0.25">
      <c r="A74" t="s">
        <v>15</v>
      </c>
      <c r="B74">
        <v>2014</v>
      </c>
      <c r="C74">
        <v>2015</v>
      </c>
      <c r="D74">
        <v>2016</v>
      </c>
      <c r="E74">
        <v>2017</v>
      </c>
      <c r="F74">
        <v>2018</v>
      </c>
      <c r="G74">
        <v>2019</v>
      </c>
      <c r="H74">
        <v>2020</v>
      </c>
      <c r="I74">
        <v>2021</v>
      </c>
      <c r="J74">
        <v>2022</v>
      </c>
      <c r="K74">
        <v>2023</v>
      </c>
      <c r="L74">
        <v>2024</v>
      </c>
      <c r="M74">
        <v>2025</v>
      </c>
      <c r="N74">
        <v>2026</v>
      </c>
      <c r="O74">
        <v>2027</v>
      </c>
      <c r="P74">
        <v>2028</v>
      </c>
      <c r="Q74">
        <v>2029</v>
      </c>
      <c r="R74">
        <v>2030</v>
      </c>
      <c r="S74">
        <v>2031</v>
      </c>
      <c r="T74">
        <v>2032</v>
      </c>
      <c r="U74">
        <v>2033</v>
      </c>
      <c r="V74">
        <v>2034</v>
      </c>
      <c r="W74">
        <v>2035</v>
      </c>
      <c r="X74">
        <v>2036</v>
      </c>
      <c r="Y74">
        <v>2037</v>
      </c>
      <c r="Z74">
        <v>2038</v>
      </c>
      <c r="AA74">
        <v>2039</v>
      </c>
      <c r="AB74">
        <v>2040</v>
      </c>
      <c r="AC74">
        <v>2041</v>
      </c>
      <c r="AD74">
        <v>2042</v>
      </c>
      <c r="AE74">
        <v>2043</v>
      </c>
      <c r="AF74">
        <v>2044</v>
      </c>
      <c r="AG74">
        <v>2045</v>
      </c>
      <c r="AH74">
        <v>2046</v>
      </c>
      <c r="AI74">
        <v>2047</v>
      </c>
      <c r="AJ74">
        <v>2048</v>
      </c>
      <c r="AK74">
        <v>2049</v>
      </c>
      <c r="AL74">
        <v>2050</v>
      </c>
    </row>
    <row r="75" spans="1:39" x14ac:dyDescent="0.25">
      <c r="A75" t="s">
        <v>1</v>
      </c>
      <c r="B75">
        <f>B62+B50</f>
        <v>0.44005417000000002</v>
      </c>
      <c r="C75">
        <f t="shared" ref="C75:AA75" si="3">C62+C50</f>
        <v>0.41126367999999996</v>
      </c>
      <c r="D75">
        <f t="shared" si="3"/>
        <v>0.40692478999999998</v>
      </c>
      <c r="E75">
        <f t="shared" si="3"/>
        <v>0.43105186000000001</v>
      </c>
      <c r="F75">
        <f t="shared" si="3"/>
        <v>0.42615720000000001</v>
      </c>
      <c r="G75">
        <f t="shared" si="3"/>
        <v>0.40360152999999999</v>
      </c>
      <c r="H75">
        <f t="shared" si="3"/>
        <v>0.40100928000000002</v>
      </c>
      <c r="I75">
        <f t="shared" si="3"/>
        <v>0.40834184000000001</v>
      </c>
      <c r="J75">
        <f t="shared" si="3"/>
        <v>0.41448841000000003</v>
      </c>
      <c r="K75">
        <f t="shared" si="3"/>
        <v>0.40785153000000002</v>
      </c>
      <c r="L75">
        <f t="shared" si="3"/>
        <v>0.41752413999999999</v>
      </c>
      <c r="M75">
        <f t="shared" si="3"/>
        <v>0.41878738999999998</v>
      </c>
      <c r="N75">
        <f t="shared" si="3"/>
        <v>0.42361499999999996</v>
      </c>
      <c r="O75">
        <f t="shared" si="3"/>
        <v>0.43409681</v>
      </c>
      <c r="P75">
        <f t="shared" si="3"/>
        <v>0.44317519</v>
      </c>
      <c r="Q75">
        <f t="shared" si="3"/>
        <v>0.45372496000000001</v>
      </c>
      <c r="R75">
        <f t="shared" si="3"/>
        <v>0.46298284000000001</v>
      </c>
      <c r="S75">
        <f t="shared" si="3"/>
        <v>0.47300960000000003</v>
      </c>
      <c r="T75">
        <f t="shared" si="3"/>
        <v>0.48309208999999997</v>
      </c>
      <c r="U75">
        <f t="shared" si="3"/>
        <v>0.492147</v>
      </c>
      <c r="V75">
        <f t="shared" si="3"/>
        <v>0.50234794999999999</v>
      </c>
      <c r="W75">
        <f t="shared" si="3"/>
        <v>0.51368482000000004</v>
      </c>
      <c r="X75">
        <f t="shared" si="3"/>
        <v>0.52603811999999994</v>
      </c>
      <c r="Y75">
        <f t="shared" si="3"/>
        <v>0.53869696</v>
      </c>
      <c r="Z75">
        <f t="shared" si="3"/>
        <v>0.55110197999999999</v>
      </c>
      <c r="AA75">
        <f t="shared" si="3"/>
        <v>0.56328946999999996</v>
      </c>
      <c r="AB75" s="5">
        <f>AB62+AB50</f>
        <v>0.57418804000000001</v>
      </c>
      <c r="AC75" s="5">
        <f t="shared" ref="AC75:AL75" si="4">AC62+AC50</f>
        <v>0.58454950000000006</v>
      </c>
      <c r="AD75" s="5">
        <f t="shared" si="4"/>
        <v>0.59456827000000001</v>
      </c>
      <c r="AE75" s="5">
        <f t="shared" si="4"/>
        <v>0.60500799000000005</v>
      </c>
      <c r="AF75" s="5">
        <f t="shared" si="4"/>
        <v>0.61380422999999995</v>
      </c>
      <c r="AG75" s="5">
        <f t="shared" si="4"/>
        <v>0.62240304000000002</v>
      </c>
      <c r="AH75" s="5">
        <f t="shared" si="4"/>
        <v>0.63079624999999995</v>
      </c>
      <c r="AI75" s="5">
        <f t="shared" si="4"/>
        <v>0.63951689</v>
      </c>
      <c r="AJ75" s="5">
        <f t="shared" si="4"/>
        <v>0.64795826000000001</v>
      </c>
      <c r="AK75" s="5">
        <f t="shared" si="4"/>
        <v>0.65683723000000005</v>
      </c>
      <c r="AL75" s="5">
        <f t="shared" si="4"/>
        <v>0.66636859999999998</v>
      </c>
    </row>
    <row r="76" spans="1:39" x14ac:dyDescent="0.25">
      <c r="A76" t="s">
        <v>2</v>
      </c>
      <c r="B76">
        <f t="shared" ref="B76:AB76" si="5">B63+B51</f>
        <v>1.26752837</v>
      </c>
      <c r="C76">
        <f t="shared" si="5"/>
        <v>1.2668568099999999</v>
      </c>
      <c r="D76">
        <f t="shared" si="5"/>
        <v>1.25959982</v>
      </c>
      <c r="E76">
        <f t="shared" si="5"/>
        <v>1.2369797199999999</v>
      </c>
      <c r="F76">
        <f t="shared" si="5"/>
        <v>1.27600202</v>
      </c>
      <c r="G76">
        <f t="shared" si="5"/>
        <v>1.2593340899999999</v>
      </c>
      <c r="H76">
        <f t="shared" si="5"/>
        <v>1.2051517899999999</v>
      </c>
      <c r="I76">
        <f t="shared" si="5"/>
        <v>1.2481916500000001</v>
      </c>
      <c r="J76">
        <f t="shared" si="5"/>
        <v>1.2753189300000001</v>
      </c>
      <c r="K76">
        <f t="shared" si="5"/>
        <v>1.2540191599999999</v>
      </c>
      <c r="L76">
        <f t="shared" si="5"/>
        <v>1.2637683499999999</v>
      </c>
      <c r="M76">
        <f t="shared" si="5"/>
        <v>1.2849115799999999</v>
      </c>
      <c r="N76">
        <f t="shared" si="5"/>
        <v>1.30196694</v>
      </c>
      <c r="O76">
        <f t="shared" si="5"/>
        <v>1.3258095599999999</v>
      </c>
      <c r="P76">
        <f t="shared" si="5"/>
        <v>1.34678114</v>
      </c>
      <c r="Q76">
        <f t="shared" si="5"/>
        <v>1.3732440099999998</v>
      </c>
      <c r="R76">
        <f t="shared" si="5"/>
        <v>1.3964694499999999</v>
      </c>
      <c r="S76">
        <f t="shared" si="5"/>
        <v>1.4239311699999999</v>
      </c>
      <c r="T76">
        <f t="shared" si="5"/>
        <v>1.4532267400000001</v>
      </c>
      <c r="U76">
        <f t="shared" si="5"/>
        <v>1.4813724499999998</v>
      </c>
      <c r="V76">
        <f t="shared" si="5"/>
        <v>1.5123440099999998</v>
      </c>
      <c r="W76">
        <f t="shared" si="5"/>
        <v>1.5461941799999999</v>
      </c>
      <c r="X76">
        <f t="shared" si="5"/>
        <v>1.5823273599999998</v>
      </c>
      <c r="Y76">
        <f t="shared" si="5"/>
        <v>1.6196942399999998</v>
      </c>
      <c r="Z76">
        <f t="shared" si="5"/>
        <v>1.6565379099999999</v>
      </c>
      <c r="AA76">
        <f t="shared" si="5"/>
        <v>1.6931511000000001</v>
      </c>
      <c r="AB76" s="5">
        <f t="shared" si="5"/>
        <v>1.7244762199999999</v>
      </c>
      <c r="AC76" s="5">
        <f t="shared" ref="AC76:AL76" si="6">AC63+AC51</f>
        <v>1.7529956499999999</v>
      </c>
      <c r="AD76" s="5">
        <f t="shared" si="6"/>
        <v>1.7813941799999999</v>
      </c>
      <c r="AE76" s="5">
        <f t="shared" si="6"/>
        <v>1.8086964700000001</v>
      </c>
      <c r="AF76" s="5">
        <f t="shared" si="6"/>
        <v>1.83525622</v>
      </c>
      <c r="AG76" s="5">
        <f t="shared" si="6"/>
        <v>1.8623737</v>
      </c>
      <c r="AH76" s="5">
        <f t="shared" si="6"/>
        <v>1.88978402</v>
      </c>
      <c r="AI76" s="5">
        <f t="shared" si="6"/>
        <v>1.9181451599999999</v>
      </c>
      <c r="AJ76" s="5">
        <f t="shared" si="6"/>
        <v>1.9456092700000001</v>
      </c>
      <c r="AK76" s="5">
        <f t="shared" si="6"/>
        <v>1.97429593</v>
      </c>
      <c r="AL76" s="5">
        <f t="shared" si="6"/>
        <v>2.0053476899999998</v>
      </c>
    </row>
    <row r="77" spans="1:39" x14ac:dyDescent="0.25">
      <c r="A77" t="s">
        <v>3</v>
      </c>
      <c r="B77">
        <f t="shared" ref="B77:AB77" si="7">B64+B52</f>
        <v>1.9455568699999999</v>
      </c>
      <c r="C77">
        <f t="shared" si="7"/>
        <v>1.9026472700000001</v>
      </c>
      <c r="D77">
        <f t="shared" si="7"/>
        <v>1.9039575900000001</v>
      </c>
      <c r="E77">
        <f t="shared" si="7"/>
        <v>1.8747103200000002</v>
      </c>
      <c r="F77">
        <f t="shared" si="7"/>
        <v>1.93915836</v>
      </c>
      <c r="G77">
        <f t="shared" si="7"/>
        <v>1.8847105400000002</v>
      </c>
      <c r="H77">
        <f t="shared" si="7"/>
        <v>1.8457196300000001</v>
      </c>
      <c r="I77">
        <f t="shared" si="7"/>
        <v>1.8996715200000001</v>
      </c>
      <c r="J77">
        <f t="shared" si="7"/>
        <v>1.89627792</v>
      </c>
      <c r="K77">
        <f t="shared" si="7"/>
        <v>1.88252445</v>
      </c>
      <c r="L77">
        <f t="shared" si="7"/>
        <v>1.90336504</v>
      </c>
      <c r="M77">
        <f t="shared" si="7"/>
        <v>1.94152551</v>
      </c>
      <c r="N77">
        <f t="shared" si="7"/>
        <v>1.9704869</v>
      </c>
      <c r="O77">
        <f t="shared" si="7"/>
        <v>2.0013617300000002</v>
      </c>
      <c r="P77">
        <f t="shared" si="7"/>
        <v>2.02280887</v>
      </c>
      <c r="Q77">
        <f t="shared" si="7"/>
        <v>2.0530541499999999</v>
      </c>
      <c r="R77">
        <f t="shared" si="7"/>
        <v>2.0832414699999999</v>
      </c>
      <c r="S77">
        <f t="shared" si="7"/>
        <v>2.1154338799999999</v>
      </c>
      <c r="T77">
        <f t="shared" si="7"/>
        <v>2.1576391699999999</v>
      </c>
      <c r="U77">
        <f t="shared" si="7"/>
        <v>2.2001500599999999</v>
      </c>
      <c r="V77">
        <f t="shared" si="7"/>
        <v>2.2504818599999998</v>
      </c>
      <c r="W77">
        <f t="shared" si="7"/>
        <v>2.3031859900000002</v>
      </c>
      <c r="X77">
        <f t="shared" si="7"/>
        <v>2.3546769900000002</v>
      </c>
      <c r="Y77">
        <f t="shared" si="7"/>
        <v>2.4038663200000001</v>
      </c>
      <c r="Z77">
        <f t="shared" si="7"/>
        <v>2.4538312000000002</v>
      </c>
      <c r="AA77">
        <f t="shared" si="7"/>
        <v>2.5036353500000001</v>
      </c>
      <c r="AB77" s="5">
        <f t="shared" si="7"/>
        <v>2.5454909800000003</v>
      </c>
      <c r="AC77" s="5">
        <f t="shared" ref="AC77:AL77" si="8">AC64+AC52</f>
        <v>2.58367031</v>
      </c>
      <c r="AD77" s="5">
        <f t="shared" si="8"/>
        <v>2.62416333</v>
      </c>
      <c r="AE77" s="5">
        <f t="shared" si="8"/>
        <v>2.6620727899999999</v>
      </c>
      <c r="AF77" s="5">
        <f t="shared" si="8"/>
        <v>2.6996806000000002</v>
      </c>
      <c r="AG77" s="5">
        <f t="shared" si="8"/>
        <v>2.7362790699999997</v>
      </c>
      <c r="AH77" s="5">
        <f t="shared" si="8"/>
        <v>2.7743208699999999</v>
      </c>
      <c r="AI77" s="5">
        <f t="shared" si="8"/>
        <v>2.8125041399999997</v>
      </c>
      <c r="AJ77" s="5">
        <f t="shared" si="8"/>
        <v>2.84894742</v>
      </c>
      <c r="AK77" s="5">
        <f t="shared" si="8"/>
        <v>2.8866767599999998</v>
      </c>
      <c r="AL77" s="5">
        <f t="shared" si="8"/>
        <v>2.9269710500000001</v>
      </c>
    </row>
    <row r="78" spans="1:39" x14ac:dyDescent="0.25">
      <c r="A78" t="s">
        <v>4</v>
      </c>
      <c r="B78">
        <f t="shared" ref="B78:AB78" si="9">B65+B53</f>
        <v>1.03447661</v>
      </c>
      <c r="C78">
        <f t="shared" si="9"/>
        <v>1.0144615699999999</v>
      </c>
      <c r="D78">
        <f t="shared" si="9"/>
        <v>1.0097318599999998</v>
      </c>
      <c r="E78">
        <f t="shared" si="9"/>
        <v>1.0046336900000001</v>
      </c>
      <c r="F78">
        <f t="shared" si="9"/>
        <v>1.04094715</v>
      </c>
      <c r="G78">
        <f t="shared" si="9"/>
        <v>1.0311021499999999</v>
      </c>
      <c r="H78">
        <f t="shared" si="9"/>
        <v>1.0034601300000001</v>
      </c>
      <c r="I78">
        <f t="shared" si="9"/>
        <v>1.0504729500000001</v>
      </c>
      <c r="J78">
        <f t="shared" si="9"/>
        <v>1.07279002</v>
      </c>
      <c r="K78">
        <f t="shared" si="9"/>
        <v>1.06164262</v>
      </c>
      <c r="L78">
        <f t="shared" si="9"/>
        <v>1.1070116700000001</v>
      </c>
      <c r="M78">
        <f t="shared" si="9"/>
        <v>1.1249947299999998</v>
      </c>
      <c r="N78">
        <f t="shared" si="9"/>
        <v>1.1211696500000001</v>
      </c>
      <c r="O78">
        <f t="shared" si="9"/>
        <v>1.13298341</v>
      </c>
      <c r="P78">
        <f t="shared" si="9"/>
        <v>1.14088327</v>
      </c>
      <c r="Q78">
        <f t="shared" si="9"/>
        <v>1.1569959400000001</v>
      </c>
      <c r="R78">
        <f t="shared" si="9"/>
        <v>1.1747289299999999</v>
      </c>
      <c r="S78">
        <f t="shared" si="9"/>
        <v>1.19395505</v>
      </c>
      <c r="T78">
        <f t="shared" si="9"/>
        <v>1.2186661600000002</v>
      </c>
      <c r="U78">
        <f t="shared" si="9"/>
        <v>1.2449043799999999</v>
      </c>
      <c r="V78">
        <f t="shared" si="9"/>
        <v>1.2750338299999999</v>
      </c>
      <c r="W78">
        <f t="shared" si="9"/>
        <v>1.30659028</v>
      </c>
      <c r="X78">
        <f t="shared" si="9"/>
        <v>1.3367614800000001</v>
      </c>
      <c r="Y78">
        <f t="shared" si="9"/>
        <v>1.36550701</v>
      </c>
      <c r="Z78">
        <f t="shared" si="9"/>
        <v>1.39466537</v>
      </c>
      <c r="AA78">
        <f t="shared" si="9"/>
        <v>1.4231425</v>
      </c>
      <c r="AB78" s="5">
        <f t="shared" si="9"/>
        <v>1.44761889</v>
      </c>
      <c r="AC78" s="5">
        <f t="shared" ref="AC78:AL78" si="10">AC65+AC53</f>
        <v>1.4714428399999999</v>
      </c>
      <c r="AD78" s="5">
        <f t="shared" si="10"/>
        <v>1.49705694</v>
      </c>
      <c r="AE78" s="5">
        <f t="shared" si="10"/>
        <v>1.52142431</v>
      </c>
      <c r="AF78" s="5">
        <f t="shared" si="10"/>
        <v>1.5455126299999999</v>
      </c>
      <c r="AG78" s="5">
        <f t="shared" si="10"/>
        <v>1.56872079</v>
      </c>
      <c r="AH78" s="5">
        <f t="shared" si="10"/>
        <v>1.59199753</v>
      </c>
      <c r="AI78" s="5">
        <f t="shared" si="10"/>
        <v>1.6158102400000001</v>
      </c>
      <c r="AJ78" s="5">
        <f t="shared" si="10"/>
        <v>1.6397200600000001</v>
      </c>
      <c r="AK78" s="5">
        <f t="shared" si="10"/>
        <v>1.6648792799999999</v>
      </c>
      <c r="AL78" s="5">
        <f t="shared" si="10"/>
        <v>1.6919624</v>
      </c>
    </row>
    <row r="79" spans="1:39" x14ac:dyDescent="0.25">
      <c r="A79" t="s">
        <v>5</v>
      </c>
      <c r="B79">
        <f t="shared" ref="B79:AB79" si="11">B66+B54</f>
        <v>2.7230294000000002</v>
      </c>
      <c r="C79">
        <f t="shared" si="11"/>
        <v>2.7191994100000003</v>
      </c>
      <c r="D79">
        <f t="shared" si="11"/>
        <v>2.73042147</v>
      </c>
      <c r="E79">
        <f t="shared" si="11"/>
        <v>2.6800930699999999</v>
      </c>
      <c r="F79">
        <f t="shared" si="11"/>
        <v>2.7837690900000003</v>
      </c>
      <c r="G79">
        <f t="shared" si="11"/>
        <v>2.7885928900000003</v>
      </c>
      <c r="H79">
        <f t="shared" si="11"/>
        <v>2.7065872100000004</v>
      </c>
      <c r="I79">
        <f t="shared" si="11"/>
        <v>2.8260287499999999</v>
      </c>
      <c r="J79">
        <f t="shared" si="11"/>
        <v>2.9141032800000004</v>
      </c>
      <c r="K79">
        <f t="shared" si="11"/>
        <v>2.9037459000000001</v>
      </c>
      <c r="L79">
        <f t="shared" si="11"/>
        <v>2.9808320200000002</v>
      </c>
      <c r="M79">
        <f t="shared" si="11"/>
        <v>3.0147078</v>
      </c>
      <c r="N79">
        <f t="shared" si="11"/>
        <v>3.0484624</v>
      </c>
      <c r="O79">
        <f t="shared" si="11"/>
        <v>3.09766114</v>
      </c>
      <c r="P79">
        <f t="shared" si="11"/>
        <v>3.1391479800000002</v>
      </c>
      <c r="Q79">
        <f t="shared" si="11"/>
        <v>3.1957734099999997</v>
      </c>
      <c r="R79">
        <f t="shared" si="11"/>
        <v>3.24978006</v>
      </c>
      <c r="S79">
        <f t="shared" si="11"/>
        <v>3.3052823499999997</v>
      </c>
      <c r="T79">
        <f t="shared" si="11"/>
        <v>3.3697098699999999</v>
      </c>
      <c r="U79">
        <f t="shared" si="11"/>
        <v>3.43454104</v>
      </c>
      <c r="V79">
        <f t="shared" si="11"/>
        <v>3.5028208799999998</v>
      </c>
      <c r="W79">
        <f t="shared" si="11"/>
        <v>3.5722045900000001</v>
      </c>
      <c r="X79">
        <f t="shared" si="11"/>
        <v>3.6459451500000002</v>
      </c>
      <c r="Y79">
        <f t="shared" si="11"/>
        <v>3.72431906</v>
      </c>
      <c r="Z79">
        <f t="shared" si="11"/>
        <v>3.8056873700000002</v>
      </c>
      <c r="AA79">
        <f t="shared" si="11"/>
        <v>3.8885641400000002</v>
      </c>
      <c r="AB79" s="5">
        <f t="shared" si="11"/>
        <v>3.9627734800000001</v>
      </c>
      <c r="AC79" s="5">
        <f t="shared" ref="AC79:AL79" si="12">AC66+AC54</f>
        <v>4.0310678600000003</v>
      </c>
      <c r="AD79" s="5">
        <f t="shared" si="12"/>
        <v>4.0995336899999995</v>
      </c>
      <c r="AE79" s="5">
        <f t="shared" si="12"/>
        <v>4.1666207799999997</v>
      </c>
      <c r="AF79" s="5">
        <f t="shared" si="12"/>
        <v>4.2317014100000003</v>
      </c>
      <c r="AG79" s="5">
        <f t="shared" si="12"/>
        <v>4.2965979799999996</v>
      </c>
      <c r="AH79" s="5">
        <f t="shared" si="12"/>
        <v>4.3600385600000005</v>
      </c>
      <c r="AI79" s="5">
        <f t="shared" si="12"/>
        <v>4.4263741900000007</v>
      </c>
      <c r="AJ79" s="5">
        <f t="shared" si="12"/>
        <v>4.4954291699999995</v>
      </c>
      <c r="AK79" s="5">
        <f t="shared" si="12"/>
        <v>4.5684442399999998</v>
      </c>
      <c r="AL79" s="5">
        <f t="shared" si="12"/>
        <v>4.6468283899999996</v>
      </c>
    </row>
    <row r="80" spans="1:39" x14ac:dyDescent="0.25">
      <c r="A80" t="s">
        <v>6</v>
      </c>
      <c r="B80">
        <f t="shared" ref="B80:AB80" si="13">B67+B55</f>
        <v>1.0897525399999999</v>
      </c>
      <c r="C80">
        <f t="shared" si="13"/>
        <v>1.0485673200000001</v>
      </c>
      <c r="D80">
        <f t="shared" si="13"/>
        <v>1.03758901</v>
      </c>
      <c r="E80">
        <f t="shared" si="13"/>
        <v>1.00566935</v>
      </c>
      <c r="F80">
        <f t="shared" si="13"/>
        <v>1.0592537</v>
      </c>
      <c r="G80">
        <f t="shared" si="13"/>
        <v>1.0527635500000001</v>
      </c>
      <c r="H80">
        <f t="shared" si="13"/>
        <v>1.0013742399999999</v>
      </c>
      <c r="I80">
        <f t="shared" si="13"/>
        <v>1.0462211099999998</v>
      </c>
      <c r="J80">
        <f t="shared" si="13"/>
        <v>1.06315431</v>
      </c>
      <c r="K80">
        <f t="shared" si="13"/>
        <v>1.0575268799999999</v>
      </c>
      <c r="L80">
        <f t="shared" si="13"/>
        <v>1.0629011800000001</v>
      </c>
      <c r="M80">
        <f t="shared" si="13"/>
        <v>1.0624440800000001</v>
      </c>
      <c r="N80">
        <f t="shared" si="13"/>
        <v>1.0924686299999999</v>
      </c>
      <c r="O80">
        <f t="shared" si="13"/>
        <v>1.1103417799999999</v>
      </c>
      <c r="P80">
        <f t="shared" si="13"/>
        <v>1.12291382</v>
      </c>
      <c r="Q80">
        <f t="shared" si="13"/>
        <v>1.13571792</v>
      </c>
      <c r="R80">
        <f t="shared" si="13"/>
        <v>1.1491151399999999</v>
      </c>
      <c r="S80">
        <f t="shared" si="13"/>
        <v>1.1635658900000001</v>
      </c>
      <c r="T80">
        <f t="shared" si="13"/>
        <v>1.1816723900000001</v>
      </c>
      <c r="U80">
        <f t="shared" si="13"/>
        <v>1.20037737</v>
      </c>
      <c r="V80">
        <f t="shared" si="13"/>
        <v>1.2218304099999999</v>
      </c>
      <c r="W80">
        <f t="shared" si="13"/>
        <v>1.24338299</v>
      </c>
      <c r="X80">
        <f t="shared" si="13"/>
        <v>1.2664676699999999</v>
      </c>
      <c r="Y80">
        <f t="shared" si="13"/>
        <v>1.2897357600000001</v>
      </c>
      <c r="Z80">
        <f t="shared" si="13"/>
        <v>1.31345095</v>
      </c>
      <c r="AA80">
        <f t="shared" si="13"/>
        <v>1.33669032</v>
      </c>
      <c r="AB80" s="5">
        <f t="shared" si="13"/>
        <v>1.3555926500000002</v>
      </c>
      <c r="AC80" s="5">
        <f t="shared" ref="AC80:AL80" si="14">AC67+AC55</f>
        <v>1.3728064499999999</v>
      </c>
      <c r="AD80" s="5">
        <f>AD67+AD55</f>
        <v>1.3917078699999998</v>
      </c>
      <c r="AE80" s="5">
        <f t="shared" si="14"/>
        <v>1.40913015</v>
      </c>
      <c r="AF80" s="5">
        <f t="shared" si="14"/>
        <v>1.42460557</v>
      </c>
      <c r="AG80" s="5">
        <f t="shared" si="14"/>
        <v>1.439864</v>
      </c>
      <c r="AH80" s="5">
        <f t="shared" si="14"/>
        <v>1.4555466399999999</v>
      </c>
      <c r="AI80" s="5">
        <f t="shared" si="14"/>
        <v>1.4745151700000001</v>
      </c>
      <c r="AJ80" s="5">
        <f t="shared" si="14"/>
        <v>1.4944550400000001</v>
      </c>
      <c r="AK80" s="5">
        <f t="shared" si="14"/>
        <v>1.51507894</v>
      </c>
      <c r="AL80" s="5">
        <f t="shared" si="14"/>
        <v>1.53683551</v>
      </c>
    </row>
    <row r="81" spans="1:38" x14ac:dyDescent="0.25">
      <c r="A81" t="s">
        <v>7</v>
      </c>
      <c r="B81">
        <f t="shared" ref="B81:AB81" si="15">B68+B56</f>
        <v>2.0292332000000002</v>
      </c>
      <c r="C81">
        <f t="shared" si="15"/>
        <v>2.0446226300000001</v>
      </c>
      <c r="D81">
        <f t="shared" si="15"/>
        <v>2.0291062000000002</v>
      </c>
      <c r="E81">
        <f t="shared" si="15"/>
        <v>2.0232419399999997</v>
      </c>
      <c r="F81">
        <f t="shared" si="15"/>
        <v>2.1222937499999999</v>
      </c>
      <c r="G81">
        <f t="shared" si="15"/>
        <v>2.1605800799999999</v>
      </c>
      <c r="H81">
        <f t="shared" si="15"/>
        <v>2.0753271300000002</v>
      </c>
      <c r="I81">
        <f t="shared" si="15"/>
        <v>2.2079383099999998</v>
      </c>
      <c r="J81">
        <f t="shared" si="15"/>
        <v>2.3049091900000001</v>
      </c>
      <c r="K81">
        <f t="shared" si="15"/>
        <v>2.2475090600000001</v>
      </c>
      <c r="L81">
        <f t="shared" si="15"/>
        <v>2.3735083800000001</v>
      </c>
      <c r="M81">
        <f t="shared" si="15"/>
        <v>2.42832581</v>
      </c>
      <c r="N81">
        <f t="shared" si="15"/>
        <v>2.4703319599999998</v>
      </c>
      <c r="O81">
        <f t="shared" si="15"/>
        <v>2.5115885700000002</v>
      </c>
      <c r="P81">
        <f t="shared" si="15"/>
        <v>2.5398162399999999</v>
      </c>
      <c r="Q81">
        <f t="shared" si="15"/>
        <v>2.58050866</v>
      </c>
      <c r="R81">
        <f t="shared" si="15"/>
        <v>2.6225783499999999</v>
      </c>
      <c r="S81">
        <f t="shared" si="15"/>
        <v>2.66612172</v>
      </c>
      <c r="T81">
        <f t="shared" si="15"/>
        <v>2.71921071</v>
      </c>
      <c r="U81">
        <f t="shared" si="15"/>
        <v>2.7761069800000002</v>
      </c>
      <c r="V81">
        <f t="shared" si="15"/>
        <v>2.8434938999999999</v>
      </c>
      <c r="W81">
        <f t="shared" si="15"/>
        <v>2.9125180099999999</v>
      </c>
      <c r="X81">
        <f t="shared" si="15"/>
        <v>2.9872957099999997</v>
      </c>
      <c r="Y81">
        <f t="shared" si="15"/>
        <v>3.0644708399999998</v>
      </c>
      <c r="Z81">
        <f t="shared" si="15"/>
        <v>3.1339419700000004</v>
      </c>
      <c r="AA81">
        <f t="shared" si="15"/>
        <v>3.2023935399999996</v>
      </c>
      <c r="AB81" s="5">
        <f t="shared" si="15"/>
        <v>3.2567780700000002</v>
      </c>
      <c r="AC81" s="5">
        <f t="shared" ref="AC81:AL81" si="16">AC68+AC56</f>
        <v>3.3061371300000002</v>
      </c>
      <c r="AD81" s="5">
        <f t="shared" si="16"/>
        <v>3.36161785</v>
      </c>
      <c r="AE81" s="5">
        <f t="shared" si="16"/>
        <v>3.41625098</v>
      </c>
      <c r="AF81" s="5">
        <f t="shared" si="16"/>
        <v>3.4670963399999999</v>
      </c>
      <c r="AG81" s="5">
        <f t="shared" si="16"/>
        <v>3.51627687</v>
      </c>
      <c r="AH81" s="5">
        <f t="shared" si="16"/>
        <v>3.56541446</v>
      </c>
      <c r="AI81" s="5">
        <f t="shared" si="16"/>
        <v>3.62077151</v>
      </c>
      <c r="AJ81" s="5">
        <f t="shared" si="16"/>
        <v>3.6805428399999998</v>
      </c>
      <c r="AK81" s="5">
        <f t="shared" si="16"/>
        <v>3.7440038900000001</v>
      </c>
      <c r="AL81" s="5">
        <f t="shared" si="16"/>
        <v>3.8107062699999998</v>
      </c>
    </row>
    <row r="82" spans="1:38" x14ac:dyDescent="0.25">
      <c r="A82" t="s">
        <v>8</v>
      </c>
      <c r="B82">
        <f t="shared" ref="B82:AB82" si="17">B69+B57</f>
        <v>0.92274053</v>
      </c>
      <c r="C82">
        <f t="shared" si="17"/>
        <v>0.93016387999999994</v>
      </c>
      <c r="D82">
        <f t="shared" si="17"/>
        <v>0.94166064999999999</v>
      </c>
      <c r="E82">
        <f t="shared" si="17"/>
        <v>0.95548774000000003</v>
      </c>
      <c r="F82">
        <f t="shared" si="17"/>
        <v>0.96707736</v>
      </c>
      <c r="G82">
        <f t="shared" si="17"/>
        <v>0.96674137999999998</v>
      </c>
      <c r="H82">
        <f t="shared" si="17"/>
        <v>0.9799099899999999</v>
      </c>
      <c r="I82">
        <f t="shared" si="17"/>
        <v>1.0248248200000001</v>
      </c>
      <c r="J82">
        <f t="shared" si="17"/>
        <v>1.0486816999999999</v>
      </c>
      <c r="K82">
        <f t="shared" si="17"/>
        <v>1.0385965099999999</v>
      </c>
      <c r="L82">
        <f t="shared" si="17"/>
        <v>1.10424444</v>
      </c>
      <c r="M82">
        <f t="shared" si="17"/>
        <v>1.1127913599999999</v>
      </c>
      <c r="N82">
        <f t="shared" si="17"/>
        <v>1.1338385200000001</v>
      </c>
      <c r="O82">
        <f t="shared" si="17"/>
        <v>1.1592617299999999</v>
      </c>
      <c r="P82">
        <f t="shared" si="17"/>
        <v>1.18162945</v>
      </c>
      <c r="Q82">
        <f t="shared" si="17"/>
        <v>1.2133538400000001</v>
      </c>
      <c r="R82">
        <f t="shared" si="17"/>
        <v>1.2479043000000001</v>
      </c>
      <c r="S82">
        <f t="shared" si="17"/>
        <v>1.2845004799999999</v>
      </c>
      <c r="T82">
        <f t="shared" si="17"/>
        <v>1.3280972</v>
      </c>
      <c r="U82">
        <f t="shared" si="17"/>
        <v>1.3753046499999999</v>
      </c>
      <c r="V82">
        <f t="shared" si="17"/>
        <v>1.4273293599999999</v>
      </c>
      <c r="W82">
        <f t="shared" si="17"/>
        <v>1.5099807000000001</v>
      </c>
      <c r="X82">
        <f t="shared" si="17"/>
        <v>1.5629726500000001</v>
      </c>
      <c r="Y82">
        <f t="shared" si="17"/>
        <v>1.61002121</v>
      </c>
      <c r="Z82">
        <f t="shared" si="17"/>
        <v>1.64274035</v>
      </c>
      <c r="AA82">
        <f t="shared" si="17"/>
        <v>1.6760209100000001</v>
      </c>
      <c r="AB82" s="5">
        <f t="shared" si="17"/>
        <v>1.7220963999999999</v>
      </c>
      <c r="AC82" s="5">
        <f t="shared" ref="AC82:AL82" si="18">AC69+AC57</f>
        <v>1.76628498</v>
      </c>
      <c r="AD82" s="5">
        <f t="shared" si="18"/>
        <v>1.8119619100000002</v>
      </c>
      <c r="AE82" s="5">
        <f t="shared" si="18"/>
        <v>1.8570474800000001</v>
      </c>
      <c r="AF82" s="5">
        <f t="shared" si="18"/>
        <v>1.8994341299999999</v>
      </c>
      <c r="AG82" s="5">
        <f t="shared" si="18"/>
        <v>1.94396481</v>
      </c>
      <c r="AH82" s="5">
        <f t="shared" si="18"/>
        <v>1.9888970100000001</v>
      </c>
      <c r="AI82" s="5">
        <f t="shared" si="18"/>
        <v>2.0347003099999998</v>
      </c>
      <c r="AJ82" s="5">
        <f t="shared" si="18"/>
        <v>2.07958979</v>
      </c>
      <c r="AK82" s="5">
        <f t="shared" si="18"/>
        <v>2.1270170799999999</v>
      </c>
      <c r="AL82" s="5">
        <f t="shared" si="18"/>
        <v>2.1776035199999999</v>
      </c>
    </row>
    <row r="83" spans="1:38" x14ac:dyDescent="0.25">
      <c r="A83" t="s">
        <v>9</v>
      </c>
      <c r="B83">
        <f t="shared" ref="B83:AB83" si="19">B70+B58</f>
        <v>1.4177679999999999</v>
      </c>
      <c r="C83">
        <f t="shared" si="19"/>
        <v>1.43410463</v>
      </c>
      <c r="D83">
        <f t="shared" si="19"/>
        <v>1.4308600300000001</v>
      </c>
      <c r="E83">
        <f t="shared" si="19"/>
        <v>1.46387248</v>
      </c>
      <c r="F83">
        <f t="shared" si="19"/>
        <v>1.46187836</v>
      </c>
      <c r="G83">
        <f t="shared" si="19"/>
        <v>1.4400215599999999</v>
      </c>
      <c r="H83">
        <f t="shared" si="19"/>
        <v>1.4560913599999998</v>
      </c>
      <c r="I83">
        <f t="shared" si="19"/>
        <v>1.4821063399999999</v>
      </c>
      <c r="J83">
        <f t="shared" si="19"/>
        <v>1.52425338</v>
      </c>
      <c r="K83">
        <f t="shared" si="19"/>
        <v>1.5142627799999999</v>
      </c>
      <c r="L83">
        <f t="shared" si="19"/>
        <v>1.5725668500000001</v>
      </c>
      <c r="M83">
        <f t="shared" si="19"/>
        <v>1.5720184699999999</v>
      </c>
      <c r="N83">
        <f t="shared" si="19"/>
        <v>1.6066741800000002</v>
      </c>
      <c r="O83">
        <f t="shared" si="19"/>
        <v>1.66062113</v>
      </c>
      <c r="P83">
        <f t="shared" si="19"/>
        <v>1.7048852299999999</v>
      </c>
      <c r="Q83">
        <f t="shared" si="19"/>
        <v>1.7533220199999999</v>
      </c>
      <c r="R83">
        <f t="shared" si="19"/>
        <v>1.8031427200000001</v>
      </c>
      <c r="S83">
        <f t="shared" si="19"/>
        <v>1.8527817799999999</v>
      </c>
      <c r="T83">
        <f t="shared" si="19"/>
        <v>1.91141428</v>
      </c>
      <c r="U83">
        <f t="shared" si="19"/>
        <v>1.97455702</v>
      </c>
      <c r="V83">
        <f t="shared" si="19"/>
        <v>2.0425214499999997</v>
      </c>
      <c r="W83">
        <f t="shared" si="19"/>
        <v>2.1408297800000002</v>
      </c>
      <c r="X83">
        <f t="shared" si="19"/>
        <v>2.2056961099999999</v>
      </c>
      <c r="Y83">
        <f t="shared" si="19"/>
        <v>2.2664231799999999</v>
      </c>
      <c r="Z83">
        <f t="shared" si="19"/>
        <v>2.3118775999999999</v>
      </c>
      <c r="AA83">
        <f t="shared" si="19"/>
        <v>2.35812935</v>
      </c>
      <c r="AB83" s="5">
        <f t="shared" si="19"/>
        <v>2.4154437299999998</v>
      </c>
      <c r="AC83" s="5">
        <f t="shared" ref="AC83:AL83" si="20">AC70+AC58</f>
        <v>2.4691902199999998</v>
      </c>
      <c r="AD83" s="5">
        <f t="shared" si="20"/>
        <v>2.5230057700000001</v>
      </c>
      <c r="AE83" s="5">
        <f t="shared" si="20"/>
        <v>2.5742690699999997</v>
      </c>
      <c r="AF83" s="5">
        <f t="shared" si="20"/>
        <v>2.6221444699999998</v>
      </c>
      <c r="AG83" s="5">
        <f t="shared" si="20"/>
        <v>2.6720913199999998</v>
      </c>
      <c r="AH83" s="5">
        <f t="shared" si="20"/>
        <v>2.7208708399999999</v>
      </c>
      <c r="AI83" s="5">
        <f t="shared" si="20"/>
        <v>2.7707702299999997</v>
      </c>
      <c r="AJ83" s="5">
        <f t="shared" si="20"/>
        <v>2.8185347500000004</v>
      </c>
      <c r="AK83" s="5">
        <f t="shared" si="20"/>
        <v>2.8684122699999999</v>
      </c>
      <c r="AL83" s="5">
        <f t="shared" si="20"/>
        <v>2.9213170800000001</v>
      </c>
    </row>
    <row r="84" spans="1:38" x14ac:dyDescent="0.25">
      <c r="A84" s="3" t="s">
        <v>10</v>
      </c>
      <c r="B84">
        <f t="shared" ref="B84:AB84" si="21">B71+B59</f>
        <v>12.870138689999999</v>
      </c>
      <c r="C84">
        <f t="shared" si="21"/>
        <v>12.771888199999999</v>
      </c>
      <c r="D84">
        <f t="shared" si="21"/>
        <v>12.749851420000001</v>
      </c>
      <c r="E84">
        <f t="shared" si="21"/>
        <v>12.67573917</v>
      </c>
      <c r="F84">
        <f t="shared" si="21"/>
        <v>13.07653599</v>
      </c>
      <c r="G84">
        <f t="shared" si="21"/>
        <v>12.98744677</v>
      </c>
      <c r="H84">
        <f t="shared" si="21"/>
        <v>12.67462976</v>
      </c>
      <c r="I84">
        <f t="shared" si="21"/>
        <v>13.193799290000001</v>
      </c>
      <c r="J84">
        <f t="shared" si="21"/>
        <v>13.51397714</v>
      </c>
      <c r="K84">
        <f t="shared" si="21"/>
        <v>13.36767689</v>
      </c>
      <c r="L84">
        <f t="shared" si="21"/>
        <v>13.785723070000001</v>
      </c>
      <c r="M84">
        <f t="shared" si="21"/>
        <v>13.96050573</v>
      </c>
      <c r="N84">
        <f t="shared" si="21"/>
        <v>14.16901418</v>
      </c>
      <c r="O84">
        <f t="shared" si="21"/>
        <v>14.433725860000001</v>
      </c>
      <c r="P84">
        <f t="shared" si="21"/>
        <v>14.642040189999999</v>
      </c>
      <c r="Q84">
        <f t="shared" si="21"/>
        <v>14.915694910000001</v>
      </c>
      <c r="R84">
        <f t="shared" si="21"/>
        <v>15.189943260000002</v>
      </c>
      <c r="S84">
        <f t="shared" si="21"/>
        <v>15.478582919999999</v>
      </c>
      <c r="T84">
        <f t="shared" si="21"/>
        <v>15.822727609999999</v>
      </c>
      <c r="U84">
        <f t="shared" si="21"/>
        <v>16.179460949999999</v>
      </c>
      <c r="V84">
        <f t="shared" si="21"/>
        <v>16.578202650000001</v>
      </c>
      <c r="W84">
        <f t="shared" si="21"/>
        <v>17.048571340000002</v>
      </c>
      <c r="X84">
        <f t="shared" si="21"/>
        <v>17.468180239999999</v>
      </c>
      <c r="Y84">
        <f t="shared" si="21"/>
        <v>17.88273358</v>
      </c>
      <c r="Z84">
        <f t="shared" si="21"/>
        <v>18.2638347</v>
      </c>
      <c r="AA84">
        <f t="shared" si="21"/>
        <v>18.64501868</v>
      </c>
      <c r="AB84" s="5">
        <f t="shared" si="21"/>
        <v>19.004457459999998</v>
      </c>
      <c r="AC84" s="5">
        <f t="shared" ref="AC84:AL84" si="22">AC71+AC59</f>
        <v>19.338143940000002</v>
      </c>
      <c r="AD84" s="5">
        <f t="shared" si="22"/>
        <v>19.685007809999998</v>
      </c>
      <c r="AE84" s="5">
        <f t="shared" si="22"/>
        <v>20.020523019999999</v>
      </c>
      <c r="AF84" s="5">
        <f t="shared" si="22"/>
        <v>20.3392366</v>
      </c>
      <c r="AG84" s="5">
        <f t="shared" si="22"/>
        <v>20.658568580000001</v>
      </c>
      <c r="AH84" s="5">
        <f t="shared" si="22"/>
        <v>20.977665179999999</v>
      </c>
      <c r="AI84" s="5">
        <f t="shared" si="22"/>
        <v>21.313105839999999</v>
      </c>
      <c r="AJ84" s="5">
        <f t="shared" si="22"/>
        <v>21.650785599999999</v>
      </c>
      <c r="AK84" s="5">
        <f t="shared" si="22"/>
        <v>22.005645619999999</v>
      </c>
      <c r="AL84" s="5">
        <f t="shared" si="22"/>
        <v>22.38393851</v>
      </c>
    </row>
    <row r="87" spans="1:38" ht="23.25" x14ac:dyDescent="0.35">
      <c r="A87" s="7" t="s">
        <v>13</v>
      </c>
    </row>
    <row r="88" spans="1:38" x14ac:dyDescent="0.25">
      <c r="A88" t="s">
        <v>46</v>
      </c>
      <c r="B88" t="s">
        <v>37</v>
      </c>
    </row>
    <row r="89" spans="1:38" x14ac:dyDescent="0.25">
      <c r="A89" t="s">
        <v>15</v>
      </c>
      <c r="B89">
        <v>2014</v>
      </c>
      <c r="C89">
        <v>2015</v>
      </c>
      <c r="D89">
        <v>2016</v>
      </c>
      <c r="E89">
        <v>2017</v>
      </c>
      <c r="F89">
        <v>2018</v>
      </c>
      <c r="G89">
        <v>2019</v>
      </c>
      <c r="H89">
        <v>2020</v>
      </c>
      <c r="I89">
        <v>2021</v>
      </c>
      <c r="J89">
        <v>2022</v>
      </c>
      <c r="K89">
        <v>2023</v>
      </c>
      <c r="L89">
        <v>2024</v>
      </c>
      <c r="M89">
        <v>2025</v>
      </c>
      <c r="N89">
        <v>2026</v>
      </c>
      <c r="O89">
        <v>2027</v>
      </c>
      <c r="P89">
        <v>2028</v>
      </c>
      <c r="Q89">
        <v>2029</v>
      </c>
      <c r="R89">
        <v>2030</v>
      </c>
      <c r="S89">
        <v>2031</v>
      </c>
      <c r="T89">
        <v>2032</v>
      </c>
      <c r="U89">
        <v>2033</v>
      </c>
      <c r="V89">
        <v>2034</v>
      </c>
      <c r="W89">
        <v>2035</v>
      </c>
      <c r="X89">
        <v>2036</v>
      </c>
      <c r="Y89">
        <v>2037</v>
      </c>
      <c r="Z89">
        <v>2038</v>
      </c>
      <c r="AA89">
        <v>2039</v>
      </c>
      <c r="AB89">
        <v>2040</v>
      </c>
      <c r="AC89">
        <v>2041</v>
      </c>
      <c r="AD89">
        <v>2042</v>
      </c>
      <c r="AE89">
        <v>2043</v>
      </c>
      <c r="AF89">
        <v>2044</v>
      </c>
      <c r="AG89">
        <v>2045</v>
      </c>
      <c r="AH89">
        <v>2046</v>
      </c>
      <c r="AI89">
        <v>2047</v>
      </c>
      <c r="AJ89">
        <v>2048</v>
      </c>
      <c r="AK89">
        <v>2049</v>
      </c>
      <c r="AL89">
        <v>2050</v>
      </c>
    </row>
    <row r="90" spans="1:38" x14ac:dyDescent="0.25">
      <c r="A90" t="s">
        <v>27</v>
      </c>
      <c r="B90">
        <v>0.43726900000000002</v>
      </c>
      <c r="C90">
        <v>0.40548400000000001</v>
      </c>
      <c r="D90">
        <v>0.398198</v>
      </c>
      <c r="E90">
        <v>0.419095</v>
      </c>
      <c r="F90">
        <v>0.41217599999999999</v>
      </c>
      <c r="G90">
        <v>0.38730999999999999</v>
      </c>
      <c r="H90">
        <v>0.38098599999999999</v>
      </c>
      <c r="I90">
        <v>0.38474599999999998</v>
      </c>
      <c r="J90">
        <v>0.38712299999999999</v>
      </c>
      <c r="K90">
        <v>0.37534299999999998</v>
      </c>
      <c r="L90">
        <v>0.38174200000000003</v>
      </c>
      <c r="M90">
        <v>0.37572</v>
      </c>
      <c r="N90">
        <v>0.37368000000000001</v>
      </c>
      <c r="O90">
        <v>0.37852000000000002</v>
      </c>
      <c r="P90">
        <v>0.38341799999999998</v>
      </c>
      <c r="Q90">
        <v>0.38959899999999997</v>
      </c>
      <c r="R90">
        <v>0.39484399999999997</v>
      </c>
      <c r="S90">
        <v>0.40045599999999998</v>
      </c>
      <c r="T90">
        <v>0.40646100000000002</v>
      </c>
      <c r="U90">
        <v>0.41243099999999999</v>
      </c>
      <c r="V90">
        <v>0.419707</v>
      </c>
      <c r="W90">
        <v>0.42662099999999997</v>
      </c>
      <c r="X90">
        <v>0.43505500000000003</v>
      </c>
      <c r="Y90">
        <v>0.44225500000000001</v>
      </c>
      <c r="Z90">
        <v>0.44998199999999999</v>
      </c>
      <c r="AA90">
        <v>0.45861499999999999</v>
      </c>
      <c r="AB90">
        <v>0.46621099999999999</v>
      </c>
      <c r="AC90">
        <v>0.47281899999999999</v>
      </c>
      <c r="AD90">
        <v>0.47898000000000002</v>
      </c>
      <c r="AE90">
        <v>0.48458099999999998</v>
      </c>
      <c r="AF90">
        <v>0.48954399999999998</v>
      </c>
      <c r="AG90">
        <v>0.494149</v>
      </c>
      <c r="AH90">
        <v>0.49841200000000002</v>
      </c>
      <c r="AI90">
        <v>0.50310999999999995</v>
      </c>
      <c r="AJ90">
        <v>0.50763199999999997</v>
      </c>
      <c r="AK90">
        <v>0.51189799999999996</v>
      </c>
      <c r="AL90">
        <v>0.516405</v>
      </c>
    </row>
    <row r="91" spans="1:38" x14ac:dyDescent="0.25">
      <c r="A91" t="s">
        <v>28</v>
      </c>
      <c r="B91">
        <v>1.2615639999999999</v>
      </c>
      <c r="C91">
        <v>1.2572350000000001</v>
      </c>
      <c r="D91">
        <v>1.2473460000000001</v>
      </c>
      <c r="E91">
        <v>1.2219370000000001</v>
      </c>
      <c r="F91">
        <v>1.2579419999999999</v>
      </c>
      <c r="G91">
        <v>1.237601</v>
      </c>
      <c r="H91">
        <v>1.179964</v>
      </c>
      <c r="I91">
        <v>1.219255</v>
      </c>
      <c r="J91">
        <v>1.240971</v>
      </c>
      <c r="K91">
        <v>1.2076789999999999</v>
      </c>
      <c r="L91">
        <v>1.2180070000000001</v>
      </c>
      <c r="M91">
        <v>1.223886</v>
      </c>
      <c r="N91">
        <v>1.22644</v>
      </c>
      <c r="O91">
        <v>1.2376659999999999</v>
      </c>
      <c r="P91">
        <v>1.24905</v>
      </c>
      <c r="Q91">
        <v>1.2646790000000001</v>
      </c>
      <c r="R91">
        <v>1.2790630000000001</v>
      </c>
      <c r="S91">
        <v>1.2952440000000001</v>
      </c>
      <c r="T91">
        <v>1.316238</v>
      </c>
      <c r="U91">
        <v>1.3355220000000001</v>
      </c>
      <c r="V91">
        <v>1.3591200000000001</v>
      </c>
      <c r="W91">
        <v>1.385629</v>
      </c>
      <c r="X91">
        <v>1.4134180000000001</v>
      </c>
      <c r="Y91">
        <v>1.439308</v>
      </c>
      <c r="Z91">
        <v>1.4648129999999999</v>
      </c>
      <c r="AA91">
        <v>1.492645</v>
      </c>
      <c r="AB91">
        <v>1.5172159999999999</v>
      </c>
      <c r="AC91">
        <v>1.538316</v>
      </c>
      <c r="AD91">
        <v>1.557739</v>
      </c>
      <c r="AE91">
        <v>1.5755479999999999</v>
      </c>
      <c r="AF91">
        <v>1.5906419999999999</v>
      </c>
      <c r="AG91">
        <v>1.606419</v>
      </c>
      <c r="AH91">
        <v>1.6223669999999999</v>
      </c>
      <c r="AI91">
        <v>1.6399710000000001</v>
      </c>
      <c r="AJ91">
        <v>1.6576930000000001</v>
      </c>
      <c r="AK91">
        <v>1.675435</v>
      </c>
      <c r="AL91">
        <v>1.694132</v>
      </c>
    </row>
    <row r="92" spans="1:38" x14ac:dyDescent="0.25">
      <c r="A92" t="s">
        <v>29</v>
      </c>
      <c r="B92">
        <v>1.9450890000000001</v>
      </c>
      <c r="C92">
        <v>1.90194</v>
      </c>
      <c r="D92">
        <v>1.903078</v>
      </c>
      <c r="E92">
        <v>1.873529</v>
      </c>
      <c r="F92">
        <v>1.9374709999999999</v>
      </c>
      <c r="G92">
        <v>1.8820079999999999</v>
      </c>
      <c r="H92">
        <v>1.840962</v>
      </c>
      <c r="I92">
        <v>1.8927099999999999</v>
      </c>
      <c r="J92">
        <v>1.887459</v>
      </c>
      <c r="K92">
        <v>1.8571690000000001</v>
      </c>
      <c r="L92">
        <v>1.890282</v>
      </c>
      <c r="M92">
        <v>1.90906</v>
      </c>
      <c r="N92">
        <v>1.917473</v>
      </c>
      <c r="O92">
        <v>1.9308209999999999</v>
      </c>
      <c r="P92">
        <v>1.9421949999999999</v>
      </c>
      <c r="Q92">
        <v>1.9585889999999999</v>
      </c>
      <c r="R92">
        <v>1.976221</v>
      </c>
      <c r="S92">
        <v>1.992597</v>
      </c>
      <c r="T92">
        <v>2.020756</v>
      </c>
      <c r="U92">
        <v>2.0498249999999998</v>
      </c>
      <c r="V92">
        <v>2.087351</v>
      </c>
      <c r="W92">
        <v>2.1270319999999998</v>
      </c>
      <c r="X92">
        <v>2.1672850000000001</v>
      </c>
      <c r="Y92">
        <v>2.1988279999999998</v>
      </c>
      <c r="Z92">
        <v>2.2355689999999999</v>
      </c>
      <c r="AA92">
        <v>2.2722410000000002</v>
      </c>
      <c r="AB92">
        <v>2.3071649999999999</v>
      </c>
      <c r="AC92">
        <v>2.337224</v>
      </c>
      <c r="AD92">
        <v>2.365939</v>
      </c>
      <c r="AE92">
        <v>2.3923429999999999</v>
      </c>
      <c r="AF92">
        <v>2.4173629999999999</v>
      </c>
      <c r="AG92">
        <v>2.4411670000000001</v>
      </c>
      <c r="AH92">
        <v>2.4653670000000001</v>
      </c>
      <c r="AI92">
        <v>2.4886020000000002</v>
      </c>
      <c r="AJ92">
        <v>2.5093519999999998</v>
      </c>
      <c r="AK92">
        <v>2.5308280000000001</v>
      </c>
      <c r="AL92">
        <v>2.554548</v>
      </c>
    </row>
    <row r="93" spans="1:38" x14ac:dyDescent="0.25">
      <c r="A93" t="s">
        <v>30</v>
      </c>
      <c r="B93">
        <v>1.0340279999999999</v>
      </c>
      <c r="C93">
        <v>1.0135270000000001</v>
      </c>
      <c r="D93">
        <v>1.0083089999999999</v>
      </c>
      <c r="E93">
        <v>1.001619</v>
      </c>
      <c r="F93">
        <v>1.0362020000000001</v>
      </c>
      <c r="G93">
        <v>1.0249200000000001</v>
      </c>
      <c r="H93">
        <v>0.99648499999999995</v>
      </c>
      <c r="I93">
        <v>1.0425439999999999</v>
      </c>
      <c r="J93">
        <v>1.0636939999999999</v>
      </c>
      <c r="K93">
        <v>1.0438229999999999</v>
      </c>
      <c r="L93">
        <v>1.0951070000000001</v>
      </c>
      <c r="M93">
        <v>1.1020300000000001</v>
      </c>
      <c r="N93">
        <v>1.086233</v>
      </c>
      <c r="O93">
        <v>1.088938</v>
      </c>
      <c r="P93">
        <v>1.091367</v>
      </c>
      <c r="Q93">
        <v>1.1003769999999999</v>
      </c>
      <c r="R93">
        <v>1.1105050000000001</v>
      </c>
      <c r="S93">
        <v>1.122123</v>
      </c>
      <c r="T93">
        <v>1.1387309999999999</v>
      </c>
      <c r="U93">
        <v>1.157483</v>
      </c>
      <c r="V93">
        <v>1.1802459999999999</v>
      </c>
      <c r="W93">
        <v>1.2048829999999999</v>
      </c>
      <c r="X93">
        <v>1.2290019999999999</v>
      </c>
      <c r="Y93">
        <v>1.249995</v>
      </c>
      <c r="Z93">
        <v>1.272643</v>
      </c>
      <c r="AA93">
        <v>1.2934939999999999</v>
      </c>
      <c r="AB93">
        <v>1.313493</v>
      </c>
      <c r="AC93">
        <v>1.332152</v>
      </c>
      <c r="AD93">
        <v>1.3513059999999999</v>
      </c>
      <c r="AE93">
        <v>1.369667</v>
      </c>
      <c r="AF93">
        <v>1.387024</v>
      </c>
      <c r="AG93">
        <v>1.4011880000000001</v>
      </c>
      <c r="AH93">
        <v>1.4162360000000001</v>
      </c>
      <c r="AI93">
        <v>1.432437</v>
      </c>
      <c r="AJ93">
        <v>1.4486270000000001</v>
      </c>
      <c r="AK93">
        <v>1.465603</v>
      </c>
      <c r="AL93">
        <v>1.4836020000000001</v>
      </c>
    </row>
    <row r="94" spans="1:38" x14ac:dyDescent="0.25">
      <c r="A94" t="s">
        <v>31</v>
      </c>
      <c r="B94">
        <v>2.721409</v>
      </c>
      <c r="C94">
        <v>2.7156820000000002</v>
      </c>
      <c r="D94">
        <v>2.7248960000000002</v>
      </c>
      <c r="E94">
        <v>2.6724920000000001</v>
      </c>
      <c r="F94">
        <v>2.774251</v>
      </c>
      <c r="G94">
        <v>2.7764639999999998</v>
      </c>
      <c r="H94">
        <v>2.6911260000000001</v>
      </c>
      <c r="I94">
        <v>2.8064550000000001</v>
      </c>
      <c r="J94">
        <v>2.8885700000000001</v>
      </c>
      <c r="K94">
        <v>2.8604750000000001</v>
      </c>
      <c r="L94">
        <v>2.9442919999999999</v>
      </c>
      <c r="M94">
        <v>2.948569</v>
      </c>
      <c r="N94">
        <v>2.953757</v>
      </c>
      <c r="O94">
        <v>2.9795609999999999</v>
      </c>
      <c r="P94">
        <v>3.0034960000000002</v>
      </c>
      <c r="Q94">
        <v>3.0399500000000002</v>
      </c>
      <c r="R94">
        <v>3.0705260000000001</v>
      </c>
      <c r="S94">
        <v>3.1009850000000001</v>
      </c>
      <c r="T94">
        <v>3.140555</v>
      </c>
      <c r="U94">
        <v>3.1811129999999999</v>
      </c>
      <c r="V94">
        <v>3.2223609999999998</v>
      </c>
      <c r="W94">
        <v>3.2683110000000002</v>
      </c>
      <c r="X94">
        <v>3.3200430000000001</v>
      </c>
      <c r="Y94">
        <v>3.3764419999999999</v>
      </c>
      <c r="Z94">
        <v>3.433627</v>
      </c>
      <c r="AA94">
        <v>3.4931800000000002</v>
      </c>
      <c r="AB94">
        <v>3.548813</v>
      </c>
      <c r="AC94">
        <v>3.5983369999999999</v>
      </c>
      <c r="AD94">
        <v>3.6433749999999998</v>
      </c>
      <c r="AE94">
        <v>3.6840670000000002</v>
      </c>
      <c r="AF94">
        <v>3.7206510000000002</v>
      </c>
      <c r="AG94">
        <v>3.7564669999999998</v>
      </c>
      <c r="AH94">
        <v>3.793361</v>
      </c>
      <c r="AI94">
        <v>3.8321839999999998</v>
      </c>
      <c r="AJ94">
        <v>3.8746960000000001</v>
      </c>
      <c r="AK94">
        <v>3.9197160000000002</v>
      </c>
      <c r="AL94">
        <v>3.9689899999999998</v>
      </c>
    </row>
    <row r="95" spans="1:38" x14ac:dyDescent="0.25">
      <c r="A95" t="s">
        <v>32</v>
      </c>
      <c r="B95">
        <v>1.089499</v>
      </c>
      <c r="C95">
        <v>1.048211</v>
      </c>
      <c r="D95">
        <v>1.0371809999999999</v>
      </c>
      <c r="E95">
        <v>1.005158</v>
      </c>
      <c r="F95">
        <v>1.0586120000000001</v>
      </c>
      <c r="G95">
        <v>1.0520510000000001</v>
      </c>
      <c r="H95">
        <v>1.0007680000000001</v>
      </c>
      <c r="I95">
        <v>1.045393</v>
      </c>
      <c r="J95">
        <v>1.062303</v>
      </c>
      <c r="K95">
        <v>1.0487040000000001</v>
      </c>
      <c r="L95">
        <v>1.061428</v>
      </c>
      <c r="M95">
        <v>1.0497289999999999</v>
      </c>
      <c r="N95">
        <v>1.06742</v>
      </c>
      <c r="O95">
        <v>1.0772679999999999</v>
      </c>
      <c r="P95">
        <v>1.0862620000000001</v>
      </c>
      <c r="Q95">
        <v>1.0930299999999999</v>
      </c>
      <c r="R95">
        <v>1.09781</v>
      </c>
      <c r="S95">
        <v>1.1035999999999999</v>
      </c>
      <c r="T95">
        <v>1.11233</v>
      </c>
      <c r="U95">
        <v>1.1216919999999999</v>
      </c>
      <c r="V95">
        <v>1.1330690000000001</v>
      </c>
      <c r="W95">
        <v>1.1459790000000001</v>
      </c>
      <c r="X95">
        <v>1.1577040000000001</v>
      </c>
      <c r="Y95">
        <v>1.1714640000000001</v>
      </c>
      <c r="Z95">
        <v>1.184955</v>
      </c>
      <c r="AA95">
        <v>1.1990179999999999</v>
      </c>
      <c r="AB95">
        <v>1.212026</v>
      </c>
      <c r="AC95">
        <v>1.2244839999999999</v>
      </c>
      <c r="AD95">
        <v>1.2367159999999999</v>
      </c>
      <c r="AE95">
        <v>1.2466870000000001</v>
      </c>
      <c r="AF95">
        <v>1.2542500000000001</v>
      </c>
      <c r="AG95">
        <v>1.261487</v>
      </c>
      <c r="AH95">
        <v>1.268546</v>
      </c>
      <c r="AI95">
        <v>1.2754920000000001</v>
      </c>
      <c r="AJ95">
        <v>1.284117</v>
      </c>
      <c r="AK95">
        <v>1.2949200000000001</v>
      </c>
      <c r="AL95">
        <v>1.307242</v>
      </c>
    </row>
    <row r="96" spans="1:38" x14ac:dyDescent="0.25">
      <c r="A96" t="s">
        <v>33</v>
      </c>
      <c r="B96">
        <v>2.0289950000000001</v>
      </c>
      <c r="C96">
        <v>2.0435859999999999</v>
      </c>
      <c r="D96">
        <v>2.0274290000000001</v>
      </c>
      <c r="E96">
        <v>2.020947</v>
      </c>
      <c r="F96">
        <v>2.1187659999999999</v>
      </c>
      <c r="G96">
        <v>2.156091</v>
      </c>
      <c r="H96">
        <v>2.0693139999999999</v>
      </c>
      <c r="I96">
        <v>2.199373</v>
      </c>
      <c r="J96">
        <v>2.2923749999999998</v>
      </c>
      <c r="K96">
        <v>2.2150919999999998</v>
      </c>
      <c r="L96">
        <v>2.354835</v>
      </c>
      <c r="M96">
        <v>2.3825660000000002</v>
      </c>
      <c r="N96">
        <v>2.392941</v>
      </c>
      <c r="O96">
        <v>2.408782</v>
      </c>
      <c r="P96">
        <v>2.427708</v>
      </c>
      <c r="Q96">
        <v>2.4513259999999999</v>
      </c>
      <c r="R96">
        <v>2.4714589999999999</v>
      </c>
      <c r="S96">
        <v>2.4920689999999999</v>
      </c>
      <c r="T96">
        <v>2.5264489999999999</v>
      </c>
      <c r="U96">
        <v>2.5632890000000002</v>
      </c>
      <c r="V96">
        <v>2.6047419999999999</v>
      </c>
      <c r="W96">
        <v>2.6548029999999998</v>
      </c>
      <c r="X96">
        <v>2.7075459999999998</v>
      </c>
      <c r="Y96">
        <v>2.7600720000000001</v>
      </c>
      <c r="Z96">
        <v>2.8048839999999999</v>
      </c>
      <c r="AA96">
        <v>2.848379</v>
      </c>
      <c r="AB96">
        <v>2.8824019999999999</v>
      </c>
      <c r="AC96">
        <v>2.9153560000000001</v>
      </c>
      <c r="AD96">
        <v>2.949268</v>
      </c>
      <c r="AE96">
        <v>2.9820820000000001</v>
      </c>
      <c r="AF96">
        <v>3.011806</v>
      </c>
      <c r="AG96">
        <v>3.0418310000000002</v>
      </c>
      <c r="AH96">
        <v>3.0729709999999999</v>
      </c>
      <c r="AI96">
        <v>3.1010939999999998</v>
      </c>
      <c r="AJ96">
        <v>3.1284360000000002</v>
      </c>
      <c r="AK96">
        <v>3.1575989999999998</v>
      </c>
      <c r="AL96">
        <v>3.1899570000000002</v>
      </c>
    </row>
    <row r="97" spans="1:38" x14ac:dyDescent="0.25">
      <c r="A97" t="s">
        <v>34</v>
      </c>
      <c r="B97">
        <v>0.91947100000000004</v>
      </c>
      <c r="C97">
        <v>0.92199600000000004</v>
      </c>
      <c r="D97">
        <v>0.93085300000000004</v>
      </c>
      <c r="E97">
        <v>0.94208800000000004</v>
      </c>
      <c r="F97">
        <v>0.95075799999999999</v>
      </c>
      <c r="G97">
        <v>0.94691700000000001</v>
      </c>
      <c r="H97">
        <v>0.95461399999999996</v>
      </c>
      <c r="I97">
        <v>0.99480500000000005</v>
      </c>
      <c r="J97">
        <v>1.013215</v>
      </c>
      <c r="K97">
        <v>0.98945099999999997</v>
      </c>
      <c r="L97">
        <v>1.0591440000000001</v>
      </c>
      <c r="M97">
        <v>1.0531969999999999</v>
      </c>
      <c r="N97">
        <v>1.056859</v>
      </c>
      <c r="O97">
        <v>1.0696129999999999</v>
      </c>
      <c r="P97">
        <v>1.083019</v>
      </c>
      <c r="Q97">
        <v>1.1034539999999999</v>
      </c>
      <c r="R97">
        <v>1.1255360000000001</v>
      </c>
      <c r="S97">
        <v>1.150371</v>
      </c>
      <c r="T97">
        <v>1.1810609999999999</v>
      </c>
      <c r="U97">
        <v>1.2152940000000001</v>
      </c>
      <c r="V97">
        <v>1.2542720000000001</v>
      </c>
      <c r="W97">
        <v>1.294246</v>
      </c>
      <c r="X97">
        <v>1.3309150000000001</v>
      </c>
      <c r="Y97">
        <v>1.3655619999999999</v>
      </c>
      <c r="Z97">
        <v>1.4007970000000001</v>
      </c>
      <c r="AA97">
        <v>1.4354089999999999</v>
      </c>
      <c r="AB97">
        <v>1.4690449999999999</v>
      </c>
      <c r="AC97">
        <v>1.501722</v>
      </c>
      <c r="AD97">
        <v>1.534294</v>
      </c>
      <c r="AE97">
        <v>1.5674490000000001</v>
      </c>
      <c r="AF97">
        <v>1.59674</v>
      </c>
      <c r="AG97">
        <v>1.624198</v>
      </c>
      <c r="AH97">
        <v>1.652838</v>
      </c>
      <c r="AI97">
        <v>1.680294</v>
      </c>
      <c r="AJ97">
        <v>1.7089430000000001</v>
      </c>
      <c r="AK97">
        <v>1.7390939999999999</v>
      </c>
      <c r="AL97">
        <v>1.7709889999999999</v>
      </c>
    </row>
    <row r="98" spans="1:38" x14ac:dyDescent="0.25">
      <c r="A98" t="s">
        <v>35</v>
      </c>
      <c r="B98">
        <v>1.407589</v>
      </c>
      <c r="C98">
        <v>1.4056439999999999</v>
      </c>
      <c r="D98">
        <v>1.3924749999999999</v>
      </c>
      <c r="E98">
        <v>1.416318</v>
      </c>
      <c r="F98">
        <v>1.4052960000000001</v>
      </c>
      <c r="G98">
        <v>1.3741920000000001</v>
      </c>
      <c r="H98">
        <v>1.3759870000000001</v>
      </c>
      <c r="I98">
        <v>1.390622</v>
      </c>
      <c r="J98">
        <v>1.423143</v>
      </c>
      <c r="K98">
        <v>1.3801019999999999</v>
      </c>
      <c r="L98">
        <v>1.4264619999999999</v>
      </c>
      <c r="M98">
        <v>1.3943160000000001</v>
      </c>
      <c r="N98">
        <v>1.3957550000000001</v>
      </c>
      <c r="O98">
        <v>1.4219459999999999</v>
      </c>
      <c r="P98">
        <v>1.445697</v>
      </c>
      <c r="Q98">
        <v>1.4708829999999999</v>
      </c>
      <c r="R98">
        <v>1.4974540000000001</v>
      </c>
      <c r="S98">
        <v>1.523525</v>
      </c>
      <c r="T98">
        <v>1.5601370000000001</v>
      </c>
      <c r="U98">
        <v>1.6001160000000001</v>
      </c>
      <c r="V98">
        <v>1.645451</v>
      </c>
      <c r="W98">
        <v>1.6923459999999999</v>
      </c>
      <c r="X98">
        <v>1.735087</v>
      </c>
      <c r="Y98">
        <v>1.7754799999999999</v>
      </c>
      <c r="Z98">
        <v>1.8170630000000001</v>
      </c>
      <c r="AA98">
        <v>1.857988</v>
      </c>
      <c r="AB98">
        <v>1.8957999999999999</v>
      </c>
      <c r="AC98">
        <v>1.9302870000000001</v>
      </c>
      <c r="AD98">
        <v>1.963732</v>
      </c>
      <c r="AE98">
        <v>1.996416</v>
      </c>
      <c r="AF98">
        <v>2.0261130000000001</v>
      </c>
      <c r="AG98">
        <v>2.0533589999999999</v>
      </c>
      <c r="AH98">
        <v>2.0820799999999999</v>
      </c>
      <c r="AI98">
        <v>2.1093000000000002</v>
      </c>
      <c r="AJ98">
        <v>2.1358730000000001</v>
      </c>
      <c r="AK98">
        <v>2.1632069999999999</v>
      </c>
      <c r="AL98">
        <v>2.1920099999999998</v>
      </c>
    </row>
    <row r="99" spans="1:38" x14ac:dyDescent="0.25">
      <c r="A99" t="s">
        <v>36</v>
      </c>
      <c r="B99">
        <v>12.844912000000001</v>
      </c>
      <c r="C99">
        <v>12.713305</v>
      </c>
      <c r="D99">
        <v>12.669765</v>
      </c>
      <c r="E99">
        <v>12.573183</v>
      </c>
      <c r="F99">
        <v>12.951473999999999</v>
      </c>
      <c r="G99">
        <v>12.837553</v>
      </c>
      <c r="H99">
        <v>12.490206000000001</v>
      </c>
      <c r="I99">
        <v>12.975903000000001</v>
      </c>
      <c r="J99">
        <v>13.258851999999999</v>
      </c>
      <c r="K99">
        <v>12.977838</v>
      </c>
      <c r="L99">
        <v>13.4313</v>
      </c>
      <c r="M99">
        <v>13.439071999999999</v>
      </c>
      <c r="N99">
        <v>13.470559</v>
      </c>
      <c r="O99">
        <v>13.593114999999999</v>
      </c>
      <c r="P99">
        <v>13.712213</v>
      </c>
      <c r="Q99">
        <v>13.871886</v>
      </c>
      <c r="R99">
        <v>14.023417</v>
      </c>
      <c r="S99">
        <v>14.180968999999999</v>
      </c>
      <c r="T99">
        <v>14.402716</v>
      </c>
      <c r="U99">
        <v>14.636765</v>
      </c>
      <c r="V99">
        <v>14.906317</v>
      </c>
      <c r="W99">
        <v>15.199847999999999</v>
      </c>
      <c r="X99">
        <v>15.496057</v>
      </c>
      <c r="Y99">
        <v>15.779405000000001</v>
      </c>
      <c r="Z99">
        <v>16.064333000000001</v>
      </c>
      <c r="AA99">
        <v>16.350968999999999</v>
      </c>
      <c r="AB99">
        <v>16.612171</v>
      </c>
      <c r="AC99">
        <v>16.850697</v>
      </c>
      <c r="AD99">
        <v>17.081347999999998</v>
      </c>
      <c r="AE99">
        <v>17.298840999999999</v>
      </c>
      <c r="AF99">
        <v>17.494133000000001</v>
      </c>
      <c r="AG99">
        <v>17.680267000000001</v>
      </c>
      <c r="AH99">
        <v>17.872177000000001</v>
      </c>
      <c r="AI99">
        <v>18.062480999999998</v>
      </c>
      <c r="AJ99">
        <v>18.255369000000002</v>
      </c>
      <c r="AK99">
        <v>18.458297999999999</v>
      </c>
      <c r="AL99">
        <v>18.677876000000001</v>
      </c>
    </row>
    <row r="101" spans="1:38" x14ac:dyDescent="0.25">
      <c r="A101" t="s">
        <v>39</v>
      </c>
    </row>
    <row r="102" spans="1:38" x14ac:dyDescent="0.25">
      <c r="A102" s="1"/>
      <c r="B102" s="1">
        <v>2014</v>
      </c>
      <c r="C102" s="1">
        <v>2015</v>
      </c>
      <c r="D102" s="1">
        <v>2016</v>
      </c>
      <c r="E102" s="1">
        <v>2017</v>
      </c>
      <c r="F102" s="1">
        <v>2018</v>
      </c>
      <c r="G102" s="1">
        <v>2019</v>
      </c>
      <c r="H102" s="1">
        <v>2020</v>
      </c>
      <c r="I102" s="1">
        <v>2021</v>
      </c>
      <c r="J102" s="1">
        <v>2022</v>
      </c>
      <c r="K102" s="1">
        <v>2023</v>
      </c>
      <c r="L102" s="1">
        <v>2024</v>
      </c>
      <c r="M102" s="1">
        <v>2025</v>
      </c>
      <c r="N102" s="1">
        <v>2026</v>
      </c>
      <c r="O102" s="1">
        <v>2027</v>
      </c>
      <c r="P102" s="1">
        <v>2028</v>
      </c>
      <c r="Q102" s="1">
        <v>2029</v>
      </c>
      <c r="R102" s="1">
        <v>2030</v>
      </c>
      <c r="S102" s="1">
        <v>2031</v>
      </c>
      <c r="T102" s="1">
        <v>2032</v>
      </c>
      <c r="U102" s="1">
        <v>2033</v>
      </c>
      <c r="V102" s="1">
        <v>2034</v>
      </c>
      <c r="W102" s="1">
        <v>2035</v>
      </c>
      <c r="X102" s="1">
        <v>2036</v>
      </c>
      <c r="Y102" s="1">
        <v>2037</v>
      </c>
      <c r="Z102" s="1">
        <v>2038</v>
      </c>
      <c r="AA102" s="1">
        <v>2039</v>
      </c>
      <c r="AB102" s="1">
        <v>2040</v>
      </c>
      <c r="AC102" s="1">
        <v>2041</v>
      </c>
      <c r="AD102" s="1">
        <v>2042</v>
      </c>
      <c r="AE102" s="1">
        <v>2043</v>
      </c>
      <c r="AF102" s="1">
        <v>2044</v>
      </c>
      <c r="AG102" s="1">
        <v>2045</v>
      </c>
      <c r="AH102" s="1">
        <v>2046</v>
      </c>
      <c r="AI102" s="1">
        <v>2047</v>
      </c>
      <c r="AJ102" s="1">
        <v>2048</v>
      </c>
      <c r="AK102" s="1">
        <v>2049</v>
      </c>
      <c r="AL102" s="1">
        <v>2050</v>
      </c>
    </row>
    <row r="103" spans="1:38" x14ac:dyDescent="0.25">
      <c r="A103" t="s">
        <v>1</v>
      </c>
      <c r="B103" s="6">
        <v>2.78517E-3</v>
      </c>
      <c r="C103" s="6">
        <v>5.7806799999999998E-3</v>
      </c>
      <c r="D103" s="6">
        <v>8.7267899999999999E-3</v>
      </c>
      <c r="E103" s="6">
        <v>1.195686E-2</v>
      </c>
      <c r="F103" s="6">
        <v>1.39822E-2</v>
      </c>
      <c r="G103" s="6">
        <v>1.629253E-2</v>
      </c>
      <c r="H103" s="6">
        <v>1.9924280000000003E-2</v>
      </c>
      <c r="I103" s="6">
        <v>2.3596840000000001E-2</v>
      </c>
      <c r="J103" s="6">
        <v>2.7368409999999996E-2</v>
      </c>
      <c r="K103" s="6">
        <v>3.0992529999999997E-2</v>
      </c>
      <c r="L103" s="6">
        <v>3.5699310000000005E-2</v>
      </c>
      <c r="M103" s="6">
        <v>4.0139879999999996E-2</v>
      </c>
      <c r="N103" s="6">
        <v>4.4479160000000004E-2</v>
      </c>
      <c r="O103" s="6">
        <v>4.7150050000000006E-2</v>
      </c>
      <c r="P103" s="6">
        <v>4.9092589999999998E-2</v>
      </c>
      <c r="Q103" s="6">
        <v>5.0944539999999996E-2</v>
      </c>
      <c r="R103" s="6">
        <v>5.2989010000000003E-2</v>
      </c>
      <c r="S103" s="6">
        <v>5.5136489999999996E-2</v>
      </c>
      <c r="T103" s="6">
        <v>5.762598E-2</v>
      </c>
      <c r="U103" s="6">
        <v>6.0315190000000005E-2</v>
      </c>
      <c r="V103" s="6">
        <v>6.2462480000000001E-2</v>
      </c>
      <c r="W103" s="6">
        <v>6.4742400000000005E-2</v>
      </c>
      <c r="X103" s="6">
        <v>6.6200889999999998E-2</v>
      </c>
      <c r="Y103" s="6">
        <v>6.8364309999999984E-2</v>
      </c>
      <c r="Z103" s="6">
        <v>7.0149219999999998E-2</v>
      </c>
      <c r="AA103" s="6">
        <v>7.1422059999999996E-2</v>
      </c>
      <c r="AB103" s="6">
        <v>7.3084849999999993E-2</v>
      </c>
      <c r="AC103" s="5">
        <v>7.4861689999999995E-2</v>
      </c>
      <c r="AD103" s="5">
        <v>7.6589459999999998E-2</v>
      </c>
      <c r="AE103" s="5">
        <v>7.8279020000000005E-2</v>
      </c>
      <c r="AF103" s="5">
        <v>8.0001340000000004E-2</v>
      </c>
      <c r="AG103" s="5">
        <v>8.1724290000000005E-2</v>
      </c>
      <c r="AH103" s="5">
        <v>8.3605410000000005E-2</v>
      </c>
      <c r="AI103" s="5">
        <v>8.5421469999999999E-2</v>
      </c>
      <c r="AJ103" s="5">
        <v>8.7239110000000009E-2</v>
      </c>
      <c r="AK103" s="5">
        <v>8.9184399999999997E-2</v>
      </c>
      <c r="AL103" s="5">
        <v>9.1141680000000003E-2</v>
      </c>
    </row>
    <row r="104" spans="1:38" x14ac:dyDescent="0.25">
      <c r="A104" t="s">
        <v>2</v>
      </c>
      <c r="B104" s="6">
        <v>5.964370000000001E-3</v>
      </c>
      <c r="C104" s="6">
        <v>9.62381E-3</v>
      </c>
      <c r="D104" s="6">
        <v>1.2252819999999999E-2</v>
      </c>
      <c r="E104" s="6">
        <v>1.504372E-2</v>
      </c>
      <c r="F104" s="6">
        <v>1.8066020000000002E-2</v>
      </c>
      <c r="G104" s="6">
        <v>2.1735089999999999E-2</v>
      </c>
      <c r="H104" s="6">
        <v>2.4533790000000003E-2</v>
      </c>
      <c r="I104" s="6">
        <v>2.8815650000000002E-2</v>
      </c>
      <c r="J104" s="6">
        <v>3.4573930000000003E-2</v>
      </c>
      <c r="K104" s="6">
        <v>4.0230160000000008E-2</v>
      </c>
      <c r="L104" s="6">
        <v>4.558094E-2</v>
      </c>
      <c r="M104" s="6">
        <v>5.0614230000000003E-2</v>
      </c>
      <c r="N104" s="6">
        <v>5.5548289999999993E-2</v>
      </c>
      <c r="O104" s="6">
        <v>5.8513059999999999E-2</v>
      </c>
      <c r="P104" s="6">
        <v>6.1322690000000006E-2</v>
      </c>
      <c r="Q104" s="6">
        <v>6.411443E-2</v>
      </c>
      <c r="R104" s="6">
        <v>6.7425389999999988E-2</v>
      </c>
      <c r="S104" s="6">
        <v>7.0915140000000002E-2</v>
      </c>
      <c r="T104" s="6">
        <v>7.4141850000000009E-2</v>
      </c>
      <c r="U104" s="6">
        <v>7.870408000000001E-2</v>
      </c>
      <c r="V104" s="6">
        <v>8.1670900000000018E-2</v>
      </c>
      <c r="W104" s="6">
        <v>8.3846319999999988E-2</v>
      </c>
      <c r="X104" s="6">
        <v>8.5722510000000002E-2</v>
      </c>
      <c r="Y104" s="6">
        <v>8.7972700000000001E-2</v>
      </c>
      <c r="Z104" s="6">
        <v>9.025037000000001E-2</v>
      </c>
      <c r="AA104" s="6">
        <v>9.1518530000000001E-2</v>
      </c>
      <c r="AB104" s="6">
        <v>9.3513540000000006E-2</v>
      </c>
      <c r="AC104" s="5">
        <v>9.6060659999999992E-2</v>
      </c>
      <c r="AD104" s="5">
        <v>9.873135999999999E-2</v>
      </c>
      <c r="AE104" s="5">
        <v>0.10137564</v>
      </c>
      <c r="AF104" s="5">
        <v>0.1044084</v>
      </c>
      <c r="AG104" s="5">
        <v>0.10668877</v>
      </c>
      <c r="AH104" s="5">
        <v>0.10911413</v>
      </c>
      <c r="AI104" s="5">
        <v>0.1114734</v>
      </c>
      <c r="AJ104" s="5">
        <v>0.11380262000000001</v>
      </c>
      <c r="AK104" s="5">
        <v>0.11621636</v>
      </c>
      <c r="AL104" s="5">
        <v>0.11875437</v>
      </c>
    </row>
    <row r="105" spans="1:38" x14ac:dyDescent="0.25">
      <c r="A105" t="s">
        <v>3</v>
      </c>
      <c r="B105" s="6">
        <v>4.6887000000000003E-4</v>
      </c>
      <c r="C105" s="6">
        <v>7.2126999999999998E-4</v>
      </c>
      <c r="D105" s="6">
        <v>8.7959000000000008E-4</v>
      </c>
      <c r="E105" s="6">
        <v>1.1823199999999997E-3</v>
      </c>
      <c r="F105" s="6">
        <v>1.6983600000000001E-3</v>
      </c>
      <c r="G105" s="6">
        <v>2.6995399999999998E-3</v>
      </c>
      <c r="H105" s="6">
        <v>4.8426299999999997E-3</v>
      </c>
      <c r="I105" s="6">
        <v>6.9325199999999984E-3</v>
      </c>
      <c r="J105" s="6">
        <v>8.7719200000000008E-3</v>
      </c>
      <c r="K105" s="6">
        <v>1.1245450000000002E-2</v>
      </c>
      <c r="L105" s="6">
        <v>1.300917E-2</v>
      </c>
      <c r="M105" s="6">
        <v>1.4698250000000001E-2</v>
      </c>
      <c r="N105" s="6">
        <v>1.6367529999999998E-2</v>
      </c>
      <c r="O105" s="6">
        <v>1.7519799999999999E-2</v>
      </c>
      <c r="P105" s="6">
        <v>1.9122709999999998E-2</v>
      </c>
      <c r="Q105" s="6">
        <v>2.0969410000000004E-2</v>
      </c>
      <c r="R105" s="6">
        <v>2.325224E-2</v>
      </c>
      <c r="S105" s="6">
        <v>2.7161129999999999E-2</v>
      </c>
      <c r="T105" s="6">
        <v>2.8997910000000005E-2</v>
      </c>
      <c r="U105" s="6">
        <v>3.2138849999999997E-2</v>
      </c>
      <c r="V105" s="6">
        <v>3.3753390000000001E-2</v>
      </c>
      <c r="W105" s="6">
        <v>3.460978E-2</v>
      </c>
      <c r="X105" s="6">
        <v>3.5369529999999996E-2</v>
      </c>
      <c r="Y105" s="6">
        <v>3.6931840000000001E-2</v>
      </c>
      <c r="Z105" s="6">
        <v>3.7978320000000003E-2</v>
      </c>
      <c r="AA105" s="6">
        <v>3.8769669999999999E-2</v>
      </c>
      <c r="AB105" s="6">
        <v>3.9772590000000003E-2</v>
      </c>
      <c r="AC105" s="5">
        <v>4.1364000000000005E-2</v>
      </c>
      <c r="AD105" s="5">
        <v>4.3185159999999993E-2</v>
      </c>
      <c r="AE105" s="5">
        <v>4.4986659999999998E-2</v>
      </c>
      <c r="AF105" s="5">
        <v>4.6490589999999998E-2</v>
      </c>
      <c r="AG105" s="5">
        <v>4.7572590000000005E-2</v>
      </c>
      <c r="AH105" s="5">
        <v>4.9312300000000003E-2</v>
      </c>
      <c r="AI105" s="5">
        <v>5.095591E-2</v>
      </c>
      <c r="AJ105" s="5">
        <v>5.2859400000000001E-2</v>
      </c>
      <c r="AK105" s="5">
        <v>5.4770440000000004E-2</v>
      </c>
      <c r="AL105" s="5">
        <v>5.6481269999999993E-2</v>
      </c>
    </row>
    <row r="106" spans="1:38" x14ac:dyDescent="0.25">
      <c r="A106" t="s">
        <v>4</v>
      </c>
      <c r="B106" s="6">
        <v>4.4961000000000008E-4</v>
      </c>
      <c r="C106" s="6">
        <v>9.4156999999999997E-4</v>
      </c>
      <c r="D106" s="6">
        <v>1.42286E-3</v>
      </c>
      <c r="E106" s="6">
        <v>3.01469E-3</v>
      </c>
      <c r="F106" s="6">
        <v>4.7501499999999999E-3</v>
      </c>
      <c r="G106" s="6">
        <v>6.1811500000000007E-3</v>
      </c>
      <c r="H106" s="6">
        <v>7.0341299999999995E-3</v>
      </c>
      <c r="I106" s="6">
        <v>7.916949999999999E-3</v>
      </c>
      <c r="J106" s="6">
        <v>9.0620200000000005E-3</v>
      </c>
      <c r="K106" s="6">
        <v>1.0403620000000001E-2</v>
      </c>
      <c r="L106" s="6">
        <v>1.187527E-2</v>
      </c>
      <c r="M106" s="6">
        <v>1.323817E-2</v>
      </c>
      <c r="N106" s="6">
        <v>1.4583609999999997E-2</v>
      </c>
      <c r="O106" s="6">
        <v>1.536656E-2</v>
      </c>
      <c r="P106" s="6">
        <v>1.6596040000000003E-2</v>
      </c>
      <c r="Q106" s="6">
        <v>1.7749119999999997E-2</v>
      </c>
      <c r="R106" s="6">
        <v>1.9318530000000004E-2</v>
      </c>
      <c r="S106" s="6">
        <v>2.1232599999999997E-2</v>
      </c>
      <c r="T106" s="6">
        <v>2.3128489999999998E-2</v>
      </c>
      <c r="U106" s="6">
        <v>2.4839590000000002E-2</v>
      </c>
      <c r="V106" s="6">
        <v>2.5803919999999998E-2</v>
      </c>
      <c r="W106" s="6">
        <v>2.6240719999999999E-2</v>
      </c>
      <c r="X106" s="6">
        <v>2.6732849999999999E-2</v>
      </c>
      <c r="Y106" s="6">
        <v>2.7298699999999999E-2</v>
      </c>
      <c r="Z106" s="6">
        <v>2.78342E-2</v>
      </c>
      <c r="AA106" s="6">
        <v>2.8622680000000001E-2</v>
      </c>
      <c r="AB106" s="6">
        <v>2.9419499999999998E-2</v>
      </c>
      <c r="AC106" s="5">
        <v>3.0287560000000002E-2</v>
      </c>
      <c r="AD106" s="5">
        <v>3.1028330000000003E-2</v>
      </c>
      <c r="AE106" s="5">
        <v>3.1847439999999998E-2</v>
      </c>
      <c r="AF106" s="5">
        <v>3.2689279999999994E-2</v>
      </c>
      <c r="AG106" s="5">
        <v>3.4339110000000006E-2</v>
      </c>
      <c r="AH106" s="5">
        <v>3.5752690000000004E-2</v>
      </c>
      <c r="AI106" s="5">
        <v>3.6600830000000001E-2</v>
      </c>
      <c r="AJ106" s="5">
        <v>3.747988E-2</v>
      </c>
      <c r="AK106" s="5">
        <v>3.8333390000000002E-2</v>
      </c>
      <c r="AL106" s="5">
        <v>3.9252549999999997E-2</v>
      </c>
    </row>
    <row r="107" spans="1:38" x14ac:dyDescent="0.25">
      <c r="A107" t="s">
        <v>5</v>
      </c>
      <c r="B107" s="6">
        <v>1.6203999999999999E-3</v>
      </c>
      <c r="C107" s="6">
        <v>3.5144099999999999E-3</v>
      </c>
      <c r="D107" s="6">
        <v>5.5234699999999999E-3</v>
      </c>
      <c r="E107" s="6">
        <v>7.6000699999999996E-3</v>
      </c>
      <c r="F107" s="6">
        <v>9.5110899999999998E-3</v>
      </c>
      <c r="G107" s="6">
        <v>1.213289E-2</v>
      </c>
      <c r="H107" s="6">
        <v>1.558821E-2</v>
      </c>
      <c r="I107" s="6">
        <v>1.952075E-2</v>
      </c>
      <c r="J107" s="6">
        <v>2.5510280000000003E-2</v>
      </c>
      <c r="K107" s="6">
        <v>3.1346900000000004E-2</v>
      </c>
      <c r="L107" s="6">
        <v>3.6297349999999999E-2</v>
      </c>
      <c r="M107" s="6">
        <v>4.1482860000000003E-2</v>
      </c>
      <c r="N107" s="6">
        <v>4.6880970000000001E-2</v>
      </c>
      <c r="O107" s="6">
        <v>5.1767320000000006E-2</v>
      </c>
      <c r="P107" s="6">
        <v>5.6986639999999998E-2</v>
      </c>
      <c r="Q107" s="6">
        <v>6.297643E-2</v>
      </c>
      <c r="R107" s="6">
        <v>6.9429379999999999E-2</v>
      </c>
      <c r="S107" s="6">
        <v>7.6749159999999997E-2</v>
      </c>
      <c r="T107" s="6">
        <v>8.4497969999999992E-2</v>
      </c>
      <c r="U107" s="6">
        <v>9.3080060000000006E-2</v>
      </c>
      <c r="V107" s="6">
        <v>0.10142503</v>
      </c>
      <c r="W107" s="6">
        <v>0.10787550999999999</v>
      </c>
      <c r="X107" s="6">
        <v>0.11375691</v>
      </c>
      <c r="Y107" s="6">
        <v>0.11958254</v>
      </c>
      <c r="Z107" s="6">
        <v>0.12559893999999999</v>
      </c>
      <c r="AA107" s="6">
        <v>0.13134615999999999</v>
      </c>
      <c r="AB107" s="6">
        <v>0.1378385</v>
      </c>
      <c r="AC107" s="5">
        <v>0.14518924000000002</v>
      </c>
      <c r="AD107" s="5">
        <v>0.15314140000000001</v>
      </c>
      <c r="AE107" s="5">
        <v>0.16147333999999997</v>
      </c>
      <c r="AF107" s="5">
        <v>0.17011116000000001</v>
      </c>
      <c r="AG107" s="5">
        <v>0.17884784000000001</v>
      </c>
      <c r="AH107" s="5">
        <v>0.18760735000000001</v>
      </c>
      <c r="AI107" s="5">
        <v>0.19645868999999999</v>
      </c>
      <c r="AJ107" s="5">
        <v>0.20530511999999998</v>
      </c>
      <c r="AK107" s="5">
        <v>0.21432396000000001</v>
      </c>
      <c r="AL107" s="5">
        <v>0.22329942999999999</v>
      </c>
    </row>
    <row r="108" spans="1:38" x14ac:dyDescent="0.25">
      <c r="A108" t="s">
        <v>6</v>
      </c>
      <c r="B108" s="6">
        <v>2.5253999999999999E-4</v>
      </c>
      <c r="C108" s="6">
        <v>3.5332000000000001E-4</v>
      </c>
      <c r="D108" s="6">
        <v>4.0601E-4</v>
      </c>
      <c r="E108" s="6">
        <v>5.1035000000000002E-4</v>
      </c>
      <c r="F108" s="6">
        <v>6.3669999999999992E-4</v>
      </c>
      <c r="G108" s="6">
        <v>7.1554999999999991E-4</v>
      </c>
      <c r="H108" s="6">
        <v>7.4224000000000013E-4</v>
      </c>
      <c r="I108" s="6">
        <v>8.0510999999999994E-4</v>
      </c>
      <c r="J108" s="6">
        <v>9.0030999999999998E-4</v>
      </c>
      <c r="K108" s="6">
        <v>9.9187999999999989E-4</v>
      </c>
      <c r="L108" s="6">
        <v>1.4330199999999999E-3</v>
      </c>
      <c r="M108" s="6">
        <v>1.9047700000000001E-3</v>
      </c>
      <c r="N108" s="6">
        <v>2.41004E-3</v>
      </c>
      <c r="O108" s="6">
        <v>2.8950199999999999E-3</v>
      </c>
      <c r="P108" s="6">
        <v>3.65527E-3</v>
      </c>
      <c r="Q108" s="6">
        <v>5.0448199999999993E-3</v>
      </c>
      <c r="R108" s="6">
        <v>6.5110999999999997E-3</v>
      </c>
      <c r="S108" s="6">
        <v>8.0283600000000017E-3</v>
      </c>
      <c r="T108" s="6">
        <v>1.0261600000000001E-2</v>
      </c>
      <c r="U108" s="6">
        <v>1.2621250000000001E-2</v>
      </c>
      <c r="V108" s="6">
        <v>1.420601E-2</v>
      </c>
      <c r="W108" s="6">
        <v>1.5542540000000001E-2</v>
      </c>
      <c r="X108" s="6">
        <v>1.7442349999999999E-2</v>
      </c>
      <c r="Y108" s="6">
        <v>1.8320039999999999E-2</v>
      </c>
      <c r="Z108" s="6">
        <v>1.9220300000000003E-2</v>
      </c>
      <c r="AA108" s="6">
        <v>1.9988979999999996E-2</v>
      </c>
      <c r="AB108" s="6">
        <v>2.0853999999999998E-2</v>
      </c>
      <c r="AC108" s="5">
        <v>2.1725950000000001E-2</v>
      </c>
      <c r="AD108" s="5">
        <v>2.2830969999999999E-2</v>
      </c>
      <c r="AE108" s="5">
        <v>2.4568080000000003E-2</v>
      </c>
      <c r="AF108" s="5">
        <v>2.6489260000000001E-2</v>
      </c>
      <c r="AG108" s="5">
        <v>2.8231039999999999E-2</v>
      </c>
      <c r="AH108" s="5">
        <v>3.030863E-2</v>
      </c>
      <c r="AI108" s="5">
        <v>3.2361600000000004E-2</v>
      </c>
      <c r="AJ108" s="5">
        <v>3.3969239999999998E-2</v>
      </c>
      <c r="AK108" s="5">
        <v>3.5058779999999998E-2</v>
      </c>
      <c r="AL108" s="5">
        <v>3.6183019999999996E-2</v>
      </c>
    </row>
    <row r="109" spans="1:38" x14ac:dyDescent="0.25">
      <c r="A109" t="s">
        <v>7</v>
      </c>
      <c r="B109" s="6">
        <v>2.3819999999999999E-4</v>
      </c>
      <c r="C109" s="6">
        <v>1.0326300000000001E-3</v>
      </c>
      <c r="D109" s="6">
        <v>1.6752E-3</v>
      </c>
      <c r="E109" s="6">
        <v>2.2929400000000003E-3</v>
      </c>
      <c r="F109" s="6">
        <v>3.5177500000000005E-3</v>
      </c>
      <c r="G109" s="6">
        <v>4.4950799999999994E-3</v>
      </c>
      <c r="H109" s="6">
        <v>6.25313E-3</v>
      </c>
      <c r="I109" s="6">
        <v>8.4903100000000009E-3</v>
      </c>
      <c r="J109" s="6">
        <v>1.2470189999999999E-2</v>
      </c>
      <c r="K109" s="6">
        <v>1.5686060000000002E-2</v>
      </c>
      <c r="L109" s="6">
        <v>1.8511549999999998E-2</v>
      </c>
      <c r="M109" s="6">
        <v>2.1419750000000001E-2</v>
      </c>
      <c r="N109" s="6">
        <v>2.4511169999999999E-2</v>
      </c>
      <c r="O109" s="6">
        <v>2.7509860000000001E-2</v>
      </c>
      <c r="P109" s="6">
        <v>3.075025E-2</v>
      </c>
      <c r="Q109" s="6">
        <v>3.4835779999999997E-2</v>
      </c>
      <c r="R109" s="6">
        <v>3.9021679999999996E-2</v>
      </c>
      <c r="S109" s="6">
        <v>4.3937919999999998E-2</v>
      </c>
      <c r="T109" s="6">
        <v>4.859223E-2</v>
      </c>
      <c r="U109" s="6">
        <v>5.3625610000000004E-2</v>
      </c>
      <c r="V109" s="6">
        <v>5.805983E-2</v>
      </c>
      <c r="W109" s="6">
        <v>6.1373700000000003E-2</v>
      </c>
      <c r="X109" s="6">
        <v>6.4853960000000002E-2</v>
      </c>
      <c r="Y109" s="6">
        <v>6.8466260000000001E-2</v>
      </c>
      <c r="Z109" s="6">
        <v>7.2379739999999998E-2</v>
      </c>
      <c r="AA109" s="6">
        <v>7.6273549999999996E-2</v>
      </c>
      <c r="AB109" s="6">
        <v>8.060922999999999E-2</v>
      </c>
      <c r="AC109" s="5">
        <v>8.4850869999999995E-2</v>
      </c>
      <c r="AD109" s="5">
        <v>8.9289630000000009E-2</v>
      </c>
      <c r="AE109" s="5">
        <v>9.3939380000000003E-2</v>
      </c>
      <c r="AF109" s="5">
        <v>9.8549869999999998E-2</v>
      </c>
      <c r="AG109" s="5">
        <v>0.10315300000000001</v>
      </c>
      <c r="AH109" s="5">
        <v>0.10793329</v>
      </c>
      <c r="AI109" s="5">
        <v>0.11306465</v>
      </c>
      <c r="AJ109" s="5">
        <v>0.11823751</v>
      </c>
      <c r="AK109" s="5">
        <v>0.12338308000000001</v>
      </c>
      <c r="AL109" s="5">
        <v>0.12845039</v>
      </c>
    </row>
    <row r="110" spans="1:38" x14ac:dyDescent="0.25">
      <c r="A110" t="s">
        <v>8</v>
      </c>
      <c r="B110" s="6">
        <v>3.2695299999999997E-3</v>
      </c>
      <c r="C110" s="6">
        <v>8.1618799999999998E-3</v>
      </c>
      <c r="D110" s="6">
        <v>1.081065E-2</v>
      </c>
      <c r="E110" s="6">
        <v>1.339974E-2</v>
      </c>
      <c r="F110" s="6">
        <v>1.6318359999999997E-2</v>
      </c>
      <c r="G110" s="6">
        <v>1.9819379999999998E-2</v>
      </c>
      <c r="H110" s="6">
        <v>2.5033989999999999E-2</v>
      </c>
      <c r="I110" s="6">
        <v>2.9966819999999998E-2</v>
      </c>
      <c r="J110" s="6">
        <v>3.5396699999999996E-2</v>
      </c>
      <c r="K110" s="6">
        <v>4.1022509999999998E-2</v>
      </c>
      <c r="L110" s="6">
        <v>4.4962600000000005E-2</v>
      </c>
      <c r="M110" s="6">
        <v>4.8960630000000005E-2</v>
      </c>
      <c r="N110" s="6">
        <v>5.3040369999999996E-2</v>
      </c>
      <c r="O110" s="6">
        <v>5.6233770000000002E-2</v>
      </c>
      <c r="P110" s="6">
        <v>5.9396640000000001E-2</v>
      </c>
      <c r="Q110" s="6">
        <v>6.3110739999999999E-2</v>
      </c>
      <c r="R110" s="6">
        <v>6.7071120000000012E-2</v>
      </c>
      <c r="S110" s="6">
        <v>7.1273229999999993E-2</v>
      </c>
      <c r="T110" s="6">
        <v>7.6246999999999995E-2</v>
      </c>
      <c r="U110" s="6">
        <v>8.0914810000000004E-2</v>
      </c>
      <c r="V110" s="6">
        <v>8.497840999999999E-2</v>
      </c>
      <c r="W110" s="6">
        <v>8.8434529999999997E-2</v>
      </c>
      <c r="X110" s="6">
        <v>9.2106980000000005E-2</v>
      </c>
      <c r="Y110" s="6">
        <v>9.6003179999999994E-2</v>
      </c>
      <c r="Z110" s="6">
        <v>9.978337000000001E-2</v>
      </c>
      <c r="AA110" s="6">
        <v>0.10364601999999999</v>
      </c>
      <c r="AB110" s="6">
        <v>0.10795237000000001</v>
      </c>
      <c r="AC110" s="5">
        <v>0.11225059</v>
      </c>
      <c r="AD110" s="5">
        <v>0.11663822</v>
      </c>
      <c r="AE110" s="5">
        <v>0.12081019000000001</v>
      </c>
      <c r="AF110" s="5">
        <v>0.1259043</v>
      </c>
      <c r="AG110" s="5">
        <v>0.13073371</v>
      </c>
      <c r="AH110" s="5">
        <v>0.13549101000000002</v>
      </c>
      <c r="AI110" s="5">
        <v>0.14037145999999998</v>
      </c>
      <c r="AJ110" s="5">
        <v>0.14508136000000002</v>
      </c>
      <c r="AK110" s="5">
        <v>0.14981188000000001</v>
      </c>
      <c r="AL110" s="5">
        <v>0.15475235999999998</v>
      </c>
    </row>
    <row r="111" spans="1:38" x14ac:dyDescent="0.25">
      <c r="A111" t="s">
        <v>9</v>
      </c>
      <c r="B111" s="6">
        <v>1.0179000000000001E-2</v>
      </c>
      <c r="C111" s="6">
        <v>2.8453630000000001E-2</v>
      </c>
      <c r="D111" s="6">
        <v>3.8389029999999998E-2</v>
      </c>
      <c r="E111" s="6">
        <v>4.7555480000000004E-2</v>
      </c>
      <c r="F111" s="6">
        <v>5.6582359999999991E-2</v>
      </c>
      <c r="G111" s="6">
        <v>6.5823560000000003E-2</v>
      </c>
      <c r="H111" s="6">
        <v>7.9711359999999995E-2</v>
      </c>
      <c r="I111" s="6">
        <v>9.1326340000000006E-2</v>
      </c>
      <c r="J111" s="6">
        <v>0.10085137999999999</v>
      </c>
      <c r="K111" s="6">
        <v>0.12388779</v>
      </c>
      <c r="L111" s="6">
        <v>0.14541293000000002</v>
      </c>
      <c r="M111" s="6">
        <v>0.16414384000000001</v>
      </c>
      <c r="N111" s="6">
        <v>0.18230178999999999</v>
      </c>
      <c r="O111" s="6">
        <v>0.19573141000000002</v>
      </c>
      <c r="P111" s="6">
        <v>0.20687769999999997</v>
      </c>
      <c r="Q111" s="6">
        <v>0.21927379000000002</v>
      </c>
      <c r="R111" s="6">
        <v>0.23184641</v>
      </c>
      <c r="S111" s="6">
        <v>0.24599531000000002</v>
      </c>
      <c r="T111" s="6">
        <v>0.25958906999999998</v>
      </c>
      <c r="U111" s="6">
        <v>0.27369333000000001</v>
      </c>
      <c r="V111" s="6">
        <v>0.28553875000000001</v>
      </c>
      <c r="W111" s="6">
        <v>0.29404342999999999</v>
      </c>
      <c r="X111" s="6">
        <v>0.30244018</v>
      </c>
      <c r="Y111" s="6">
        <v>0.31099171000000003</v>
      </c>
      <c r="Z111" s="6">
        <v>0.31868792000000001</v>
      </c>
      <c r="AA111" s="6">
        <v>0.32576884</v>
      </c>
      <c r="AB111" s="6">
        <v>0.33367151</v>
      </c>
      <c r="AC111" s="5">
        <v>0.34192825000000004</v>
      </c>
      <c r="AD111" s="5">
        <v>0.35026984999999999</v>
      </c>
      <c r="AE111" s="5">
        <v>0.35847800000000002</v>
      </c>
      <c r="AF111" s="5">
        <v>0.36674776999999997</v>
      </c>
      <c r="AG111" s="5">
        <v>0.37495765999999997</v>
      </c>
      <c r="AH111" s="5">
        <v>0.38262668999999999</v>
      </c>
      <c r="AI111" s="5">
        <v>0.39056690999999999</v>
      </c>
      <c r="AJ111" s="5">
        <v>0.39855085000000001</v>
      </c>
      <c r="AK111" s="5">
        <v>0.40660456999999994</v>
      </c>
      <c r="AL111" s="5">
        <v>0.41520496000000001</v>
      </c>
    </row>
    <row r="112" spans="1:38" x14ac:dyDescent="0.25">
      <c r="A112" s="3" t="s">
        <v>10</v>
      </c>
      <c r="B112" s="6">
        <v>2.5227690000000004E-2</v>
      </c>
      <c r="C112" s="6">
        <v>5.8583200000000002E-2</v>
      </c>
      <c r="D112" s="6">
        <v>8.0086420000000005E-2</v>
      </c>
      <c r="E112" s="6">
        <v>0.10255617</v>
      </c>
      <c r="F112" s="6">
        <v>0.12506298999999999</v>
      </c>
      <c r="G112" s="6">
        <v>0.14989476999999998</v>
      </c>
      <c r="H112" s="6">
        <v>0.18366376000000004</v>
      </c>
      <c r="I112" s="6">
        <v>0.21737128999999999</v>
      </c>
      <c r="J112" s="6">
        <v>0.25490514000000003</v>
      </c>
      <c r="K112" s="6">
        <v>0.30580690000000005</v>
      </c>
      <c r="L112" s="6">
        <v>0.35278214000000002</v>
      </c>
      <c r="M112" s="6">
        <v>0.39660238000000003</v>
      </c>
      <c r="N112" s="6">
        <v>0.44012292999999991</v>
      </c>
      <c r="O112" s="6">
        <v>0.47268684999999999</v>
      </c>
      <c r="P112" s="6">
        <v>0.50380053000000002</v>
      </c>
      <c r="Q112" s="6">
        <v>0.53901905999999999</v>
      </c>
      <c r="R112" s="6">
        <v>0.57686486000000003</v>
      </c>
      <c r="S112" s="6">
        <v>0.62042934000000005</v>
      </c>
      <c r="T112" s="6">
        <v>0.66308210000000001</v>
      </c>
      <c r="U112" s="6">
        <v>0.70993276999999988</v>
      </c>
      <c r="V112" s="6">
        <v>0.74789872000000002</v>
      </c>
      <c r="W112" s="6">
        <v>0.77670892999999996</v>
      </c>
      <c r="X112" s="6">
        <v>0.80462615999999998</v>
      </c>
      <c r="Y112" s="6">
        <v>0.83393128000000005</v>
      </c>
      <c r="Z112" s="6">
        <v>0.86188238000000006</v>
      </c>
      <c r="AA112" s="6">
        <v>0.88735648999999994</v>
      </c>
      <c r="AB112" s="6">
        <v>0.91671608999999998</v>
      </c>
      <c r="AC112" s="5">
        <v>0.94851881000000005</v>
      </c>
      <c r="AD112" s="5">
        <v>0.98170438000000015</v>
      </c>
      <c r="AE112" s="5">
        <v>1.0157577499999999</v>
      </c>
      <c r="AF112" s="5">
        <v>1.0513919700000001</v>
      </c>
      <c r="AG112" s="5">
        <v>1.08624801</v>
      </c>
      <c r="AH112" s="5">
        <v>1.1217514999999998</v>
      </c>
      <c r="AI112" s="5">
        <v>1.1572749200000001</v>
      </c>
      <c r="AJ112" s="5">
        <v>1.19252509</v>
      </c>
      <c r="AK112" s="5">
        <v>1.2276868599999999</v>
      </c>
      <c r="AL112" s="5">
        <v>1.2635200300000002</v>
      </c>
    </row>
    <row r="115" spans="1:38" x14ac:dyDescent="0.25">
      <c r="A115" t="s">
        <v>41</v>
      </c>
    </row>
    <row r="116" spans="1:38" x14ac:dyDescent="0.25">
      <c r="A116" t="s">
        <v>15</v>
      </c>
      <c r="B116">
        <v>2014</v>
      </c>
      <c r="C116">
        <v>2015</v>
      </c>
      <c r="D116">
        <v>2016</v>
      </c>
      <c r="E116">
        <v>2017</v>
      </c>
      <c r="F116">
        <v>2018</v>
      </c>
      <c r="G116">
        <v>2019</v>
      </c>
      <c r="H116">
        <v>2020</v>
      </c>
      <c r="I116">
        <v>2021</v>
      </c>
      <c r="J116">
        <v>2022</v>
      </c>
      <c r="K116">
        <v>2023</v>
      </c>
      <c r="L116">
        <v>2024</v>
      </c>
      <c r="M116">
        <v>2025</v>
      </c>
      <c r="N116">
        <v>2026</v>
      </c>
      <c r="O116">
        <v>2027</v>
      </c>
      <c r="P116">
        <v>2028</v>
      </c>
      <c r="Q116">
        <v>2029</v>
      </c>
      <c r="R116">
        <v>2030</v>
      </c>
      <c r="S116">
        <v>2031</v>
      </c>
      <c r="T116">
        <v>2032</v>
      </c>
      <c r="U116">
        <v>2033</v>
      </c>
      <c r="V116">
        <v>2034</v>
      </c>
      <c r="W116">
        <v>2035</v>
      </c>
      <c r="X116">
        <v>2036</v>
      </c>
      <c r="Y116">
        <v>2037</v>
      </c>
      <c r="Z116">
        <v>2038</v>
      </c>
      <c r="AA116">
        <v>2039</v>
      </c>
      <c r="AB116">
        <v>2040</v>
      </c>
      <c r="AC116">
        <v>2041</v>
      </c>
      <c r="AD116">
        <v>2042</v>
      </c>
      <c r="AE116">
        <v>2043</v>
      </c>
      <c r="AF116">
        <v>2044</v>
      </c>
      <c r="AG116">
        <v>2045</v>
      </c>
      <c r="AH116">
        <v>2046</v>
      </c>
      <c r="AI116">
        <v>2047</v>
      </c>
      <c r="AJ116">
        <v>2048</v>
      </c>
      <c r="AK116">
        <v>2049</v>
      </c>
      <c r="AL116">
        <v>2050</v>
      </c>
    </row>
    <row r="117" spans="1:38" x14ac:dyDescent="0.25">
      <c r="A117" t="s">
        <v>1</v>
      </c>
      <c r="B117">
        <f t="shared" ref="B117:AL117" si="23">B90+B103</f>
        <v>0.44005417000000002</v>
      </c>
      <c r="C117">
        <f t="shared" si="23"/>
        <v>0.41126467999999999</v>
      </c>
      <c r="D117">
        <f t="shared" si="23"/>
        <v>0.40692478999999998</v>
      </c>
      <c r="E117">
        <f t="shared" si="23"/>
        <v>0.43105186000000001</v>
      </c>
      <c r="F117">
        <f t="shared" si="23"/>
        <v>0.42615819999999999</v>
      </c>
      <c r="G117">
        <f t="shared" si="23"/>
        <v>0.40360253000000001</v>
      </c>
      <c r="H117">
        <f t="shared" si="23"/>
        <v>0.40091028000000001</v>
      </c>
      <c r="I117">
        <f t="shared" si="23"/>
        <v>0.40834283999999998</v>
      </c>
      <c r="J117">
        <f t="shared" si="23"/>
        <v>0.41449141</v>
      </c>
      <c r="K117">
        <f t="shared" si="23"/>
        <v>0.40633553</v>
      </c>
      <c r="L117">
        <f t="shared" si="23"/>
        <v>0.41744131000000001</v>
      </c>
      <c r="M117">
        <f t="shared" si="23"/>
        <v>0.41585988000000002</v>
      </c>
      <c r="N117">
        <f t="shared" si="23"/>
        <v>0.41815916000000003</v>
      </c>
      <c r="O117">
        <f t="shared" si="23"/>
        <v>0.42567005000000002</v>
      </c>
      <c r="P117">
        <f t="shared" si="23"/>
        <v>0.43251058999999997</v>
      </c>
      <c r="Q117">
        <f t="shared" si="23"/>
        <v>0.44054353999999996</v>
      </c>
      <c r="R117">
        <f t="shared" si="23"/>
        <v>0.44783300999999998</v>
      </c>
      <c r="S117">
        <f t="shared" si="23"/>
        <v>0.45559248999999996</v>
      </c>
      <c r="T117">
        <f t="shared" si="23"/>
        <v>0.46408698000000004</v>
      </c>
      <c r="U117">
        <f t="shared" si="23"/>
        <v>0.47274619000000001</v>
      </c>
      <c r="V117">
        <f t="shared" si="23"/>
        <v>0.48216947999999998</v>
      </c>
      <c r="W117">
        <f t="shared" si="23"/>
        <v>0.49136340000000001</v>
      </c>
      <c r="X117">
        <f t="shared" si="23"/>
        <v>0.50125589000000004</v>
      </c>
      <c r="Y117">
        <f t="shared" si="23"/>
        <v>0.51061931000000005</v>
      </c>
      <c r="Z117">
        <f t="shared" si="23"/>
        <v>0.52013122000000001</v>
      </c>
      <c r="AA117">
        <f t="shared" si="23"/>
        <v>0.53003705999999995</v>
      </c>
      <c r="AB117">
        <f t="shared" si="23"/>
        <v>0.53929585000000002</v>
      </c>
      <c r="AC117">
        <f t="shared" si="23"/>
        <v>0.54768068999999997</v>
      </c>
      <c r="AD117">
        <f t="shared" si="23"/>
        <v>0.55556946000000007</v>
      </c>
      <c r="AE117">
        <f t="shared" si="23"/>
        <v>0.56286002000000002</v>
      </c>
      <c r="AF117">
        <f t="shared" si="23"/>
        <v>0.56954534000000001</v>
      </c>
      <c r="AG117">
        <f t="shared" si="23"/>
        <v>0.57587328999999998</v>
      </c>
      <c r="AH117">
        <f t="shared" si="23"/>
        <v>0.58201741000000007</v>
      </c>
      <c r="AI117">
        <f t="shared" si="23"/>
        <v>0.58853146999999995</v>
      </c>
      <c r="AJ117">
        <f t="shared" si="23"/>
        <v>0.59487110999999993</v>
      </c>
      <c r="AK117">
        <f t="shared" si="23"/>
        <v>0.60108239999999991</v>
      </c>
      <c r="AL117">
        <f t="shared" si="23"/>
        <v>0.60754668000000001</v>
      </c>
    </row>
    <row r="118" spans="1:38" x14ac:dyDescent="0.25">
      <c r="A118" t="s">
        <v>2</v>
      </c>
      <c r="B118">
        <f t="shared" ref="B118:AL118" si="24">B91+B104</f>
        <v>1.26752837</v>
      </c>
      <c r="C118">
        <f t="shared" si="24"/>
        <v>1.26685881</v>
      </c>
      <c r="D118">
        <f t="shared" si="24"/>
        <v>1.2595988200000001</v>
      </c>
      <c r="E118">
        <f t="shared" si="24"/>
        <v>1.23698072</v>
      </c>
      <c r="F118">
        <f t="shared" si="24"/>
        <v>1.2760080199999999</v>
      </c>
      <c r="G118">
        <f t="shared" si="24"/>
        <v>1.2593360899999999</v>
      </c>
      <c r="H118">
        <f t="shared" si="24"/>
        <v>1.20449779</v>
      </c>
      <c r="I118">
        <f t="shared" si="24"/>
        <v>1.2480706500000001</v>
      </c>
      <c r="J118">
        <f t="shared" si="24"/>
        <v>1.2755449300000001</v>
      </c>
      <c r="K118">
        <f t="shared" si="24"/>
        <v>1.2479091599999999</v>
      </c>
      <c r="L118">
        <f t="shared" si="24"/>
        <v>1.2635879400000001</v>
      </c>
      <c r="M118">
        <f t="shared" si="24"/>
        <v>1.2745002300000001</v>
      </c>
      <c r="N118">
        <f t="shared" si="24"/>
        <v>1.2819882899999999</v>
      </c>
      <c r="O118">
        <f t="shared" si="24"/>
        <v>1.2961790599999998</v>
      </c>
      <c r="P118">
        <f t="shared" si="24"/>
        <v>1.3103726899999999</v>
      </c>
      <c r="Q118">
        <f t="shared" si="24"/>
        <v>1.3287934300000002</v>
      </c>
      <c r="R118">
        <f t="shared" si="24"/>
        <v>1.34648839</v>
      </c>
      <c r="S118">
        <f t="shared" si="24"/>
        <v>1.3661591400000002</v>
      </c>
      <c r="T118">
        <f t="shared" si="24"/>
        <v>1.39037985</v>
      </c>
      <c r="U118">
        <f t="shared" si="24"/>
        <v>1.4142260800000002</v>
      </c>
      <c r="V118">
        <f t="shared" si="24"/>
        <v>1.4407909000000001</v>
      </c>
      <c r="W118">
        <f t="shared" si="24"/>
        <v>1.4694753199999999</v>
      </c>
      <c r="X118">
        <f t="shared" si="24"/>
        <v>1.4991405100000001</v>
      </c>
      <c r="Y118">
        <f t="shared" si="24"/>
        <v>1.5272806999999999</v>
      </c>
      <c r="Z118">
        <f t="shared" si="24"/>
        <v>1.5550633699999998</v>
      </c>
      <c r="AA118">
        <f t="shared" si="24"/>
        <v>1.5841635300000001</v>
      </c>
      <c r="AB118">
        <f t="shared" si="24"/>
        <v>1.6107295399999999</v>
      </c>
      <c r="AC118">
        <f t="shared" si="24"/>
        <v>1.63437666</v>
      </c>
      <c r="AD118">
        <f t="shared" si="24"/>
        <v>1.6564703599999999</v>
      </c>
      <c r="AE118">
        <f t="shared" si="24"/>
        <v>1.67692364</v>
      </c>
      <c r="AF118">
        <f t="shared" si="24"/>
        <v>1.6950504</v>
      </c>
      <c r="AG118">
        <f t="shared" si="24"/>
        <v>1.7131077700000001</v>
      </c>
      <c r="AH118">
        <f t="shared" si="24"/>
        <v>1.7314811299999999</v>
      </c>
      <c r="AI118">
        <f t="shared" si="24"/>
        <v>1.7514444</v>
      </c>
      <c r="AJ118">
        <f t="shared" si="24"/>
        <v>1.77149562</v>
      </c>
      <c r="AK118">
        <f t="shared" si="24"/>
        <v>1.7916513599999999</v>
      </c>
      <c r="AL118">
        <f t="shared" si="24"/>
        <v>1.81288637</v>
      </c>
    </row>
    <row r="119" spans="1:38" x14ac:dyDescent="0.25">
      <c r="A119" t="s">
        <v>3</v>
      </c>
      <c r="B119">
        <f t="shared" ref="B119:AL119" si="25">B92+B105</f>
        <v>1.94555787</v>
      </c>
      <c r="C119">
        <f t="shared" si="25"/>
        <v>1.9026612700000001</v>
      </c>
      <c r="D119">
        <f t="shared" si="25"/>
        <v>1.9039575900000001</v>
      </c>
      <c r="E119">
        <f t="shared" si="25"/>
        <v>1.8747113200000001</v>
      </c>
      <c r="F119">
        <f t="shared" si="25"/>
        <v>1.93916936</v>
      </c>
      <c r="G119">
        <f t="shared" si="25"/>
        <v>1.88470754</v>
      </c>
      <c r="H119">
        <f t="shared" si="25"/>
        <v>1.8458046299999999</v>
      </c>
      <c r="I119">
        <f t="shared" si="25"/>
        <v>1.89964252</v>
      </c>
      <c r="J119">
        <f t="shared" si="25"/>
        <v>1.89623092</v>
      </c>
      <c r="K119">
        <f t="shared" si="25"/>
        <v>1.8684144500000002</v>
      </c>
      <c r="L119">
        <f t="shared" si="25"/>
        <v>1.9032911699999999</v>
      </c>
      <c r="M119">
        <f t="shared" si="25"/>
        <v>1.9237582499999999</v>
      </c>
      <c r="N119">
        <f t="shared" si="25"/>
        <v>1.9338405299999999</v>
      </c>
      <c r="O119">
        <f t="shared" si="25"/>
        <v>1.9483408</v>
      </c>
      <c r="P119">
        <f t="shared" si="25"/>
        <v>1.9613177099999999</v>
      </c>
      <c r="Q119">
        <f t="shared" si="25"/>
        <v>1.9795584099999999</v>
      </c>
      <c r="R119">
        <f t="shared" si="25"/>
        <v>1.9994732399999999</v>
      </c>
      <c r="S119">
        <f t="shared" si="25"/>
        <v>2.01975813</v>
      </c>
      <c r="T119">
        <f t="shared" si="25"/>
        <v>2.0497539100000002</v>
      </c>
      <c r="U119">
        <f t="shared" si="25"/>
        <v>2.0819638499999997</v>
      </c>
      <c r="V119">
        <f t="shared" si="25"/>
        <v>2.1211043900000002</v>
      </c>
      <c r="W119">
        <f t="shared" si="25"/>
        <v>2.1616417799999996</v>
      </c>
      <c r="X119">
        <f t="shared" si="25"/>
        <v>2.2026545300000002</v>
      </c>
      <c r="Y119">
        <f t="shared" si="25"/>
        <v>2.2357598399999996</v>
      </c>
      <c r="Z119">
        <f t="shared" si="25"/>
        <v>2.27354732</v>
      </c>
      <c r="AA119">
        <f t="shared" si="25"/>
        <v>2.3110106700000004</v>
      </c>
      <c r="AB119">
        <f t="shared" si="25"/>
        <v>2.34693759</v>
      </c>
      <c r="AC119">
        <f t="shared" si="25"/>
        <v>2.3785880000000001</v>
      </c>
      <c r="AD119">
        <f t="shared" si="25"/>
        <v>2.4091241600000002</v>
      </c>
      <c r="AE119">
        <f t="shared" si="25"/>
        <v>2.4373296600000001</v>
      </c>
      <c r="AF119">
        <f t="shared" si="25"/>
        <v>2.4638535899999998</v>
      </c>
      <c r="AG119">
        <f t="shared" si="25"/>
        <v>2.4887395900000002</v>
      </c>
      <c r="AH119">
        <f t="shared" si="25"/>
        <v>2.5146793000000001</v>
      </c>
      <c r="AI119">
        <f t="shared" si="25"/>
        <v>2.5395579100000001</v>
      </c>
      <c r="AJ119">
        <f t="shared" si="25"/>
        <v>2.5622113999999998</v>
      </c>
      <c r="AK119">
        <f t="shared" si="25"/>
        <v>2.5855984400000001</v>
      </c>
      <c r="AL119">
        <f t="shared" si="25"/>
        <v>2.61102927</v>
      </c>
    </row>
    <row r="120" spans="1:38" x14ac:dyDescent="0.25">
      <c r="A120" t="s">
        <v>4</v>
      </c>
      <c r="B120">
        <f t="shared" ref="B120:AL120" si="26">B93+B106</f>
        <v>1.0344776099999999</v>
      </c>
      <c r="C120">
        <f t="shared" si="26"/>
        <v>1.01446857</v>
      </c>
      <c r="D120">
        <f t="shared" si="26"/>
        <v>1.0097318599999998</v>
      </c>
      <c r="E120">
        <f t="shared" si="26"/>
        <v>1.0046336900000001</v>
      </c>
      <c r="F120">
        <f t="shared" si="26"/>
        <v>1.0409521500000001</v>
      </c>
      <c r="G120">
        <f t="shared" si="26"/>
        <v>1.03110115</v>
      </c>
      <c r="H120">
        <f t="shared" si="26"/>
        <v>1.0035191299999999</v>
      </c>
      <c r="I120">
        <f t="shared" si="26"/>
        <v>1.0504609499999999</v>
      </c>
      <c r="J120">
        <f t="shared" si="26"/>
        <v>1.0727560199999999</v>
      </c>
      <c r="K120">
        <f t="shared" si="26"/>
        <v>1.0542266199999999</v>
      </c>
      <c r="L120">
        <f t="shared" si="26"/>
        <v>1.10698227</v>
      </c>
      <c r="M120">
        <f t="shared" si="26"/>
        <v>1.11526817</v>
      </c>
      <c r="N120">
        <f t="shared" si="26"/>
        <v>1.1008166100000001</v>
      </c>
      <c r="O120">
        <f t="shared" si="26"/>
        <v>1.1043045599999999</v>
      </c>
      <c r="P120">
        <f t="shared" si="26"/>
        <v>1.10796304</v>
      </c>
      <c r="Q120">
        <f t="shared" si="26"/>
        <v>1.1181261199999999</v>
      </c>
      <c r="R120">
        <f t="shared" si="26"/>
        <v>1.1298235300000001</v>
      </c>
      <c r="S120">
        <f t="shared" si="26"/>
        <v>1.1433556</v>
      </c>
      <c r="T120">
        <f t="shared" si="26"/>
        <v>1.1618594899999999</v>
      </c>
      <c r="U120">
        <f t="shared" si="26"/>
        <v>1.1823225900000001</v>
      </c>
      <c r="V120">
        <f t="shared" si="26"/>
        <v>1.2060499199999999</v>
      </c>
      <c r="W120">
        <f t="shared" si="26"/>
        <v>1.23112372</v>
      </c>
      <c r="X120">
        <f t="shared" si="26"/>
        <v>1.2557348499999998</v>
      </c>
      <c r="Y120">
        <f t="shared" si="26"/>
        <v>1.2772937</v>
      </c>
      <c r="Z120">
        <f t="shared" si="26"/>
        <v>1.3004772</v>
      </c>
      <c r="AA120">
        <f t="shared" si="26"/>
        <v>1.3221166799999999</v>
      </c>
      <c r="AB120">
        <f t="shared" si="26"/>
        <v>1.3429125</v>
      </c>
      <c r="AC120">
        <f t="shared" si="26"/>
        <v>1.3624395600000001</v>
      </c>
      <c r="AD120">
        <f t="shared" si="26"/>
        <v>1.3823343299999999</v>
      </c>
      <c r="AE120">
        <f t="shared" si="26"/>
        <v>1.4015144399999999</v>
      </c>
      <c r="AF120">
        <f t="shared" si="26"/>
        <v>1.4197132800000001</v>
      </c>
      <c r="AG120">
        <f t="shared" si="26"/>
        <v>1.4355271100000002</v>
      </c>
      <c r="AH120">
        <f t="shared" si="26"/>
        <v>1.4519886900000001</v>
      </c>
      <c r="AI120">
        <f t="shared" si="26"/>
        <v>1.46903783</v>
      </c>
      <c r="AJ120">
        <f t="shared" si="26"/>
        <v>1.4861068800000001</v>
      </c>
      <c r="AK120">
        <f t="shared" si="26"/>
        <v>1.50393639</v>
      </c>
      <c r="AL120">
        <f t="shared" si="26"/>
        <v>1.5228545500000001</v>
      </c>
    </row>
    <row r="121" spans="1:38" x14ac:dyDescent="0.25">
      <c r="A121" t="s">
        <v>5</v>
      </c>
      <c r="B121">
        <f t="shared" ref="B121:AL121" si="27">B94+B107</f>
        <v>2.7230294000000002</v>
      </c>
      <c r="C121">
        <f t="shared" si="27"/>
        <v>2.7191964100000003</v>
      </c>
      <c r="D121">
        <f t="shared" si="27"/>
        <v>2.7304194700000002</v>
      </c>
      <c r="E121">
        <f t="shared" si="27"/>
        <v>2.6800920700000002</v>
      </c>
      <c r="F121">
        <f t="shared" si="27"/>
        <v>2.7837620900000002</v>
      </c>
      <c r="G121">
        <f t="shared" si="27"/>
        <v>2.78859689</v>
      </c>
      <c r="H121">
        <f t="shared" si="27"/>
        <v>2.7067142100000003</v>
      </c>
      <c r="I121">
        <f t="shared" si="27"/>
        <v>2.82597575</v>
      </c>
      <c r="J121">
        <f t="shared" si="27"/>
        <v>2.9140802800000003</v>
      </c>
      <c r="K121">
        <f t="shared" si="27"/>
        <v>2.8918219000000001</v>
      </c>
      <c r="L121">
        <f t="shared" si="27"/>
        <v>2.9805893499999998</v>
      </c>
      <c r="M121">
        <f t="shared" si="27"/>
        <v>2.9900518599999999</v>
      </c>
      <c r="N121">
        <f t="shared" si="27"/>
        <v>3.0006379700000001</v>
      </c>
      <c r="O121">
        <f t="shared" si="27"/>
        <v>3.0313283200000001</v>
      </c>
      <c r="P121">
        <f t="shared" si="27"/>
        <v>3.06048264</v>
      </c>
      <c r="Q121">
        <f t="shared" si="27"/>
        <v>3.1029264300000001</v>
      </c>
      <c r="R121">
        <f t="shared" si="27"/>
        <v>3.13995538</v>
      </c>
      <c r="S121">
        <f t="shared" si="27"/>
        <v>3.17773416</v>
      </c>
      <c r="T121">
        <f t="shared" si="27"/>
        <v>3.2250529700000001</v>
      </c>
      <c r="U121">
        <f t="shared" si="27"/>
        <v>3.27419306</v>
      </c>
      <c r="V121">
        <f t="shared" si="27"/>
        <v>3.3237860299999999</v>
      </c>
      <c r="W121">
        <f t="shared" si="27"/>
        <v>3.3761865100000001</v>
      </c>
      <c r="X121">
        <f t="shared" si="27"/>
        <v>3.4337999100000003</v>
      </c>
      <c r="Y121">
        <f t="shared" si="27"/>
        <v>3.4960245400000001</v>
      </c>
      <c r="Z121">
        <f t="shared" si="27"/>
        <v>3.5592259400000001</v>
      </c>
      <c r="AA121">
        <f t="shared" si="27"/>
        <v>3.6245261600000003</v>
      </c>
      <c r="AB121">
        <f t="shared" si="27"/>
        <v>3.6866515</v>
      </c>
      <c r="AC121">
        <f t="shared" si="27"/>
        <v>3.74352624</v>
      </c>
      <c r="AD121">
        <f t="shared" si="27"/>
        <v>3.7965163999999998</v>
      </c>
      <c r="AE121">
        <f t="shared" si="27"/>
        <v>3.8455403400000003</v>
      </c>
      <c r="AF121">
        <f t="shared" si="27"/>
        <v>3.89076216</v>
      </c>
      <c r="AG121">
        <f t="shared" si="27"/>
        <v>3.9353148399999998</v>
      </c>
      <c r="AH121">
        <f t="shared" si="27"/>
        <v>3.9809683499999999</v>
      </c>
      <c r="AI121">
        <f t="shared" si="27"/>
        <v>4.0286426899999999</v>
      </c>
      <c r="AJ121">
        <f t="shared" si="27"/>
        <v>4.0800011200000004</v>
      </c>
      <c r="AK121">
        <f t="shared" si="27"/>
        <v>4.13403996</v>
      </c>
      <c r="AL121">
        <f t="shared" si="27"/>
        <v>4.1922894299999998</v>
      </c>
    </row>
    <row r="122" spans="1:38" x14ac:dyDescent="0.25">
      <c r="A122" t="s">
        <v>6</v>
      </c>
      <c r="B122">
        <f t="shared" ref="B122:AL122" si="28">B95+B108</f>
        <v>1.08975154</v>
      </c>
      <c r="C122">
        <f t="shared" si="28"/>
        <v>1.0485643200000001</v>
      </c>
      <c r="D122">
        <f t="shared" si="28"/>
        <v>1.03758701</v>
      </c>
      <c r="E122">
        <f t="shared" si="28"/>
        <v>1.0056683500000001</v>
      </c>
      <c r="F122">
        <f t="shared" si="28"/>
        <v>1.0592487000000002</v>
      </c>
      <c r="G122">
        <f t="shared" si="28"/>
        <v>1.0527665500000001</v>
      </c>
      <c r="H122">
        <f t="shared" si="28"/>
        <v>1.00151024</v>
      </c>
      <c r="I122">
        <f t="shared" si="28"/>
        <v>1.04619811</v>
      </c>
      <c r="J122">
        <f t="shared" si="28"/>
        <v>1.06320331</v>
      </c>
      <c r="K122">
        <f t="shared" si="28"/>
        <v>1.04969588</v>
      </c>
      <c r="L122">
        <f t="shared" si="28"/>
        <v>1.0628610199999999</v>
      </c>
      <c r="M122">
        <f t="shared" si="28"/>
        <v>1.05163377</v>
      </c>
      <c r="N122">
        <f t="shared" si="28"/>
        <v>1.06983004</v>
      </c>
      <c r="O122">
        <f t="shared" si="28"/>
        <v>1.0801630199999999</v>
      </c>
      <c r="P122">
        <f t="shared" si="28"/>
        <v>1.0899172700000002</v>
      </c>
      <c r="Q122">
        <f t="shared" si="28"/>
        <v>1.0980748199999999</v>
      </c>
      <c r="R122">
        <f t="shared" si="28"/>
        <v>1.1043210999999999</v>
      </c>
      <c r="S122">
        <f t="shared" si="28"/>
        <v>1.1116283599999999</v>
      </c>
      <c r="T122">
        <f t="shared" si="28"/>
        <v>1.1225916</v>
      </c>
      <c r="U122">
        <f t="shared" si="28"/>
        <v>1.1343132499999999</v>
      </c>
      <c r="V122">
        <f t="shared" si="28"/>
        <v>1.1472750100000002</v>
      </c>
      <c r="W122">
        <f t="shared" si="28"/>
        <v>1.1615215400000001</v>
      </c>
      <c r="X122">
        <f t="shared" si="28"/>
        <v>1.1751463500000001</v>
      </c>
      <c r="Y122">
        <f t="shared" si="28"/>
        <v>1.1897840400000002</v>
      </c>
      <c r="Z122">
        <f t="shared" si="28"/>
        <v>1.2041752999999999</v>
      </c>
      <c r="AA122">
        <f t="shared" si="28"/>
        <v>1.2190069799999999</v>
      </c>
      <c r="AB122">
        <f t="shared" si="28"/>
        <v>1.23288</v>
      </c>
      <c r="AC122">
        <f t="shared" si="28"/>
        <v>1.2462099499999999</v>
      </c>
      <c r="AD122">
        <f t="shared" si="28"/>
        <v>1.2595469699999999</v>
      </c>
      <c r="AE122">
        <f t="shared" si="28"/>
        <v>1.2712550800000002</v>
      </c>
      <c r="AF122">
        <f t="shared" si="28"/>
        <v>1.28073926</v>
      </c>
      <c r="AG122">
        <f t="shared" si="28"/>
        <v>1.2897180400000001</v>
      </c>
      <c r="AH122">
        <f t="shared" si="28"/>
        <v>1.2988546299999999</v>
      </c>
      <c r="AI122">
        <f t="shared" si="28"/>
        <v>1.3078536000000001</v>
      </c>
      <c r="AJ122">
        <f t="shared" si="28"/>
        <v>1.31808624</v>
      </c>
      <c r="AK122">
        <f t="shared" si="28"/>
        <v>1.32997878</v>
      </c>
      <c r="AL122">
        <f t="shared" si="28"/>
        <v>1.34342502</v>
      </c>
    </row>
    <row r="123" spans="1:38" x14ac:dyDescent="0.25">
      <c r="A123" t="s">
        <v>7</v>
      </c>
      <c r="B123">
        <f t="shared" ref="B123:AL123" si="29">B96+B109</f>
        <v>2.0292332000000002</v>
      </c>
      <c r="C123">
        <f t="shared" si="29"/>
        <v>2.04461863</v>
      </c>
      <c r="D123">
        <f t="shared" si="29"/>
        <v>2.0291042000000004</v>
      </c>
      <c r="E123">
        <f t="shared" si="29"/>
        <v>2.0232399399999998</v>
      </c>
      <c r="F123">
        <f t="shared" si="29"/>
        <v>2.1222837499999998</v>
      </c>
      <c r="G123">
        <f t="shared" si="29"/>
        <v>2.1605860799999999</v>
      </c>
      <c r="H123">
        <f t="shared" si="29"/>
        <v>2.07556713</v>
      </c>
      <c r="I123">
        <f t="shared" si="29"/>
        <v>2.20786331</v>
      </c>
      <c r="J123">
        <f t="shared" si="29"/>
        <v>2.30484519</v>
      </c>
      <c r="K123">
        <f t="shared" si="29"/>
        <v>2.23077806</v>
      </c>
      <c r="L123">
        <f t="shared" si="29"/>
        <v>2.3733465499999999</v>
      </c>
      <c r="M123">
        <f t="shared" si="29"/>
        <v>2.4039857500000004</v>
      </c>
      <c r="N123">
        <f t="shared" si="29"/>
        <v>2.4174521699999998</v>
      </c>
      <c r="O123">
        <f t="shared" si="29"/>
        <v>2.4362918599999999</v>
      </c>
      <c r="P123">
        <f t="shared" si="29"/>
        <v>2.4584582500000001</v>
      </c>
      <c r="Q123">
        <f t="shared" si="29"/>
        <v>2.4861617799999998</v>
      </c>
      <c r="R123">
        <f t="shared" si="29"/>
        <v>2.5104806799999997</v>
      </c>
      <c r="S123">
        <f t="shared" si="29"/>
        <v>2.5360069199999997</v>
      </c>
      <c r="T123">
        <f t="shared" si="29"/>
        <v>2.5750412300000001</v>
      </c>
      <c r="U123">
        <f t="shared" si="29"/>
        <v>2.6169146100000003</v>
      </c>
      <c r="V123">
        <f t="shared" si="29"/>
        <v>2.6628018299999998</v>
      </c>
      <c r="W123">
        <f t="shared" si="29"/>
        <v>2.7161766999999997</v>
      </c>
      <c r="X123">
        <f t="shared" si="29"/>
        <v>2.77239996</v>
      </c>
      <c r="Y123">
        <f t="shared" si="29"/>
        <v>2.8285382600000002</v>
      </c>
      <c r="Z123">
        <f t="shared" si="29"/>
        <v>2.8772637400000001</v>
      </c>
      <c r="AA123">
        <f t="shared" si="29"/>
        <v>2.9246525499999998</v>
      </c>
      <c r="AB123">
        <f t="shared" si="29"/>
        <v>2.9630112299999998</v>
      </c>
      <c r="AC123">
        <f t="shared" si="29"/>
        <v>3.00020687</v>
      </c>
      <c r="AD123">
        <f t="shared" si="29"/>
        <v>3.0385576300000001</v>
      </c>
      <c r="AE123">
        <f t="shared" si="29"/>
        <v>3.0760213800000002</v>
      </c>
      <c r="AF123">
        <f t="shared" si="29"/>
        <v>3.1103558699999998</v>
      </c>
      <c r="AG123">
        <f t="shared" si="29"/>
        <v>3.144984</v>
      </c>
      <c r="AH123">
        <f t="shared" si="29"/>
        <v>3.18090429</v>
      </c>
      <c r="AI123">
        <f t="shared" si="29"/>
        <v>3.2141586499999999</v>
      </c>
      <c r="AJ123">
        <f t="shared" si="29"/>
        <v>3.2466735100000004</v>
      </c>
      <c r="AK123">
        <f t="shared" si="29"/>
        <v>3.2809820799999998</v>
      </c>
      <c r="AL123">
        <f t="shared" si="29"/>
        <v>3.31840739</v>
      </c>
    </row>
    <row r="124" spans="1:38" x14ac:dyDescent="0.25">
      <c r="A124" t="s">
        <v>8</v>
      </c>
      <c r="B124">
        <f t="shared" ref="B124:AL124" si="30">B97+B110</f>
        <v>0.92274053</v>
      </c>
      <c r="C124">
        <f t="shared" si="30"/>
        <v>0.93015787999999999</v>
      </c>
      <c r="D124">
        <f t="shared" si="30"/>
        <v>0.94166365000000007</v>
      </c>
      <c r="E124">
        <f t="shared" si="30"/>
        <v>0.95548774000000003</v>
      </c>
      <c r="F124">
        <f t="shared" si="30"/>
        <v>0.96707635999999997</v>
      </c>
      <c r="G124">
        <f t="shared" si="30"/>
        <v>0.96673637999999995</v>
      </c>
      <c r="H124">
        <f t="shared" si="30"/>
        <v>0.97964798999999991</v>
      </c>
      <c r="I124">
        <f t="shared" si="30"/>
        <v>1.02477182</v>
      </c>
      <c r="J124">
        <f t="shared" si="30"/>
        <v>1.0486116999999999</v>
      </c>
      <c r="K124">
        <f t="shared" si="30"/>
        <v>1.03047351</v>
      </c>
      <c r="L124">
        <f t="shared" si="30"/>
        <v>1.1041066000000002</v>
      </c>
      <c r="M124">
        <f t="shared" si="30"/>
        <v>1.10215763</v>
      </c>
      <c r="N124">
        <f t="shared" si="30"/>
        <v>1.1098993699999999</v>
      </c>
      <c r="O124">
        <f t="shared" si="30"/>
        <v>1.1258467699999999</v>
      </c>
      <c r="P124">
        <f t="shared" si="30"/>
        <v>1.1424156399999998</v>
      </c>
      <c r="Q124">
        <f t="shared" si="30"/>
        <v>1.1665647399999999</v>
      </c>
      <c r="R124">
        <f t="shared" si="30"/>
        <v>1.1926071200000001</v>
      </c>
      <c r="S124">
        <f t="shared" si="30"/>
        <v>1.2216442300000001</v>
      </c>
      <c r="T124">
        <f t="shared" si="30"/>
        <v>1.2573079999999999</v>
      </c>
      <c r="U124">
        <f t="shared" si="30"/>
        <v>1.29620881</v>
      </c>
      <c r="V124">
        <f t="shared" si="30"/>
        <v>1.33925041</v>
      </c>
      <c r="W124">
        <f t="shared" si="30"/>
        <v>1.38268053</v>
      </c>
      <c r="X124">
        <f t="shared" si="30"/>
        <v>1.4230219800000001</v>
      </c>
      <c r="Y124">
        <f t="shared" si="30"/>
        <v>1.46156518</v>
      </c>
      <c r="Z124">
        <f t="shared" si="30"/>
        <v>1.50058037</v>
      </c>
      <c r="AA124">
        <f t="shared" si="30"/>
        <v>1.5390550199999999</v>
      </c>
      <c r="AB124">
        <f t="shared" si="30"/>
        <v>1.57699737</v>
      </c>
      <c r="AC124">
        <f t="shared" si="30"/>
        <v>1.6139725899999999</v>
      </c>
      <c r="AD124">
        <f t="shared" si="30"/>
        <v>1.6509322200000001</v>
      </c>
      <c r="AE124">
        <f t="shared" si="30"/>
        <v>1.6882591900000001</v>
      </c>
      <c r="AF124">
        <f t="shared" si="30"/>
        <v>1.7226443</v>
      </c>
      <c r="AG124">
        <f t="shared" si="30"/>
        <v>1.7549317100000001</v>
      </c>
      <c r="AH124">
        <f t="shared" si="30"/>
        <v>1.78832901</v>
      </c>
      <c r="AI124">
        <f t="shared" si="30"/>
        <v>1.8206654599999998</v>
      </c>
      <c r="AJ124">
        <f t="shared" si="30"/>
        <v>1.8540243600000001</v>
      </c>
      <c r="AK124">
        <f t="shared" si="30"/>
        <v>1.8889058799999998</v>
      </c>
      <c r="AL124">
        <f t="shared" si="30"/>
        <v>1.92574136</v>
      </c>
    </row>
    <row r="125" spans="1:38" x14ac:dyDescent="0.25">
      <c r="A125" t="s">
        <v>9</v>
      </c>
      <c r="B125">
        <f t="shared" ref="B125:AL125" si="31">B98+B111</f>
        <v>1.4177679999999999</v>
      </c>
      <c r="C125">
        <f t="shared" si="31"/>
        <v>1.4340976299999999</v>
      </c>
      <c r="D125">
        <f t="shared" si="31"/>
        <v>1.43086403</v>
      </c>
      <c r="E125">
        <f t="shared" si="31"/>
        <v>1.4638734799999999</v>
      </c>
      <c r="F125">
        <f t="shared" si="31"/>
        <v>1.46187836</v>
      </c>
      <c r="G125">
        <f t="shared" si="31"/>
        <v>1.44001556</v>
      </c>
      <c r="H125">
        <f t="shared" si="31"/>
        <v>1.45569836</v>
      </c>
      <c r="I125">
        <f t="shared" si="31"/>
        <v>1.48194834</v>
      </c>
      <c r="J125">
        <f t="shared" si="31"/>
        <v>1.52399438</v>
      </c>
      <c r="K125">
        <f t="shared" si="31"/>
        <v>1.5039897899999999</v>
      </c>
      <c r="L125">
        <f t="shared" si="31"/>
        <v>1.5718749299999999</v>
      </c>
      <c r="M125">
        <f t="shared" si="31"/>
        <v>1.55845984</v>
      </c>
      <c r="N125">
        <f t="shared" si="31"/>
        <v>1.57805679</v>
      </c>
      <c r="O125">
        <f t="shared" si="31"/>
        <v>1.61767741</v>
      </c>
      <c r="P125">
        <f t="shared" si="31"/>
        <v>1.6525747</v>
      </c>
      <c r="Q125">
        <f t="shared" si="31"/>
        <v>1.6901567900000001</v>
      </c>
      <c r="R125">
        <f t="shared" si="31"/>
        <v>1.72930041</v>
      </c>
      <c r="S125">
        <f t="shared" si="31"/>
        <v>1.7695203100000001</v>
      </c>
      <c r="T125">
        <f t="shared" si="31"/>
        <v>1.8197260700000002</v>
      </c>
      <c r="U125">
        <f t="shared" si="31"/>
        <v>1.8738093300000001</v>
      </c>
      <c r="V125">
        <f t="shared" si="31"/>
        <v>1.9309897499999999</v>
      </c>
      <c r="W125">
        <f t="shared" si="31"/>
        <v>1.98638943</v>
      </c>
      <c r="X125">
        <f t="shared" si="31"/>
        <v>2.0375271800000001</v>
      </c>
      <c r="Y125">
        <f t="shared" si="31"/>
        <v>2.0864717100000001</v>
      </c>
      <c r="Z125">
        <f t="shared" si="31"/>
        <v>2.13575092</v>
      </c>
      <c r="AA125">
        <f t="shared" si="31"/>
        <v>2.18375684</v>
      </c>
      <c r="AB125">
        <f t="shared" si="31"/>
        <v>2.2294715099999998</v>
      </c>
      <c r="AC125">
        <f t="shared" si="31"/>
        <v>2.2722152500000004</v>
      </c>
      <c r="AD125">
        <f t="shared" si="31"/>
        <v>2.3140018499999999</v>
      </c>
      <c r="AE125">
        <f t="shared" si="31"/>
        <v>2.3548939999999998</v>
      </c>
      <c r="AF125">
        <f t="shared" si="31"/>
        <v>2.39286077</v>
      </c>
      <c r="AG125">
        <f t="shared" si="31"/>
        <v>2.4283166600000001</v>
      </c>
      <c r="AH125">
        <f t="shared" si="31"/>
        <v>2.4647066899999999</v>
      </c>
      <c r="AI125">
        <f t="shared" si="31"/>
        <v>2.4998669100000002</v>
      </c>
      <c r="AJ125">
        <f t="shared" si="31"/>
        <v>2.53442385</v>
      </c>
      <c r="AK125">
        <f t="shared" si="31"/>
        <v>2.5698115699999997</v>
      </c>
      <c r="AL125">
        <f t="shared" si="31"/>
        <v>2.6072149599999999</v>
      </c>
    </row>
    <row r="126" spans="1:38" x14ac:dyDescent="0.25">
      <c r="A126" s="3" t="s">
        <v>10</v>
      </c>
      <c r="B126">
        <f t="shared" ref="B126:AL126" si="32">B99+B112</f>
        <v>12.87013969</v>
      </c>
      <c r="C126">
        <f t="shared" si="32"/>
        <v>12.771888199999999</v>
      </c>
      <c r="D126">
        <f t="shared" si="32"/>
        <v>12.749851420000001</v>
      </c>
      <c r="E126">
        <f t="shared" si="32"/>
        <v>12.67573917</v>
      </c>
      <c r="F126">
        <f t="shared" si="32"/>
        <v>13.076536989999999</v>
      </c>
      <c r="G126">
        <f t="shared" si="32"/>
        <v>12.987447769999999</v>
      </c>
      <c r="H126">
        <f t="shared" si="32"/>
        <v>12.673869760000001</v>
      </c>
      <c r="I126">
        <f t="shared" si="32"/>
        <v>13.193274290000002</v>
      </c>
      <c r="J126">
        <f t="shared" si="32"/>
        <v>13.513757139999999</v>
      </c>
      <c r="K126">
        <f t="shared" si="32"/>
        <v>13.283644900000001</v>
      </c>
      <c r="L126">
        <f t="shared" si="32"/>
        <v>13.784082140000001</v>
      </c>
      <c r="M126">
        <f t="shared" si="32"/>
        <v>13.83567438</v>
      </c>
      <c r="N126">
        <f t="shared" si="32"/>
        <v>13.910681929999999</v>
      </c>
      <c r="O126">
        <f t="shared" si="32"/>
        <v>14.06580185</v>
      </c>
      <c r="P126">
        <f t="shared" si="32"/>
        <v>14.21601353</v>
      </c>
      <c r="Q126">
        <f t="shared" si="32"/>
        <v>14.410905059999999</v>
      </c>
      <c r="R126">
        <f t="shared" si="32"/>
        <v>14.600281860000001</v>
      </c>
      <c r="S126">
        <f t="shared" si="32"/>
        <v>14.801398339999999</v>
      </c>
      <c r="T126">
        <f t="shared" si="32"/>
        <v>15.0657981</v>
      </c>
      <c r="U126">
        <f t="shared" si="32"/>
        <v>15.34669777</v>
      </c>
      <c r="V126">
        <f t="shared" si="32"/>
        <v>15.65421572</v>
      </c>
      <c r="W126">
        <f t="shared" si="32"/>
        <v>15.976556929999999</v>
      </c>
      <c r="X126">
        <f t="shared" si="32"/>
        <v>16.300683160000002</v>
      </c>
      <c r="Y126">
        <f t="shared" si="32"/>
        <v>16.613336280000002</v>
      </c>
      <c r="Z126">
        <f t="shared" si="32"/>
        <v>16.926215380000002</v>
      </c>
      <c r="AA126">
        <f t="shared" si="32"/>
        <v>17.238325489999998</v>
      </c>
      <c r="AB126">
        <f t="shared" si="32"/>
        <v>17.528887090000001</v>
      </c>
      <c r="AC126">
        <f t="shared" si="32"/>
        <v>17.79921581</v>
      </c>
      <c r="AD126">
        <f t="shared" si="32"/>
        <v>18.063052379999998</v>
      </c>
      <c r="AE126">
        <f t="shared" si="32"/>
        <v>18.314598749999998</v>
      </c>
      <c r="AF126">
        <f t="shared" si="32"/>
        <v>18.545524970000002</v>
      </c>
      <c r="AG126">
        <f t="shared" si="32"/>
        <v>18.766515009999999</v>
      </c>
      <c r="AH126">
        <f t="shared" si="32"/>
        <v>18.993928499999999</v>
      </c>
      <c r="AI126">
        <f t="shared" si="32"/>
        <v>19.219755919999997</v>
      </c>
      <c r="AJ126">
        <f t="shared" si="32"/>
        <v>19.447894090000002</v>
      </c>
      <c r="AK126">
        <f t="shared" si="32"/>
        <v>19.685984859999998</v>
      </c>
      <c r="AL126">
        <f t="shared" si="32"/>
        <v>19.94139603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AQ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86" sqref="G86"/>
    </sheetView>
  </sheetViews>
  <sheetFormatPr defaultRowHeight="15" x14ac:dyDescent="0.25"/>
  <cols>
    <col min="1" max="1" width="20.28515625" bestFit="1" customWidth="1"/>
    <col min="2" max="2" width="16.5703125" customWidth="1"/>
    <col min="3" max="3" width="8.85546875" customWidth="1"/>
  </cols>
  <sheetData>
    <row r="1" spans="1:43" s="1" customFormat="1" x14ac:dyDescent="0.25">
      <c r="A1" s="1" t="s">
        <v>11</v>
      </c>
      <c r="C1" s="1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  <c r="AA1" s="2">
        <v>2034</v>
      </c>
      <c r="AB1" s="2">
        <v>2035</v>
      </c>
      <c r="AC1" s="2">
        <v>2036</v>
      </c>
      <c r="AD1" s="2">
        <v>2037</v>
      </c>
      <c r="AE1" s="2">
        <v>2038</v>
      </c>
      <c r="AF1" s="2">
        <v>2039</v>
      </c>
      <c r="AG1" s="2">
        <v>2040</v>
      </c>
      <c r="AH1" s="2">
        <v>2041</v>
      </c>
      <c r="AI1" s="2">
        <v>2042</v>
      </c>
      <c r="AJ1" s="2">
        <v>2043</v>
      </c>
      <c r="AK1" s="2">
        <v>2044</v>
      </c>
      <c r="AL1" s="2">
        <v>2045</v>
      </c>
      <c r="AM1" s="2">
        <v>2046</v>
      </c>
      <c r="AN1" s="2">
        <v>2047</v>
      </c>
      <c r="AO1" s="2">
        <v>2048</v>
      </c>
      <c r="AP1" s="2">
        <v>2049</v>
      </c>
      <c r="AQ1" s="2">
        <v>2050</v>
      </c>
    </row>
    <row r="2" spans="1:43" x14ac:dyDescent="0.25">
      <c r="A2" t="s">
        <v>0</v>
      </c>
      <c r="B2" t="s">
        <v>1</v>
      </c>
      <c r="C2">
        <f>'Adding DGPV to Demand'!C32</f>
        <v>0.42</v>
      </c>
      <c r="D2">
        <f>'Adding DGPV to Demand'!D32</f>
        <v>0.41174100000000002</v>
      </c>
      <c r="E2">
        <f>'Adding DGPV to Demand'!E32</f>
        <v>0.41017399999999998</v>
      </c>
      <c r="F2">
        <f>'Adding DGPV to Demand'!F32</f>
        <v>0.41102066999999998</v>
      </c>
      <c r="G2">
        <f>'Adding DGPV to Demand'!G32</f>
        <v>0.44005517</v>
      </c>
      <c r="H2">
        <f>'Adding DGPV to Demand'!H32</f>
        <v>0.41126467999999999</v>
      </c>
      <c r="I2">
        <f>'Adding DGPV to Demand'!I32</f>
        <v>0.40693478999999999</v>
      </c>
      <c r="J2">
        <f>'Adding DGPV to Demand'!J32</f>
        <v>0.43105186000000001</v>
      </c>
      <c r="K2">
        <f>'Adding DGPV to Demand'!K32</f>
        <v>0.42616219999999999</v>
      </c>
      <c r="L2">
        <f>'Adding DGPV to Demand'!L32</f>
        <v>0.40360152999999999</v>
      </c>
      <c r="M2">
        <f>'Adding DGPV to Demand'!M32</f>
        <v>0.40095227999999999</v>
      </c>
      <c r="N2">
        <f>'Adding DGPV to Demand'!N32</f>
        <v>0.40835083999999999</v>
      </c>
      <c r="O2">
        <f>'Adding DGPV to Demand'!O32</f>
        <v>0.41452341000000004</v>
      </c>
      <c r="P2">
        <f>'Adding DGPV to Demand'!P32</f>
        <v>0.40848953000000005</v>
      </c>
      <c r="Q2">
        <f>'Adding DGPV to Demand'!Q32</f>
        <v>0.41749120000000001</v>
      </c>
      <c r="R2">
        <f>'Adding DGPV to Demand'!R32</f>
        <v>0.41845779000000005</v>
      </c>
      <c r="S2">
        <f>'Adding DGPV to Demand'!S32</f>
        <v>0.42134640000000001</v>
      </c>
      <c r="T2">
        <f>'Adding DGPV to Demand'!T32</f>
        <v>0.43035679000000004</v>
      </c>
      <c r="U2">
        <f>'Adding DGPV to Demand'!U32</f>
        <v>0.43853647000000001</v>
      </c>
      <c r="V2">
        <f>'Adding DGPV to Demand'!V32</f>
        <v>0.44782744000000002</v>
      </c>
      <c r="W2">
        <f>'Adding DGPV to Demand'!W32</f>
        <v>0.45604887</v>
      </c>
      <c r="X2">
        <f>'Adding DGPV to Demand'!X32</f>
        <v>0.46457729999999997</v>
      </c>
      <c r="Y2">
        <f>'Adding DGPV to Demand'!Y32</f>
        <v>0.47377751999999995</v>
      </c>
      <c r="Z2">
        <f>'Adding DGPV to Demand'!Z32</f>
        <v>0.48302887000000005</v>
      </c>
      <c r="AA2">
        <f>'Adding DGPV to Demand'!AA32</f>
        <v>0.49259997</v>
      </c>
      <c r="AB2">
        <f>'Adding DGPV to Demand'!AB32</f>
        <v>0.50287513000000006</v>
      </c>
      <c r="AC2">
        <f>'Adding DGPV to Demand'!AC32</f>
        <v>0.51408147000000004</v>
      </c>
      <c r="AD2">
        <f>'Adding DGPV to Demand'!AD32</f>
        <v>0.52513447999999996</v>
      </c>
      <c r="AE2">
        <f>'Adding DGPV to Demand'!AE32</f>
        <v>0.53625345999999996</v>
      </c>
      <c r="AF2">
        <f>'Adding DGPV to Demand'!AF32</f>
        <v>0.54732945999999993</v>
      </c>
      <c r="AG2">
        <f>'Adding DGPV to Demand'!AG32</f>
        <v>0.55794659999999996</v>
      </c>
      <c r="AH2">
        <f>'Adding DGPV to Demand'!AH32</f>
        <v>0.56800636999999998</v>
      </c>
      <c r="AI2">
        <f>'Adding DGPV to Demand'!AI32</f>
        <v>0.57730051999999998</v>
      </c>
      <c r="AJ2">
        <f>'Adding DGPV to Demand'!AJ32</f>
        <v>0.58584453999999997</v>
      </c>
      <c r="AK2">
        <f>'Adding DGPV to Demand'!AK32</f>
        <v>0.59391349000000004</v>
      </c>
      <c r="AL2">
        <f>'Adding DGPV to Demand'!AL32</f>
        <v>0.60220446000000005</v>
      </c>
      <c r="AM2">
        <f>'Adding DGPV to Demand'!AM32</f>
        <v>0.60945428000000001</v>
      </c>
      <c r="AN2">
        <f>'Adding DGPV to Demand'!AN32</f>
        <v>0.61670353</v>
      </c>
      <c r="AO2">
        <f>'Adding DGPV to Demand'!AO32</f>
        <v>0.62378575000000003</v>
      </c>
      <c r="AP2">
        <f>'Adding DGPV to Demand'!AP32</f>
        <v>0.63118663999999991</v>
      </c>
      <c r="AQ2">
        <f>'Adding DGPV to Demand'!AQ32</f>
        <v>0.63884774999999994</v>
      </c>
    </row>
    <row r="3" spans="1:43" x14ac:dyDescent="0.25">
      <c r="A3" t="s">
        <v>0</v>
      </c>
      <c r="B3" t="s">
        <v>2</v>
      </c>
      <c r="C3">
        <f>'Adding DGPV to Demand'!C33</f>
        <v>1.27</v>
      </c>
      <c r="D3">
        <f>'Adding DGPV to Demand'!D33</f>
        <v>1.2591760000000001</v>
      </c>
      <c r="E3">
        <f>'Adding DGPV to Demand'!E33</f>
        <v>1.2379629999999999</v>
      </c>
      <c r="F3">
        <f>'Adding DGPV to Demand'!F33</f>
        <v>1.2380461</v>
      </c>
      <c r="G3">
        <f>'Adding DGPV to Demand'!G33</f>
        <v>1.2675293700000001</v>
      </c>
      <c r="H3">
        <f>'Adding DGPV to Demand'!H33</f>
        <v>1.2668578099999999</v>
      </c>
      <c r="I3">
        <f>'Adding DGPV to Demand'!I33</f>
        <v>1.2596388200000002</v>
      </c>
      <c r="J3">
        <f>'Adding DGPV to Demand'!J33</f>
        <v>1.23697872</v>
      </c>
      <c r="K3">
        <f>'Adding DGPV to Demand'!K33</f>
        <v>1.27601802</v>
      </c>
      <c r="L3">
        <f>'Adding DGPV to Demand'!L33</f>
        <v>1.25933209</v>
      </c>
      <c r="M3">
        <f>'Adding DGPV to Demand'!M33</f>
        <v>1.20475479</v>
      </c>
      <c r="N3">
        <f>'Adding DGPV to Demand'!N33</f>
        <v>1.24826265</v>
      </c>
      <c r="O3">
        <f>'Adding DGPV to Demand'!O33</f>
        <v>1.27555993</v>
      </c>
      <c r="P3">
        <f>'Adding DGPV to Demand'!P33</f>
        <v>1.2573861599999998</v>
      </c>
      <c r="Q3">
        <f>'Adding DGPV to Demand'!Q33</f>
        <v>1.2636612199999999</v>
      </c>
      <c r="R3">
        <f>'Adding DGPV to Demand'!R33</f>
        <v>1.28528501</v>
      </c>
      <c r="S3">
        <f>'Adding DGPV to Demand'!S33</f>
        <v>1.2953365699999999</v>
      </c>
      <c r="T3">
        <f>'Adding DGPV to Demand'!T33</f>
        <v>1.3156702100000002</v>
      </c>
      <c r="U3">
        <f>'Adding DGPV to Demand'!U33</f>
        <v>1.33307964</v>
      </c>
      <c r="V3">
        <f>'Adding DGPV to Demand'!V33</f>
        <v>1.3539368199999999</v>
      </c>
      <c r="W3">
        <f>'Adding DGPV to Demand'!W33</f>
        <v>1.3740451199999999</v>
      </c>
      <c r="X3">
        <f>'Adding DGPV to Demand'!X33</f>
        <v>1.39459065</v>
      </c>
      <c r="Y3">
        <f>'Adding DGPV to Demand'!Y33</f>
        <v>1.4208316499999998</v>
      </c>
      <c r="Z3">
        <f>'Adding DGPV to Demand'!Z33</f>
        <v>1.4466246299999999</v>
      </c>
      <c r="AA3">
        <f>'Adding DGPV to Demand'!AA33</f>
        <v>1.4759875899999999</v>
      </c>
      <c r="AB3">
        <f>'Adding DGPV to Demand'!AB33</f>
        <v>1.5066786999999999</v>
      </c>
      <c r="AC3">
        <f>'Adding DGPV to Demand'!AC33</f>
        <v>1.53984279</v>
      </c>
      <c r="AD3">
        <f>'Adding DGPV to Demand'!AD33</f>
        <v>1.57113883</v>
      </c>
      <c r="AE3">
        <f>'Adding DGPV to Demand'!AE33</f>
        <v>1.6027167600000001</v>
      </c>
      <c r="AF3">
        <f>'Adding DGPV to Demand'!AF33</f>
        <v>1.63474202</v>
      </c>
      <c r="AG3">
        <f>'Adding DGPV to Demand'!AG33</f>
        <v>1.6654843699999999</v>
      </c>
      <c r="AH3">
        <f>'Adding DGPV to Demand'!AH33</f>
        <v>1.6938920500000001</v>
      </c>
      <c r="AI3">
        <f>'Adding DGPV to Demand'!AI33</f>
        <v>1.71922804</v>
      </c>
      <c r="AJ3">
        <f>'Adding DGPV to Demand'!AJ33</f>
        <v>1.7428849200000001</v>
      </c>
      <c r="AK3">
        <f>'Adding DGPV to Demand'!AK33</f>
        <v>1.7651095799999998</v>
      </c>
      <c r="AL3">
        <f>'Adding DGPV to Demand'!AL33</f>
        <v>1.78762303</v>
      </c>
      <c r="AM3">
        <f>'Adding DGPV to Demand'!AM33</f>
        <v>1.8094551800000001</v>
      </c>
      <c r="AN3">
        <f>'Adding DGPV to Demand'!AN33</f>
        <v>1.8323144200000001</v>
      </c>
      <c r="AO3">
        <f>'Adding DGPV to Demand'!AO33</f>
        <v>1.8554179599999998</v>
      </c>
      <c r="AP3">
        <f>'Adding DGPV to Demand'!AP33</f>
        <v>1.87843063</v>
      </c>
      <c r="AQ3">
        <f>'Adding DGPV to Demand'!AQ33</f>
        <v>1.90231277</v>
      </c>
    </row>
    <row r="4" spans="1:43" x14ac:dyDescent="0.25">
      <c r="A4" t="s">
        <v>0</v>
      </c>
      <c r="B4" t="s">
        <v>3</v>
      </c>
      <c r="C4">
        <f>'Adding DGPV to Demand'!C34</f>
        <v>1.97</v>
      </c>
      <c r="D4">
        <f>'Adding DGPV to Demand'!D34</f>
        <v>1.9698020000000001</v>
      </c>
      <c r="E4">
        <f>'Adding DGPV to Demand'!E34</f>
        <v>1.961978</v>
      </c>
      <c r="F4">
        <f>'Adding DGPV to Demand'!F34</f>
        <v>1.9298373600000001</v>
      </c>
      <c r="G4">
        <f>'Adding DGPV to Demand'!G34</f>
        <v>1.94555587</v>
      </c>
      <c r="H4">
        <f>'Adding DGPV to Demand'!H34</f>
        <v>1.9026462700000002</v>
      </c>
      <c r="I4">
        <f>'Adding DGPV to Demand'!I34</f>
        <v>1.9039975900000001</v>
      </c>
      <c r="J4">
        <f>'Adding DGPV to Demand'!J34</f>
        <v>1.8747083200000001</v>
      </c>
      <c r="K4">
        <f>'Adding DGPV to Demand'!K34</f>
        <v>1.93915036</v>
      </c>
      <c r="L4">
        <f>'Adding DGPV to Demand'!L34</f>
        <v>1.88470454</v>
      </c>
      <c r="M4">
        <f>'Adding DGPV to Demand'!M34</f>
        <v>1.84570163</v>
      </c>
      <c r="N4">
        <f>'Adding DGPV to Demand'!N34</f>
        <v>1.8997105200000002</v>
      </c>
      <c r="O4">
        <f>'Adding DGPV to Demand'!O34</f>
        <v>1.8961219200000001</v>
      </c>
      <c r="P4">
        <f>'Adding DGPV to Demand'!P34</f>
        <v>1.89053545</v>
      </c>
      <c r="Q4">
        <f>'Adding DGPV to Demand'!Q34</f>
        <v>1.9033265399999999</v>
      </c>
      <c r="R4">
        <f>'Adding DGPV to Demand'!R34</f>
        <v>1.94677828</v>
      </c>
      <c r="S4">
        <f>'Adding DGPV to Demand'!S34</f>
        <v>1.96282446</v>
      </c>
      <c r="T4">
        <f>'Adding DGPV to Demand'!T34</f>
        <v>1.9838088599999999</v>
      </c>
      <c r="U4">
        <f>'Adding DGPV to Demand'!U34</f>
        <v>2.0017397699999999</v>
      </c>
      <c r="V4">
        <f>'Adding DGPV to Demand'!V34</f>
        <v>2.0219711999999999</v>
      </c>
      <c r="W4">
        <f>'Adding DGPV to Demand'!W34</f>
        <v>2.0427329200000002</v>
      </c>
      <c r="X4">
        <f>'Adding DGPV to Demand'!X34</f>
        <v>2.06612632</v>
      </c>
      <c r="Y4">
        <f>'Adding DGPV to Demand'!Y34</f>
        <v>2.1010182199999998</v>
      </c>
      <c r="Z4">
        <f>'Adding DGPV to Demand'!Z34</f>
        <v>2.1360536400000001</v>
      </c>
      <c r="AA4">
        <f>'Adding DGPV to Demand'!AA34</f>
        <v>2.1800525199999998</v>
      </c>
      <c r="AB4">
        <f>'Adding DGPV to Demand'!AB34</f>
        <v>2.2255022799999997</v>
      </c>
      <c r="AC4">
        <f>'Adding DGPV to Demand'!AC34</f>
        <v>2.2712646899999998</v>
      </c>
      <c r="AD4">
        <f>'Adding DGPV to Demand'!AD34</f>
        <v>2.3129061900000001</v>
      </c>
      <c r="AE4">
        <f>'Adding DGPV to Demand'!AE34</f>
        <v>2.3542252800000001</v>
      </c>
      <c r="AF4">
        <f>'Adding DGPV to Demand'!AF34</f>
        <v>2.3959412900000001</v>
      </c>
      <c r="AG4">
        <f>'Adding DGPV to Demand'!AG34</f>
        <v>2.4372661500000001</v>
      </c>
      <c r="AH4">
        <f>'Adding DGPV to Demand'!AH34</f>
        <v>2.4751576399999999</v>
      </c>
      <c r="AI4">
        <f>'Adding DGPV to Demand'!AI34</f>
        <v>2.5109767400000003</v>
      </c>
      <c r="AJ4">
        <f>'Adding DGPV to Demand'!AJ34</f>
        <v>2.5440349900000001</v>
      </c>
      <c r="AK4">
        <f>'Adding DGPV to Demand'!AK34</f>
        <v>2.5749142599999999</v>
      </c>
      <c r="AL4">
        <f>'Adding DGPV to Demand'!AL34</f>
        <v>2.6033273299999999</v>
      </c>
      <c r="AM4">
        <f>'Adding DGPV to Demand'!AM34</f>
        <v>2.6319408000000002</v>
      </c>
      <c r="AN4">
        <f>'Adding DGPV to Demand'!AN34</f>
        <v>2.6618852199999998</v>
      </c>
      <c r="AO4">
        <f>'Adding DGPV to Demand'!AO34</f>
        <v>2.6912569099999999</v>
      </c>
      <c r="AP4">
        <f>'Adding DGPV to Demand'!AP34</f>
        <v>2.7203175500000003</v>
      </c>
      <c r="AQ4">
        <f>'Adding DGPV to Demand'!AQ34</f>
        <v>2.74928404</v>
      </c>
    </row>
    <row r="5" spans="1:43" x14ac:dyDescent="0.25">
      <c r="A5" t="s">
        <v>0</v>
      </c>
      <c r="B5" t="s">
        <v>4</v>
      </c>
      <c r="C5">
        <f>'Adding DGPV to Demand'!C35</f>
        <v>1.0029999999999999</v>
      </c>
      <c r="D5">
        <f>'Adding DGPV to Demand'!D35</f>
        <v>1.004251</v>
      </c>
      <c r="E5">
        <f>'Adding DGPV to Demand'!E35</f>
        <v>1.002292</v>
      </c>
      <c r="F5">
        <f>'Adding DGPV to Demand'!F35</f>
        <v>1.00240408</v>
      </c>
      <c r="G5">
        <f>'Adding DGPV to Demand'!G35</f>
        <v>1.03447661</v>
      </c>
      <c r="H5">
        <f>'Adding DGPV to Demand'!H35</f>
        <v>1.0144615699999999</v>
      </c>
      <c r="I5">
        <f>'Adding DGPV to Demand'!I35</f>
        <v>1.0097498599999999</v>
      </c>
      <c r="J5">
        <f>'Adding DGPV to Demand'!J35</f>
        <v>1.00463269</v>
      </c>
      <c r="K5">
        <f>'Adding DGPV to Demand'!K35</f>
        <v>1.0409431499999999</v>
      </c>
      <c r="L5">
        <f>'Adding DGPV to Demand'!L35</f>
        <v>1.0311001499999999</v>
      </c>
      <c r="M5">
        <f>'Adding DGPV to Demand'!M35</f>
        <v>1.0034551300000001</v>
      </c>
      <c r="N5">
        <f>'Adding DGPV to Demand'!N35</f>
        <v>1.05047095</v>
      </c>
      <c r="O5">
        <f>'Adding DGPV to Demand'!O35</f>
        <v>1.0727100199999999</v>
      </c>
      <c r="P5">
        <f>'Adding DGPV to Demand'!P35</f>
        <v>1.06606362</v>
      </c>
      <c r="Q5">
        <f>'Adding DGPV to Demand'!Q35</f>
        <v>1.1069972699999999</v>
      </c>
      <c r="R5">
        <f>'Adding DGPV to Demand'!R35</f>
        <v>1.1278646099999998</v>
      </c>
      <c r="S5">
        <f>'Adding DGPV to Demand'!S35</f>
        <v>1.1170436100000001</v>
      </c>
      <c r="T5">
        <f>'Adding DGPV to Demand'!T35</f>
        <v>1.1242872399999999</v>
      </c>
      <c r="U5">
        <f>'Adding DGPV to Demand'!U35</f>
        <v>1.1304670399999999</v>
      </c>
      <c r="V5">
        <f>'Adding DGPV to Demand'!V35</f>
        <v>1.14183919</v>
      </c>
      <c r="W5">
        <f>'Adding DGPV to Demand'!W35</f>
        <v>1.1546119699999999</v>
      </c>
      <c r="X5">
        <f>'Adding DGPV to Demand'!X35</f>
        <v>1.1691936299999999</v>
      </c>
      <c r="Y5">
        <f>'Adding DGPV to Demand'!Y35</f>
        <v>1.1893331899999999</v>
      </c>
      <c r="Z5">
        <f>'Adding DGPV to Demand'!Z35</f>
        <v>1.21092694</v>
      </c>
      <c r="AA5">
        <f>'Adding DGPV to Demand'!AA35</f>
        <v>1.2379052499999998</v>
      </c>
      <c r="AB5">
        <f>'Adding DGPV to Demand'!AB35</f>
        <v>1.2662930699999999</v>
      </c>
      <c r="AC5">
        <f>'Adding DGPV to Demand'!AC35</f>
        <v>1.29361686</v>
      </c>
      <c r="AD5">
        <f>'Adding DGPV to Demand'!AD35</f>
        <v>1.3190379299999999</v>
      </c>
      <c r="AE5">
        <f>'Adding DGPV to Demand'!AE35</f>
        <v>1.3441196399999999</v>
      </c>
      <c r="AF5">
        <f>'Adding DGPV to Demand'!AF35</f>
        <v>1.36843582</v>
      </c>
      <c r="AG5">
        <f>'Adding DGPV to Demand'!AG35</f>
        <v>1.3920775700000001</v>
      </c>
      <c r="AH5">
        <f>'Adding DGPV to Demand'!AH35</f>
        <v>1.4147185799999999</v>
      </c>
      <c r="AI5">
        <f>'Adding DGPV to Demand'!AI35</f>
        <v>1.4372415300000001</v>
      </c>
      <c r="AJ5">
        <f>'Adding DGPV to Demand'!AJ35</f>
        <v>1.4586448699999999</v>
      </c>
      <c r="AK5">
        <f>'Adding DGPV to Demand'!AK35</f>
        <v>1.4787996400000001</v>
      </c>
      <c r="AL5">
        <f>'Adding DGPV to Demand'!AL35</f>
        <v>1.49712584</v>
      </c>
      <c r="AM5">
        <f>'Adding DGPV to Demand'!AM35</f>
        <v>1.51542954</v>
      </c>
      <c r="AN5">
        <f>'Adding DGPV to Demand'!AN35</f>
        <v>1.5349349399999999</v>
      </c>
      <c r="AO5">
        <f>'Adding DGPV to Demand'!AO35</f>
        <v>1.5551424899999999</v>
      </c>
      <c r="AP5">
        <f>'Adding DGPV to Demand'!AP35</f>
        <v>1.5760669200000001</v>
      </c>
      <c r="AQ5">
        <f>'Adding DGPV to Demand'!AQ35</f>
        <v>1.5969948199999999</v>
      </c>
    </row>
    <row r="6" spans="1:43" x14ac:dyDescent="0.25">
      <c r="A6" t="s">
        <v>0</v>
      </c>
      <c r="B6" t="s">
        <v>5</v>
      </c>
      <c r="C6">
        <f>'Adding DGPV to Demand'!C36</f>
        <v>2.8149999999999999</v>
      </c>
      <c r="D6">
        <f>'Adding DGPV to Demand'!D36</f>
        <v>2.7323879999999998</v>
      </c>
      <c r="E6">
        <f>'Adding DGPV to Demand'!E36</f>
        <v>2.6630720000000001</v>
      </c>
      <c r="F6">
        <f>'Adding DGPV to Demand'!F36</f>
        <v>2.67589656</v>
      </c>
      <c r="G6">
        <f>'Adding DGPV to Demand'!G36</f>
        <v>2.7230304000000003</v>
      </c>
      <c r="H6">
        <f>'Adding DGPV to Demand'!H36</f>
        <v>2.7192014100000002</v>
      </c>
      <c r="I6">
        <f>'Adding DGPV to Demand'!I36</f>
        <v>2.73043747</v>
      </c>
      <c r="J6">
        <f>'Adding DGPV to Demand'!J36</f>
        <v>2.6800960700000003</v>
      </c>
      <c r="K6">
        <f>'Adding DGPV to Demand'!K36</f>
        <v>2.7837750900000002</v>
      </c>
      <c r="L6">
        <f>'Adding DGPV to Demand'!L36</f>
        <v>2.78859089</v>
      </c>
      <c r="M6">
        <f>'Adding DGPV to Demand'!M36</f>
        <v>2.7067162100000002</v>
      </c>
      <c r="N6">
        <f>'Adding DGPV to Demand'!N36</f>
        <v>2.8261017499999999</v>
      </c>
      <c r="O6">
        <f>'Adding DGPV to Demand'!O36</f>
        <v>2.9142712800000004</v>
      </c>
      <c r="P6">
        <f>'Adding DGPV to Demand'!P36</f>
        <v>2.9103018999999999</v>
      </c>
      <c r="Q6">
        <f>'Adding DGPV to Demand'!Q36</f>
        <v>2.9807468699999999</v>
      </c>
      <c r="R6">
        <f>'Adding DGPV to Demand'!R36</f>
        <v>3.0135720300000002</v>
      </c>
      <c r="S6">
        <f>'Adding DGPV to Demand'!S36</f>
        <v>3.0329808300000001</v>
      </c>
      <c r="T6">
        <f>'Adding DGPV to Demand'!T36</f>
        <v>3.0730943499999999</v>
      </c>
      <c r="U6">
        <f>'Adding DGPV to Demand'!U36</f>
        <v>3.1073371599999997</v>
      </c>
      <c r="V6">
        <f>'Adding DGPV to Demand'!V36</f>
        <v>3.15375023</v>
      </c>
      <c r="W6">
        <f>'Adding DGPV to Demand'!W36</f>
        <v>3.1980896799999998</v>
      </c>
      <c r="X6">
        <f>'Adding DGPV to Demand'!X36</f>
        <v>3.2445435900000001</v>
      </c>
      <c r="Y6">
        <f>'Adding DGPV to Demand'!Y36</f>
        <v>3.3006466200000002</v>
      </c>
      <c r="Z6">
        <f>'Adding DGPV to Demand'!Z36</f>
        <v>3.3574028500000002</v>
      </c>
      <c r="AA6">
        <f>'Adding DGPV to Demand'!AA36</f>
        <v>3.4172639400000002</v>
      </c>
      <c r="AB6">
        <f>'Adding DGPV to Demand'!AB36</f>
        <v>3.4788785299999998</v>
      </c>
      <c r="AC6">
        <f>'Adding DGPV to Demand'!AC36</f>
        <v>3.5474919999999996</v>
      </c>
      <c r="AD6">
        <f>'Adding DGPV to Demand'!AD36</f>
        <v>3.6194195200000001</v>
      </c>
      <c r="AE6">
        <f>'Adding DGPV to Demand'!AE36</f>
        <v>3.6915391300000002</v>
      </c>
      <c r="AF6">
        <f>'Adding DGPV to Demand'!AF36</f>
        <v>3.7655037600000001</v>
      </c>
      <c r="AG6">
        <f>'Adding DGPV to Demand'!AG36</f>
        <v>3.8365693300000001</v>
      </c>
      <c r="AH6">
        <f>'Adding DGPV to Demand'!AH36</f>
        <v>3.9033706100000001</v>
      </c>
      <c r="AI6">
        <f>'Adding DGPV to Demand'!AI36</f>
        <v>3.9660094200000002</v>
      </c>
      <c r="AJ6">
        <f>'Adding DGPV to Demand'!AJ36</f>
        <v>4.0261097799999996</v>
      </c>
      <c r="AK6">
        <f>'Adding DGPV to Demand'!AK36</f>
        <v>4.0818599200000003</v>
      </c>
      <c r="AL6">
        <f>'Adding DGPV to Demand'!AL36</f>
        <v>4.1347840299999996</v>
      </c>
      <c r="AM6">
        <f>'Adding DGPV to Demand'!AM36</f>
        <v>4.1859694300000001</v>
      </c>
      <c r="AN6">
        <f>'Adding DGPV to Demand'!AN36</f>
        <v>4.2401904400000001</v>
      </c>
      <c r="AO6">
        <f>'Adding DGPV to Demand'!AO36</f>
        <v>4.2984020599999999</v>
      </c>
      <c r="AP6">
        <f>'Adding DGPV to Demand'!AP36</f>
        <v>4.3603359099999999</v>
      </c>
      <c r="AQ6">
        <f>'Adding DGPV to Demand'!AQ36</f>
        <v>4.4271166400000004</v>
      </c>
    </row>
    <row r="7" spans="1:43" x14ac:dyDescent="0.25">
      <c r="A7" t="s">
        <v>0</v>
      </c>
      <c r="B7" t="s">
        <v>6</v>
      </c>
      <c r="C7">
        <f>'Adding DGPV to Demand'!C37</f>
        <v>1.1519999999999999</v>
      </c>
      <c r="D7">
        <f>'Adding DGPV to Demand'!D37</f>
        <v>1.1212580000000001</v>
      </c>
      <c r="E7">
        <f>'Adding DGPV to Demand'!E37</f>
        <v>1.091933</v>
      </c>
      <c r="F7">
        <f>'Adding DGPV to Demand'!F37</f>
        <v>1.1197244799999999</v>
      </c>
      <c r="G7">
        <f>'Adding DGPV to Demand'!G37</f>
        <v>1.0897525399999999</v>
      </c>
      <c r="H7">
        <f>'Adding DGPV to Demand'!H37</f>
        <v>1.04856832</v>
      </c>
      <c r="I7">
        <f>'Adding DGPV to Demand'!I37</f>
        <v>1.03760001</v>
      </c>
      <c r="J7">
        <f>'Adding DGPV to Demand'!J37</f>
        <v>1.0056703500000002</v>
      </c>
      <c r="K7">
        <f>'Adding DGPV to Demand'!K37</f>
        <v>1.0592547000000001</v>
      </c>
      <c r="L7">
        <f>'Adding DGPV to Demand'!L37</f>
        <v>1.0527635500000001</v>
      </c>
      <c r="M7">
        <f>'Adding DGPV to Demand'!M37</f>
        <v>1.00147524</v>
      </c>
      <c r="N7">
        <f>'Adding DGPV to Demand'!N37</f>
        <v>1.0462211099999998</v>
      </c>
      <c r="O7">
        <f>'Adding DGPV to Demand'!O37</f>
        <v>1.0631943100000001</v>
      </c>
      <c r="P7">
        <f>'Adding DGPV to Demand'!P37</f>
        <v>1.06234388</v>
      </c>
      <c r="Q7">
        <f>'Adding DGPV to Demand'!Q37</f>
        <v>1.06289173</v>
      </c>
      <c r="R7">
        <f>'Adding DGPV to Demand'!R37</f>
        <v>1.06458622</v>
      </c>
      <c r="S7">
        <f>'Adding DGPV to Demand'!S37</f>
        <v>1.0869523399999999</v>
      </c>
      <c r="T7">
        <f>'Adding DGPV to Demand'!T37</f>
        <v>1.10010283</v>
      </c>
      <c r="U7">
        <f>'Adding DGPV to Demand'!U37</f>
        <v>1.1112797700000001</v>
      </c>
      <c r="V7">
        <f>'Adding DGPV to Demand'!V37</f>
        <v>1.11979406</v>
      </c>
      <c r="W7">
        <f>'Adding DGPV to Demand'!W37</f>
        <v>1.12812943</v>
      </c>
      <c r="X7">
        <f>'Adding DGPV to Demand'!X37</f>
        <v>1.1382092800000001</v>
      </c>
      <c r="Y7">
        <f>'Adding DGPV to Demand'!Y37</f>
        <v>1.1519262699999999</v>
      </c>
      <c r="Z7">
        <f>'Adding DGPV to Demand'!Z37</f>
        <v>1.1663984999999999</v>
      </c>
      <c r="AA7">
        <f>'Adding DGPV to Demand'!AA37</f>
        <v>1.1840296000000001</v>
      </c>
      <c r="AB7">
        <f>'Adding DGPV to Demand'!AB37</f>
        <v>1.20167409</v>
      </c>
      <c r="AC7">
        <f>'Adding DGPV to Demand'!AC37</f>
        <v>1.21890893</v>
      </c>
      <c r="AD7">
        <f>'Adding DGPV to Demand'!AD37</f>
        <v>1.23738064</v>
      </c>
      <c r="AE7">
        <f>'Adding DGPV to Demand'!AE37</f>
        <v>1.25592087</v>
      </c>
      <c r="AF7">
        <f>'Adding DGPV to Demand'!AF37</f>
        <v>1.2749316800000001</v>
      </c>
      <c r="AG7">
        <f>'Adding DGPV to Demand'!AG37</f>
        <v>1.2924958600000001</v>
      </c>
      <c r="AH7">
        <f>'Adding DGPV to Demand'!AH37</f>
        <v>1.30932045</v>
      </c>
      <c r="AI7">
        <f>'Adding DGPV to Demand'!AI37</f>
        <v>1.3252299999999999</v>
      </c>
      <c r="AJ7">
        <f>'Adding DGPV to Demand'!AJ37</f>
        <v>1.3397132300000001</v>
      </c>
      <c r="AK7">
        <f>'Adding DGPV to Demand'!AK37</f>
        <v>1.3521985699999999</v>
      </c>
      <c r="AL7">
        <f>'Adding DGPV to Demand'!AL37</f>
        <v>1.3639766800000002</v>
      </c>
      <c r="AM7">
        <f>'Adding DGPV to Demand'!AM37</f>
        <v>1.37505196</v>
      </c>
      <c r="AN7">
        <f>'Adding DGPV to Demand'!AN37</f>
        <v>1.38674608</v>
      </c>
      <c r="AO7">
        <f>'Adding DGPV to Demand'!AO37</f>
        <v>1.4003639800000001</v>
      </c>
      <c r="AP7">
        <f>'Adding DGPV to Demand'!AP37</f>
        <v>1.41544436</v>
      </c>
      <c r="AQ7">
        <f>'Adding DGPV to Demand'!AQ37</f>
        <v>1.43160691</v>
      </c>
    </row>
    <row r="8" spans="1:43" x14ac:dyDescent="0.25">
      <c r="A8" t="s">
        <v>0</v>
      </c>
      <c r="B8" t="s">
        <v>7</v>
      </c>
      <c r="C8">
        <f>'Adding DGPV to Demand'!C38</f>
        <v>1.875</v>
      </c>
      <c r="D8">
        <f>'Adding DGPV to Demand'!D38</f>
        <v>1.945614</v>
      </c>
      <c r="E8">
        <f>'Adding DGPV to Demand'!E38</f>
        <v>1.898577</v>
      </c>
      <c r="F8">
        <f>'Adding DGPV to Demand'!F38</f>
        <v>1.90921535</v>
      </c>
      <c r="G8">
        <f>'Adding DGPV to Demand'!G38</f>
        <v>2.0292341999999999</v>
      </c>
      <c r="H8">
        <f>'Adding DGPV to Demand'!H38</f>
        <v>2.0446246299999999</v>
      </c>
      <c r="I8">
        <f>'Adding DGPV to Demand'!I38</f>
        <v>2.0291272</v>
      </c>
      <c r="J8">
        <f>'Adding DGPV to Demand'!J38</f>
        <v>2.02324394</v>
      </c>
      <c r="K8">
        <f>'Adding DGPV to Demand'!K38</f>
        <v>2.1222957499999997</v>
      </c>
      <c r="L8">
        <f>'Adding DGPV to Demand'!L38</f>
        <v>2.1605800799999999</v>
      </c>
      <c r="M8">
        <f>'Adding DGPV to Demand'!M38</f>
        <v>2.0755101300000001</v>
      </c>
      <c r="N8">
        <f>'Adding DGPV to Demand'!N38</f>
        <v>2.2079303100000001</v>
      </c>
      <c r="O8">
        <f>'Adding DGPV to Demand'!O38</f>
        <v>2.30493419</v>
      </c>
      <c r="P8">
        <f>'Adding DGPV to Demand'!P38</f>
        <v>2.2572900600000003</v>
      </c>
      <c r="Q8">
        <f>'Adding DGPV to Demand'!Q38</f>
        <v>2.3734708500000004</v>
      </c>
      <c r="R8">
        <f>'Adding DGPV to Demand'!R38</f>
        <v>2.4331460000000003</v>
      </c>
      <c r="S8">
        <f>'Adding DGPV to Demand'!S38</f>
        <v>2.4573467500000001</v>
      </c>
      <c r="T8">
        <f>'Adding DGPV to Demand'!T38</f>
        <v>2.4860552</v>
      </c>
      <c r="U8">
        <f>'Adding DGPV to Demand'!U38</f>
        <v>2.5118201099999999</v>
      </c>
      <c r="V8">
        <f>'Adding DGPV to Demand'!V38</f>
        <v>2.5408466799999996</v>
      </c>
      <c r="W8">
        <f>'Adding DGPV to Demand'!W38</f>
        <v>2.5696844200000002</v>
      </c>
      <c r="X8">
        <f>'Adding DGPV to Demand'!X38</f>
        <v>2.6000968700000002</v>
      </c>
      <c r="Y8">
        <f>'Adding DGPV to Demand'!Y38</f>
        <v>2.6448847200000003</v>
      </c>
      <c r="Z8">
        <f>'Adding DGPV to Demand'!Z38</f>
        <v>2.69390653</v>
      </c>
      <c r="AA8">
        <f>'Adding DGPV to Demand'!AA38</f>
        <v>2.7491357300000003</v>
      </c>
      <c r="AB8">
        <f>'Adding DGPV to Demand'!AB38</f>
        <v>2.80892141</v>
      </c>
      <c r="AC8">
        <f>'Adding DGPV to Demand'!AC38</f>
        <v>2.87599823</v>
      </c>
      <c r="AD8">
        <f>'Adding DGPV to Demand'!AD38</f>
        <v>2.94686242</v>
      </c>
      <c r="AE8">
        <f>'Adding DGPV to Demand'!AE38</f>
        <v>3.0073265</v>
      </c>
      <c r="AF8">
        <f>'Adding DGPV to Demand'!AF38</f>
        <v>3.0658181</v>
      </c>
      <c r="AG8">
        <f>'Adding DGPV to Demand'!AG38</f>
        <v>3.1175553100000002</v>
      </c>
      <c r="AH8">
        <f>'Adding DGPV to Demand'!AH38</f>
        <v>3.1653722600000003</v>
      </c>
      <c r="AI8">
        <f>'Adding DGPV to Demand'!AI38</f>
        <v>3.2121452800000001</v>
      </c>
      <c r="AJ8">
        <f>'Adding DGPV to Demand'!AJ38</f>
        <v>3.25889038</v>
      </c>
      <c r="AK8">
        <f>'Adding DGPV to Demand'!AK38</f>
        <v>3.2999481799999999</v>
      </c>
      <c r="AL8">
        <f>'Adding DGPV to Demand'!AL38</f>
        <v>3.3410536399999997</v>
      </c>
      <c r="AM8">
        <f>'Adding DGPV to Demand'!AM38</f>
        <v>3.37716539</v>
      </c>
      <c r="AN8">
        <f>'Adding DGPV to Demand'!AN38</f>
        <v>3.41371877</v>
      </c>
      <c r="AO8">
        <f>'Adding DGPV to Demand'!AO38</f>
        <v>3.4551505599999999</v>
      </c>
      <c r="AP8">
        <f>'Adding DGPV to Demand'!AP38</f>
        <v>3.5001584599999997</v>
      </c>
      <c r="AQ8">
        <f>'Adding DGPV to Demand'!AQ38</f>
        <v>3.55019587</v>
      </c>
    </row>
    <row r="9" spans="1:43" x14ac:dyDescent="0.25">
      <c r="A9" t="s">
        <v>0</v>
      </c>
      <c r="B9" t="s">
        <v>8</v>
      </c>
      <c r="C9">
        <f>'Adding DGPV to Demand'!C39</f>
        <v>0.89800000000000002</v>
      </c>
      <c r="D9">
        <f>'Adding DGPV to Demand'!D39</f>
        <v>0.91674900000000004</v>
      </c>
      <c r="E9">
        <f>'Adding DGPV to Demand'!E39</f>
        <v>0.92603800000000003</v>
      </c>
      <c r="F9">
        <f>'Adding DGPV to Demand'!F39</f>
        <v>0.92237835999999995</v>
      </c>
      <c r="G9">
        <f>'Adding DGPV to Demand'!G39</f>
        <v>0.92273852999999995</v>
      </c>
      <c r="H9">
        <f>'Adding DGPV to Demand'!H39</f>
        <v>0.93016287999999991</v>
      </c>
      <c r="I9">
        <f>'Adding DGPV to Demand'!I39</f>
        <v>0.94158965000000006</v>
      </c>
      <c r="J9">
        <f>'Adding DGPV to Demand'!J39</f>
        <v>0.95548674</v>
      </c>
      <c r="K9">
        <f>'Adding DGPV to Demand'!K39</f>
        <v>0.96707736</v>
      </c>
      <c r="L9">
        <f>'Adding DGPV to Demand'!L39</f>
        <v>0.96674437999999996</v>
      </c>
      <c r="M9">
        <f>'Adding DGPV to Demand'!M39</f>
        <v>0.97979298999999997</v>
      </c>
      <c r="N9">
        <f>'Adding DGPV to Demand'!N39</f>
        <v>1.02482882</v>
      </c>
      <c r="O9">
        <f>'Adding DGPV to Demand'!O39</f>
        <v>1.0487647</v>
      </c>
      <c r="P9">
        <f>'Adding DGPV to Demand'!P39</f>
        <v>1.04228751</v>
      </c>
      <c r="Q9">
        <f>'Adding DGPV to Demand'!Q39</f>
        <v>1.10416827</v>
      </c>
      <c r="R9">
        <f>'Adding DGPV to Demand'!R39</f>
        <v>1.1144807600000002</v>
      </c>
      <c r="S9">
        <f>'Adding DGPV to Demand'!S39</f>
        <v>1.1276622000000001</v>
      </c>
      <c r="T9">
        <f>'Adding DGPV to Demand'!T39</f>
        <v>1.14791756</v>
      </c>
      <c r="U9">
        <f>'Adding DGPV to Demand'!U39</f>
        <v>1.1676444399999999</v>
      </c>
      <c r="V9">
        <f>'Adding DGPV to Demand'!V39</f>
        <v>1.1940760699999999</v>
      </c>
      <c r="W9">
        <f>'Adding DGPV to Demand'!W39</f>
        <v>1.2226613200000001</v>
      </c>
      <c r="X9">
        <f>'Adding DGPV to Demand'!X39</f>
        <v>1.2541357199999998</v>
      </c>
      <c r="Y9">
        <f>'Adding DGPV to Demand'!Y39</f>
        <v>1.2925072899999999</v>
      </c>
      <c r="Z9">
        <f>'Adding DGPV to Demand'!Z39</f>
        <v>1.3344656499999998</v>
      </c>
      <c r="AA9">
        <f>'Adding DGPV to Demand'!AA39</f>
        <v>1.3815527599999999</v>
      </c>
      <c r="AB9">
        <f>'Adding DGPV to Demand'!AB39</f>
        <v>1.4292940199999999</v>
      </c>
      <c r="AC9">
        <f>'Adding DGPV to Demand'!AC39</f>
        <v>1.47520739</v>
      </c>
      <c r="AD9">
        <f>'Adding DGPV to Demand'!AD39</f>
        <v>1.5195519900000001</v>
      </c>
      <c r="AE9">
        <f>'Adding DGPV to Demand'!AE39</f>
        <v>1.5637177899999999</v>
      </c>
      <c r="AF9">
        <f>'Adding DGPV to Demand'!AF39</f>
        <v>1.607021</v>
      </c>
      <c r="AG9">
        <f>'Adding DGPV to Demand'!AG39</f>
        <v>1.65035496</v>
      </c>
      <c r="AH9">
        <f>'Adding DGPV to Demand'!AH39</f>
        <v>1.69355586</v>
      </c>
      <c r="AI9">
        <f>'Adding DGPV to Demand'!AI39</f>
        <v>1.7345828999999999</v>
      </c>
      <c r="AJ9">
        <f>'Adding DGPV to Demand'!AJ39</f>
        <v>1.77364838</v>
      </c>
      <c r="AK9">
        <f>'Adding DGPV to Demand'!AK39</f>
        <v>1.8113581499999998</v>
      </c>
      <c r="AL9">
        <f>'Adding DGPV to Demand'!AL39</f>
        <v>1.84853007</v>
      </c>
      <c r="AM9">
        <f>'Adding DGPV to Demand'!AM39</f>
        <v>1.8866407599999999</v>
      </c>
      <c r="AN9">
        <f>'Adding DGPV to Demand'!AN39</f>
        <v>1.9248147500000001</v>
      </c>
      <c r="AO9">
        <f>'Adding DGPV to Demand'!AO39</f>
        <v>1.9638696199999999</v>
      </c>
      <c r="AP9">
        <f>'Adding DGPV to Demand'!AP39</f>
        <v>2.0026634100000003</v>
      </c>
      <c r="AQ9">
        <f>'Adding DGPV to Demand'!AQ39</f>
        <v>2.0418231200000001</v>
      </c>
    </row>
    <row r="10" spans="1:43" x14ac:dyDescent="0.25">
      <c r="A10" t="s">
        <v>0</v>
      </c>
      <c r="B10" t="s">
        <v>9</v>
      </c>
      <c r="C10">
        <f>'Adding DGPV to Demand'!C40</f>
        <v>1.403</v>
      </c>
      <c r="D10">
        <f>'Adding DGPV to Demand'!D40</f>
        <v>1.429711</v>
      </c>
      <c r="E10">
        <f>'Adding DGPV to Demand'!E40</f>
        <v>1.4153640000000001</v>
      </c>
      <c r="F10">
        <f>'Adding DGPV to Demand'!F40</f>
        <v>1.40705791</v>
      </c>
      <c r="G10">
        <f>'Adding DGPV to Demand'!G40</f>
        <v>1.4177659999999999</v>
      </c>
      <c r="H10">
        <f>'Adding DGPV to Demand'!H40</f>
        <v>1.4341026299999999</v>
      </c>
      <c r="I10">
        <f>'Adding DGPV to Demand'!I40</f>
        <v>1.4307790300000001</v>
      </c>
      <c r="J10">
        <f>'Adding DGPV to Demand'!J40</f>
        <v>1.46387248</v>
      </c>
      <c r="K10">
        <f>'Adding DGPV to Demand'!K40</f>
        <v>1.4618903599999999</v>
      </c>
      <c r="L10">
        <f>'Adding DGPV to Demand'!L40</f>
        <v>1.4400225600000001</v>
      </c>
      <c r="M10">
        <f>'Adding DGPV to Demand'!M40</f>
        <v>1.4558663599999999</v>
      </c>
      <c r="N10">
        <f>'Adding DGPV to Demand'!N40</f>
        <v>1.4820283400000001</v>
      </c>
      <c r="O10">
        <f>'Adding DGPV to Demand'!O40</f>
        <v>1.5243843799999999</v>
      </c>
      <c r="P10">
        <f>'Adding DGPV to Demand'!P40</f>
        <v>1.51771586</v>
      </c>
      <c r="Q10">
        <f>'Adding DGPV to Demand'!Q40</f>
        <v>1.57233088</v>
      </c>
      <c r="R10">
        <f>'Adding DGPV to Demand'!R40</f>
        <v>1.57240768</v>
      </c>
      <c r="S10">
        <f>'Adding DGPV to Demand'!S40</f>
        <v>1.59767232</v>
      </c>
      <c r="T10">
        <f>'Adding DGPV to Demand'!T40</f>
        <v>1.64355012</v>
      </c>
      <c r="U10">
        <f>'Adding DGPV to Demand'!U40</f>
        <v>1.6843889400000001</v>
      </c>
      <c r="V10">
        <f>'Adding DGPV to Demand'!V40</f>
        <v>1.7255863899999999</v>
      </c>
      <c r="W10">
        <f>'Adding DGPV to Demand'!W40</f>
        <v>1.76886867</v>
      </c>
      <c r="X10">
        <f>'Adding DGPV to Demand'!X40</f>
        <v>1.8123893</v>
      </c>
      <c r="Y10">
        <f>'Adding DGPV to Demand'!Y40</f>
        <v>1.8655447000000001</v>
      </c>
      <c r="Z10">
        <f>'Adding DGPV to Demand'!Z40</f>
        <v>1.9237067000000001</v>
      </c>
      <c r="AA10">
        <f>'Adding DGPV to Demand'!AA40</f>
        <v>1.98673861</v>
      </c>
      <c r="AB10">
        <f>'Adding DGPV to Demand'!AB40</f>
        <v>2.0482663099999998</v>
      </c>
      <c r="AC10">
        <f>'Adding DGPV to Demand'!AC40</f>
        <v>2.10675985</v>
      </c>
      <c r="AD10">
        <f>'Adding DGPV to Demand'!AD40</f>
        <v>2.1628626400000002</v>
      </c>
      <c r="AE10">
        <f>'Adding DGPV to Demand'!AE40</f>
        <v>2.2184247299999997</v>
      </c>
      <c r="AF10">
        <f>'Adding DGPV to Demand'!AF40</f>
        <v>2.2730141800000001</v>
      </c>
      <c r="AG10">
        <f>'Adding DGPV to Demand'!AG40</f>
        <v>2.32653986</v>
      </c>
      <c r="AH10">
        <f>'Adding DGPV to Demand'!AH40</f>
        <v>2.37777408</v>
      </c>
      <c r="AI10">
        <f>'Adding DGPV to Demand'!AI40</f>
        <v>2.42592454</v>
      </c>
      <c r="AJ10">
        <f>'Adding DGPV to Demand'!AJ40</f>
        <v>2.4699761599999999</v>
      </c>
      <c r="AK10">
        <f>'Adding DGPV to Demand'!AK40</f>
        <v>2.5118090500000001</v>
      </c>
      <c r="AL10">
        <f>'Adding DGPV to Demand'!AL40</f>
        <v>2.5531777400000002</v>
      </c>
      <c r="AM10">
        <f>'Adding DGPV to Demand'!AM40</f>
        <v>2.5952887200000001</v>
      </c>
      <c r="AN10">
        <f>'Adding DGPV to Demand'!AN40</f>
        <v>2.63707819</v>
      </c>
      <c r="AO10">
        <f>'Adding DGPV to Demand'!AO40</f>
        <v>2.6786389799999997</v>
      </c>
      <c r="AP10">
        <f>'Adding DGPV to Demand'!AP40</f>
        <v>2.7197210000000003</v>
      </c>
      <c r="AQ10">
        <f>'Adding DGPV to Demand'!AQ40</f>
        <v>2.7605744100000003</v>
      </c>
    </row>
    <row r="11" spans="1:43" s="3" customFormat="1" x14ac:dyDescent="0.25">
      <c r="A11" s="3" t="s">
        <v>0</v>
      </c>
      <c r="B11" s="3" t="s">
        <v>10</v>
      </c>
      <c r="C11" s="3">
        <f>'Adding DGPV to Demand'!C41</f>
        <v>12.81</v>
      </c>
      <c r="D11" s="3">
        <f>'Adding DGPV to Demand'!D41</f>
        <v>12.79069</v>
      </c>
      <c r="E11" s="3">
        <f>'Adding DGPV to Demand'!E41</f>
        <v>12.607393</v>
      </c>
      <c r="F11" s="3">
        <f>'Adding DGPV to Demand'!F41</f>
        <v>12.615577870000001</v>
      </c>
      <c r="G11" s="3">
        <f>'Adding DGPV to Demand'!G41</f>
        <v>12.87013969</v>
      </c>
      <c r="H11" s="3">
        <f>'Adding DGPV to Demand'!H41</f>
        <v>12.771888199999999</v>
      </c>
      <c r="I11" s="3">
        <f>'Adding DGPV to Demand'!I41</f>
        <v>12.749853420000001</v>
      </c>
      <c r="J11" s="3">
        <f>'Adding DGPV to Demand'!J41</f>
        <v>12.675742169999999</v>
      </c>
      <c r="K11" s="3">
        <f>'Adding DGPV to Demand'!K41</f>
        <v>13.076565990000001</v>
      </c>
      <c r="L11" s="3">
        <f>'Adding DGPV to Demand'!L41</f>
        <v>12.987438769999999</v>
      </c>
      <c r="M11" s="3">
        <f>'Adding DGPV to Demand'!M41</f>
        <v>12.67422476</v>
      </c>
      <c r="N11" s="3">
        <f>'Adding DGPV to Demand'!N41</f>
        <v>13.193903290000002</v>
      </c>
      <c r="O11" s="3">
        <f>'Adding DGPV to Demand'!O41</f>
        <v>13.51446514</v>
      </c>
      <c r="P11" s="3">
        <f>'Adding DGPV to Demand'!P41</f>
        <v>13.412413970000001</v>
      </c>
      <c r="Q11" s="3">
        <f>'Adding DGPV to Demand'!Q41</f>
        <v>13.78508283</v>
      </c>
      <c r="R11" s="3">
        <f>'Adding DGPV to Demand'!R41</f>
        <v>13.976578379999999</v>
      </c>
      <c r="S11" s="3">
        <f>'Adding DGPV to Demand'!S41</f>
        <v>14.09916548</v>
      </c>
      <c r="T11" s="3">
        <f>'Adding DGPV to Demand'!T41</f>
        <v>14.30484116</v>
      </c>
      <c r="U11" s="3">
        <f>'Adding DGPV to Demand'!U41</f>
        <v>14.48629234</v>
      </c>
      <c r="V11" s="3">
        <f>'Adding DGPV to Demand'!V41</f>
        <v>14.699629079999999</v>
      </c>
      <c r="W11" s="3">
        <f>'Adding DGPV to Demand'!W41</f>
        <v>14.9148724</v>
      </c>
      <c r="X11" s="3">
        <f>'Adding DGPV to Demand'!X41</f>
        <v>15.14386066</v>
      </c>
      <c r="Y11" s="3">
        <f>'Adding DGPV to Demand'!Y41</f>
        <v>15.44047218</v>
      </c>
      <c r="Z11" s="3">
        <f>'Adding DGPV to Demand'!Z41</f>
        <v>15.752514309999999</v>
      </c>
      <c r="AA11" s="3">
        <f>'Adding DGPV to Demand'!AA41</f>
        <v>16.10526497</v>
      </c>
      <c r="AB11" s="3">
        <f>'Adding DGPV to Demand'!AB41</f>
        <v>16.468381539999999</v>
      </c>
      <c r="AC11" s="3">
        <f>'Adding DGPV to Demand'!AC41</f>
        <v>16.843172209999999</v>
      </c>
      <c r="AD11" s="3">
        <f>'Adding DGPV to Demand'!AD41</f>
        <v>17.214293639999998</v>
      </c>
      <c r="AE11" s="3">
        <f>'Adding DGPV to Demand'!AE41</f>
        <v>17.574242160000001</v>
      </c>
      <c r="AF11" s="3">
        <f>'Adding DGPV to Demand'!AF41</f>
        <v>17.932736309999999</v>
      </c>
      <c r="AG11" s="3">
        <f>'Adding DGPV to Demand'!AG41</f>
        <v>18.276291009999998</v>
      </c>
      <c r="AH11" s="3">
        <f>'Adding DGPV to Demand'!AH41</f>
        <v>18.601165899999998</v>
      </c>
      <c r="AI11" s="3">
        <f>'Adding DGPV to Demand'!AI41</f>
        <v>18.90863697</v>
      </c>
      <c r="AJ11" s="3">
        <f>'Adding DGPV to Demand'!AJ41</f>
        <v>19.199745250000003</v>
      </c>
      <c r="AK11" s="3">
        <f>'Adding DGPV to Demand'!AK41</f>
        <v>19.469910840000001</v>
      </c>
      <c r="AL11" s="3">
        <f>'Adding DGPV to Demand'!AL41</f>
        <v>19.731799819999999</v>
      </c>
      <c r="AM11" s="3">
        <f>'Adding DGPV to Demand'!AM41</f>
        <v>19.986397060000002</v>
      </c>
      <c r="AN11" s="3">
        <f>'Adding DGPV to Demand'!AN41</f>
        <v>20.248388340000002</v>
      </c>
      <c r="AO11" s="3">
        <f>'Adding DGPV to Demand'!AO41</f>
        <v>20.522030310000002</v>
      </c>
      <c r="AP11" s="3">
        <f>'Adding DGPV to Demand'!AP41</f>
        <v>20.804322880000001</v>
      </c>
      <c r="AQ11" s="3">
        <f>'Adding DGPV to Demand'!AQ41</f>
        <v>21.098757329999998</v>
      </c>
    </row>
    <row r="12" spans="1:43" x14ac:dyDescent="0.25">
      <c r="A12" t="s">
        <v>12</v>
      </c>
      <c r="B12" t="s">
        <v>1</v>
      </c>
      <c r="C12">
        <f>C2</f>
        <v>0.42</v>
      </c>
      <c r="D12">
        <f t="shared" ref="D12:M12" si="0">D2</f>
        <v>0.41174100000000002</v>
      </c>
      <c r="E12">
        <f t="shared" si="0"/>
        <v>0.41017399999999998</v>
      </c>
      <c r="F12">
        <f t="shared" si="0"/>
        <v>0.41102066999999998</v>
      </c>
      <c r="G12">
        <f t="shared" si="0"/>
        <v>0.44005517</v>
      </c>
      <c r="H12">
        <f t="shared" si="0"/>
        <v>0.41126467999999999</v>
      </c>
      <c r="I12">
        <f t="shared" si="0"/>
        <v>0.40693478999999999</v>
      </c>
      <c r="J12">
        <f t="shared" si="0"/>
        <v>0.43105186000000001</v>
      </c>
      <c r="K12">
        <f t="shared" si="0"/>
        <v>0.42616219999999999</v>
      </c>
      <c r="L12">
        <f t="shared" si="0"/>
        <v>0.40360152999999999</v>
      </c>
      <c r="M12">
        <f t="shared" si="0"/>
        <v>0.40095227999999999</v>
      </c>
      <c r="N12">
        <f t="shared" ref="N12:O12" si="1">N2</f>
        <v>0.40835083999999999</v>
      </c>
      <c r="O12">
        <f t="shared" si="1"/>
        <v>0.41452341000000004</v>
      </c>
      <c r="P12">
        <f>'Adding DGPV to Demand'!K75</f>
        <v>0.40785153000000002</v>
      </c>
      <c r="Q12">
        <f>'Adding DGPV to Demand'!L75</f>
        <v>0.41752413999999999</v>
      </c>
      <c r="R12">
        <f>'Adding DGPV to Demand'!M75</f>
        <v>0.41878738999999998</v>
      </c>
      <c r="S12">
        <f>'Adding DGPV to Demand'!N75</f>
        <v>0.42361499999999996</v>
      </c>
      <c r="T12">
        <f>'Adding DGPV to Demand'!O75</f>
        <v>0.43409681</v>
      </c>
      <c r="U12">
        <f>'Adding DGPV to Demand'!P75</f>
        <v>0.44317519</v>
      </c>
      <c r="V12">
        <f>'Adding DGPV to Demand'!Q75</f>
        <v>0.45372496000000001</v>
      </c>
      <c r="W12">
        <f>'Adding DGPV to Demand'!R75</f>
        <v>0.46298284000000001</v>
      </c>
      <c r="X12">
        <f>'Adding DGPV to Demand'!S75</f>
        <v>0.47300960000000003</v>
      </c>
      <c r="Y12">
        <f>'Adding DGPV to Demand'!T75</f>
        <v>0.48309208999999997</v>
      </c>
      <c r="Z12">
        <f>'Adding DGPV to Demand'!U75</f>
        <v>0.492147</v>
      </c>
      <c r="AA12">
        <f>'Adding DGPV to Demand'!V75</f>
        <v>0.50234794999999999</v>
      </c>
      <c r="AB12">
        <f>'Adding DGPV to Demand'!W75</f>
        <v>0.51368482000000004</v>
      </c>
      <c r="AC12">
        <f>'Adding DGPV to Demand'!X75</f>
        <v>0.52603811999999994</v>
      </c>
      <c r="AD12">
        <f>'Adding DGPV to Demand'!Y75</f>
        <v>0.53869696</v>
      </c>
      <c r="AE12">
        <f>'Adding DGPV to Demand'!Z75</f>
        <v>0.55110197999999999</v>
      </c>
      <c r="AF12">
        <f>'Adding DGPV to Demand'!AA75</f>
        <v>0.56328946999999996</v>
      </c>
      <c r="AG12">
        <f>'Adding DGPV to Demand'!AB75</f>
        <v>0.57418804000000001</v>
      </c>
      <c r="AH12">
        <f>'Adding DGPV to Demand'!AC75</f>
        <v>0.58454950000000006</v>
      </c>
      <c r="AI12">
        <f>'Adding DGPV to Demand'!AD75</f>
        <v>0.59456827000000001</v>
      </c>
      <c r="AJ12">
        <f>'Adding DGPV to Demand'!AE75</f>
        <v>0.60500799000000005</v>
      </c>
      <c r="AK12">
        <f>'Adding DGPV to Demand'!AF75</f>
        <v>0.61380422999999995</v>
      </c>
      <c r="AL12">
        <f>'Adding DGPV to Demand'!AG75</f>
        <v>0.62240304000000002</v>
      </c>
      <c r="AM12">
        <f>'Adding DGPV to Demand'!AH75</f>
        <v>0.63079624999999995</v>
      </c>
      <c r="AN12">
        <f>'Adding DGPV to Demand'!AI75</f>
        <v>0.63951689</v>
      </c>
      <c r="AO12">
        <f>'Adding DGPV to Demand'!AJ75</f>
        <v>0.64795826000000001</v>
      </c>
      <c r="AP12">
        <f>'Adding DGPV to Demand'!AK75</f>
        <v>0.65683723000000005</v>
      </c>
      <c r="AQ12">
        <f>'Adding DGPV to Demand'!AL75</f>
        <v>0.66636859999999998</v>
      </c>
    </row>
    <row r="13" spans="1:43" x14ac:dyDescent="0.25">
      <c r="A13" t="s">
        <v>12</v>
      </c>
      <c r="B13" t="s">
        <v>2</v>
      </c>
      <c r="C13">
        <f t="shared" ref="C13:M31" si="2">C3</f>
        <v>1.27</v>
      </c>
      <c r="D13">
        <f t="shared" si="2"/>
        <v>1.2591760000000001</v>
      </c>
      <c r="E13">
        <f t="shared" si="2"/>
        <v>1.2379629999999999</v>
      </c>
      <c r="F13">
        <f t="shared" si="2"/>
        <v>1.2380461</v>
      </c>
      <c r="G13">
        <f t="shared" si="2"/>
        <v>1.2675293700000001</v>
      </c>
      <c r="H13">
        <f t="shared" si="2"/>
        <v>1.2668578099999999</v>
      </c>
      <c r="I13">
        <f t="shared" si="2"/>
        <v>1.2596388200000002</v>
      </c>
      <c r="J13">
        <f t="shared" si="2"/>
        <v>1.23697872</v>
      </c>
      <c r="K13">
        <f t="shared" si="2"/>
        <v>1.27601802</v>
      </c>
      <c r="L13">
        <f t="shared" si="2"/>
        <v>1.25933209</v>
      </c>
      <c r="M13">
        <f t="shared" si="2"/>
        <v>1.20475479</v>
      </c>
      <c r="N13">
        <f t="shared" ref="N13:O13" si="3">N3</f>
        <v>1.24826265</v>
      </c>
      <c r="O13">
        <f t="shared" si="3"/>
        <v>1.27555993</v>
      </c>
      <c r="P13">
        <f>'Adding DGPV to Demand'!K76</f>
        <v>1.2540191599999999</v>
      </c>
      <c r="Q13">
        <f>'Adding DGPV to Demand'!L76</f>
        <v>1.2637683499999999</v>
      </c>
      <c r="R13">
        <f>'Adding DGPV to Demand'!M76</f>
        <v>1.2849115799999999</v>
      </c>
      <c r="S13">
        <f>'Adding DGPV to Demand'!N76</f>
        <v>1.30196694</v>
      </c>
      <c r="T13">
        <f>'Adding DGPV to Demand'!O76</f>
        <v>1.3258095599999999</v>
      </c>
      <c r="U13">
        <f>'Adding DGPV to Demand'!P76</f>
        <v>1.34678114</v>
      </c>
      <c r="V13">
        <f>'Adding DGPV to Demand'!Q76</f>
        <v>1.3732440099999998</v>
      </c>
      <c r="W13">
        <f>'Adding DGPV to Demand'!R76</f>
        <v>1.3964694499999999</v>
      </c>
      <c r="X13">
        <f>'Adding DGPV to Demand'!S76</f>
        <v>1.4239311699999999</v>
      </c>
      <c r="Y13">
        <f>'Adding DGPV to Demand'!T76</f>
        <v>1.4532267400000001</v>
      </c>
      <c r="Z13">
        <f>'Adding DGPV to Demand'!U76</f>
        <v>1.4813724499999998</v>
      </c>
      <c r="AA13">
        <f>'Adding DGPV to Demand'!V76</f>
        <v>1.5123440099999998</v>
      </c>
      <c r="AB13">
        <f>'Adding DGPV to Demand'!W76</f>
        <v>1.5461941799999999</v>
      </c>
      <c r="AC13">
        <f>'Adding DGPV to Demand'!X76</f>
        <v>1.5823273599999998</v>
      </c>
      <c r="AD13">
        <f>'Adding DGPV to Demand'!Y76</f>
        <v>1.6196942399999998</v>
      </c>
      <c r="AE13">
        <f>'Adding DGPV to Demand'!Z76</f>
        <v>1.6565379099999999</v>
      </c>
      <c r="AF13">
        <f>'Adding DGPV to Demand'!AA76</f>
        <v>1.6931511000000001</v>
      </c>
      <c r="AG13">
        <f>'Adding DGPV to Demand'!AB76</f>
        <v>1.7244762199999999</v>
      </c>
      <c r="AH13">
        <f>'Adding DGPV to Demand'!AC76</f>
        <v>1.7529956499999999</v>
      </c>
      <c r="AI13">
        <f>'Adding DGPV to Demand'!AD76</f>
        <v>1.7813941799999999</v>
      </c>
      <c r="AJ13">
        <f>'Adding DGPV to Demand'!AE76</f>
        <v>1.8086964700000001</v>
      </c>
      <c r="AK13">
        <f>'Adding DGPV to Demand'!AF76</f>
        <v>1.83525622</v>
      </c>
      <c r="AL13">
        <f>'Adding DGPV to Demand'!AG76</f>
        <v>1.8623737</v>
      </c>
      <c r="AM13">
        <f>'Adding DGPV to Demand'!AH76</f>
        <v>1.88978402</v>
      </c>
      <c r="AN13">
        <f>'Adding DGPV to Demand'!AI76</f>
        <v>1.9181451599999999</v>
      </c>
      <c r="AO13">
        <f>'Adding DGPV to Demand'!AJ76</f>
        <v>1.9456092700000001</v>
      </c>
      <c r="AP13">
        <f>'Adding DGPV to Demand'!AK76</f>
        <v>1.97429593</v>
      </c>
      <c r="AQ13">
        <f>'Adding DGPV to Demand'!AL76</f>
        <v>2.0053476899999998</v>
      </c>
    </row>
    <row r="14" spans="1:43" x14ac:dyDescent="0.25">
      <c r="A14" t="s">
        <v>12</v>
      </c>
      <c r="B14" t="s">
        <v>3</v>
      </c>
      <c r="C14">
        <f t="shared" si="2"/>
        <v>1.97</v>
      </c>
      <c r="D14">
        <f t="shared" si="2"/>
        <v>1.9698020000000001</v>
      </c>
      <c r="E14">
        <f t="shared" si="2"/>
        <v>1.961978</v>
      </c>
      <c r="F14">
        <f t="shared" si="2"/>
        <v>1.9298373600000001</v>
      </c>
      <c r="G14">
        <f t="shared" si="2"/>
        <v>1.94555587</v>
      </c>
      <c r="H14">
        <f t="shared" si="2"/>
        <v>1.9026462700000002</v>
      </c>
      <c r="I14">
        <f t="shared" si="2"/>
        <v>1.9039975900000001</v>
      </c>
      <c r="J14">
        <f t="shared" si="2"/>
        <v>1.8747083200000001</v>
      </c>
      <c r="K14">
        <f t="shared" si="2"/>
        <v>1.93915036</v>
      </c>
      <c r="L14">
        <f t="shared" si="2"/>
        <v>1.88470454</v>
      </c>
      <c r="M14">
        <f t="shared" si="2"/>
        <v>1.84570163</v>
      </c>
      <c r="N14">
        <f t="shared" ref="N14:O14" si="4">N4</f>
        <v>1.8997105200000002</v>
      </c>
      <c r="O14">
        <f t="shared" si="4"/>
        <v>1.8961219200000001</v>
      </c>
      <c r="P14">
        <f>'Adding DGPV to Demand'!K77</f>
        <v>1.88252445</v>
      </c>
      <c r="Q14">
        <f>'Adding DGPV to Demand'!L77</f>
        <v>1.90336504</v>
      </c>
      <c r="R14">
        <f>'Adding DGPV to Demand'!M77</f>
        <v>1.94152551</v>
      </c>
      <c r="S14">
        <f>'Adding DGPV to Demand'!N77</f>
        <v>1.9704869</v>
      </c>
      <c r="T14">
        <f>'Adding DGPV to Demand'!O77</f>
        <v>2.0013617300000002</v>
      </c>
      <c r="U14">
        <f>'Adding DGPV to Demand'!P77</f>
        <v>2.02280887</v>
      </c>
      <c r="V14">
        <f>'Adding DGPV to Demand'!Q77</f>
        <v>2.0530541499999999</v>
      </c>
      <c r="W14">
        <f>'Adding DGPV to Demand'!R77</f>
        <v>2.0832414699999999</v>
      </c>
      <c r="X14">
        <f>'Adding DGPV to Demand'!S77</f>
        <v>2.1154338799999999</v>
      </c>
      <c r="Y14">
        <f>'Adding DGPV to Demand'!T77</f>
        <v>2.1576391699999999</v>
      </c>
      <c r="Z14">
        <f>'Adding DGPV to Demand'!U77</f>
        <v>2.2001500599999999</v>
      </c>
      <c r="AA14">
        <f>'Adding DGPV to Demand'!V77</f>
        <v>2.2504818599999998</v>
      </c>
      <c r="AB14">
        <f>'Adding DGPV to Demand'!W77</f>
        <v>2.3031859900000002</v>
      </c>
      <c r="AC14">
        <f>'Adding DGPV to Demand'!X77</f>
        <v>2.3546769900000002</v>
      </c>
      <c r="AD14">
        <f>'Adding DGPV to Demand'!Y77</f>
        <v>2.4038663200000001</v>
      </c>
      <c r="AE14">
        <f>'Adding DGPV to Demand'!Z77</f>
        <v>2.4538312000000002</v>
      </c>
      <c r="AF14">
        <f>'Adding DGPV to Demand'!AA77</f>
        <v>2.5036353500000001</v>
      </c>
      <c r="AG14">
        <f>'Adding DGPV to Demand'!AB77</f>
        <v>2.5454909800000003</v>
      </c>
      <c r="AH14">
        <f>'Adding DGPV to Demand'!AC77</f>
        <v>2.58367031</v>
      </c>
      <c r="AI14">
        <f>'Adding DGPV to Demand'!AD77</f>
        <v>2.62416333</v>
      </c>
      <c r="AJ14">
        <f>'Adding DGPV to Demand'!AE77</f>
        <v>2.6620727899999999</v>
      </c>
      <c r="AK14">
        <f>'Adding DGPV to Demand'!AF77</f>
        <v>2.6996806000000002</v>
      </c>
      <c r="AL14">
        <f>'Adding DGPV to Demand'!AG77</f>
        <v>2.7362790699999997</v>
      </c>
      <c r="AM14">
        <f>'Adding DGPV to Demand'!AH77</f>
        <v>2.7743208699999999</v>
      </c>
      <c r="AN14">
        <f>'Adding DGPV to Demand'!AI77</f>
        <v>2.8125041399999997</v>
      </c>
      <c r="AO14">
        <f>'Adding DGPV to Demand'!AJ77</f>
        <v>2.84894742</v>
      </c>
      <c r="AP14">
        <f>'Adding DGPV to Demand'!AK77</f>
        <v>2.8866767599999998</v>
      </c>
      <c r="AQ14">
        <f>'Adding DGPV to Demand'!AL77</f>
        <v>2.9269710500000001</v>
      </c>
    </row>
    <row r="15" spans="1:43" x14ac:dyDescent="0.25">
      <c r="A15" t="s">
        <v>12</v>
      </c>
      <c r="B15" t="s">
        <v>4</v>
      </c>
      <c r="C15">
        <f t="shared" si="2"/>
        <v>1.0029999999999999</v>
      </c>
      <c r="D15">
        <f t="shared" si="2"/>
        <v>1.004251</v>
      </c>
      <c r="E15">
        <f t="shared" si="2"/>
        <v>1.002292</v>
      </c>
      <c r="F15">
        <f t="shared" si="2"/>
        <v>1.00240408</v>
      </c>
      <c r="G15">
        <f t="shared" si="2"/>
        <v>1.03447661</v>
      </c>
      <c r="H15">
        <f t="shared" si="2"/>
        <v>1.0144615699999999</v>
      </c>
      <c r="I15">
        <f t="shared" si="2"/>
        <v>1.0097498599999999</v>
      </c>
      <c r="J15">
        <f t="shared" si="2"/>
        <v>1.00463269</v>
      </c>
      <c r="K15">
        <f t="shared" si="2"/>
        <v>1.0409431499999999</v>
      </c>
      <c r="L15">
        <f t="shared" si="2"/>
        <v>1.0311001499999999</v>
      </c>
      <c r="M15">
        <f t="shared" si="2"/>
        <v>1.0034551300000001</v>
      </c>
      <c r="N15">
        <f t="shared" ref="N15:O15" si="5">N5</f>
        <v>1.05047095</v>
      </c>
      <c r="O15">
        <f t="shared" si="5"/>
        <v>1.0727100199999999</v>
      </c>
      <c r="P15">
        <f>'Adding DGPV to Demand'!K78</f>
        <v>1.06164262</v>
      </c>
      <c r="Q15">
        <f>'Adding DGPV to Demand'!L78</f>
        <v>1.1070116700000001</v>
      </c>
      <c r="R15">
        <f>'Adding DGPV to Demand'!M78</f>
        <v>1.1249947299999998</v>
      </c>
      <c r="S15">
        <f>'Adding DGPV to Demand'!N78</f>
        <v>1.1211696500000001</v>
      </c>
      <c r="T15">
        <f>'Adding DGPV to Demand'!O78</f>
        <v>1.13298341</v>
      </c>
      <c r="U15">
        <f>'Adding DGPV to Demand'!P78</f>
        <v>1.14088327</v>
      </c>
      <c r="V15">
        <f>'Adding DGPV to Demand'!Q78</f>
        <v>1.1569959400000001</v>
      </c>
      <c r="W15">
        <f>'Adding DGPV to Demand'!R78</f>
        <v>1.1747289299999999</v>
      </c>
      <c r="X15">
        <f>'Adding DGPV to Demand'!S78</f>
        <v>1.19395505</v>
      </c>
      <c r="Y15">
        <f>'Adding DGPV to Demand'!T78</f>
        <v>1.2186661600000002</v>
      </c>
      <c r="Z15">
        <f>'Adding DGPV to Demand'!U78</f>
        <v>1.2449043799999999</v>
      </c>
      <c r="AA15">
        <f>'Adding DGPV to Demand'!V78</f>
        <v>1.2750338299999999</v>
      </c>
      <c r="AB15">
        <f>'Adding DGPV to Demand'!W78</f>
        <v>1.30659028</v>
      </c>
      <c r="AC15">
        <f>'Adding DGPV to Demand'!X78</f>
        <v>1.3367614800000001</v>
      </c>
      <c r="AD15">
        <f>'Adding DGPV to Demand'!Y78</f>
        <v>1.36550701</v>
      </c>
      <c r="AE15">
        <f>'Adding DGPV to Demand'!Z78</f>
        <v>1.39466537</v>
      </c>
      <c r="AF15">
        <f>'Adding DGPV to Demand'!AA78</f>
        <v>1.4231425</v>
      </c>
      <c r="AG15">
        <f>'Adding DGPV to Demand'!AB78</f>
        <v>1.44761889</v>
      </c>
      <c r="AH15">
        <f>'Adding DGPV to Demand'!AC78</f>
        <v>1.4714428399999999</v>
      </c>
      <c r="AI15">
        <f>'Adding DGPV to Demand'!AD78</f>
        <v>1.49705694</v>
      </c>
      <c r="AJ15">
        <f>'Adding DGPV to Demand'!AE78</f>
        <v>1.52142431</v>
      </c>
      <c r="AK15">
        <f>'Adding DGPV to Demand'!AF78</f>
        <v>1.5455126299999999</v>
      </c>
      <c r="AL15">
        <f>'Adding DGPV to Demand'!AG78</f>
        <v>1.56872079</v>
      </c>
      <c r="AM15">
        <f>'Adding DGPV to Demand'!AH78</f>
        <v>1.59199753</v>
      </c>
      <c r="AN15">
        <f>'Adding DGPV to Demand'!AI78</f>
        <v>1.6158102400000001</v>
      </c>
      <c r="AO15">
        <f>'Adding DGPV to Demand'!AJ78</f>
        <v>1.6397200600000001</v>
      </c>
      <c r="AP15">
        <f>'Adding DGPV to Demand'!AK78</f>
        <v>1.6648792799999999</v>
      </c>
      <c r="AQ15">
        <f>'Adding DGPV to Demand'!AL78</f>
        <v>1.6919624</v>
      </c>
    </row>
    <row r="16" spans="1:43" x14ac:dyDescent="0.25">
      <c r="A16" t="s">
        <v>12</v>
      </c>
      <c r="B16" t="s">
        <v>5</v>
      </c>
      <c r="C16">
        <f t="shared" si="2"/>
        <v>2.8149999999999999</v>
      </c>
      <c r="D16">
        <f t="shared" si="2"/>
        <v>2.7323879999999998</v>
      </c>
      <c r="E16">
        <f t="shared" si="2"/>
        <v>2.6630720000000001</v>
      </c>
      <c r="F16">
        <f t="shared" si="2"/>
        <v>2.67589656</v>
      </c>
      <c r="G16">
        <f t="shared" si="2"/>
        <v>2.7230304000000003</v>
      </c>
      <c r="H16">
        <f t="shared" si="2"/>
        <v>2.7192014100000002</v>
      </c>
      <c r="I16">
        <f t="shared" si="2"/>
        <v>2.73043747</v>
      </c>
      <c r="J16">
        <f t="shared" si="2"/>
        <v>2.6800960700000003</v>
      </c>
      <c r="K16">
        <f t="shared" si="2"/>
        <v>2.7837750900000002</v>
      </c>
      <c r="L16">
        <f t="shared" si="2"/>
        <v>2.78859089</v>
      </c>
      <c r="M16">
        <f t="shared" si="2"/>
        <v>2.7067162100000002</v>
      </c>
      <c r="N16">
        <f t="shared" ref="N16:O16" si="6">N6</f>
        <v>2.8261017499999999</v>
      </c>
      <c r="O16">
        <f t="shared" si="6"/>
        <v>2.9142712800000004</v>
      </c>
      <c r="P16">
        <f>'Adding DGPV to Demand'!K79</f>
        <v>2.9037459000000001</v>
      </c>
      <c r="Q16">
        <f>'Adding DGPV to Demand'!L79</f>
        <v>2.9808320200000002</v>
      </c>
      <c r="R16">
        <f>'Adding DGPV to Demand'!M79</f>
        <v>3.0147078</v>
      </c>
      <c r="S16">
        <f>'Adding DGPV to Demand'!N79</f>
        <v>3.0484624</v>
      </c>
      <c r="T16">
        <f>'Adding DGPV to Demand'!O79</f>
        <v>3.09766114</v>
      </c>
      <c r="U16">
        <f>'Adding DGPV to Demand'!P79</f>
        <v>3.1391479800000002</v>
      </c>
      <c r="V16">
        <f>'Adding DGPV to Demand'!Q79</f>
        <v>3.1957734099999997</v>
      </c>
      <c r="W16">
        <f>'Adding DGPV to Demand'!R79</f>
        <v>3.24978006</v>
      </c>
      <c r="X16">
        <f>'Adding DGPV to Demand'!S79</f>
        <v>3.3052823499999997</v>
      </c>
      <c r="Y16">
        <f>'Adding DGPV to Demand'!T79</f>
        <v>3.3697098699999999</v>
      </c>
      <c r="Z16">
        <f>'Adding DGPV to Demand'!U79</f>
        <v>3.43454104</v>
      </c>
      <c r="AA16">
        <f>'Adding DGPV to Demand'!V79</f>
        <v>3.5028208799999998</v>
      </c>
      <c r="AB16">
        <f>'Adding DGPV to Demand'!W79</f>
        <v>3.5722045900000001</v>
      </c>
      <c r="AC16">
        <f>'Adding DGPV to Demand'!X79</f>
        <v>3.6459451500000002</v>
      </c>
      <c r="AD16">
        <f>'Adding DGPV to Demand'!Y79</f>
        <v>3.72431906</v>
      </c>
      <c r="AE16">
        <f>'Adding DGPV to Demand'!Z79</f>
        <v>3.8056873700000002</v>
      </c>
      <c r="AF16">
        <f>'Adding DGPV to Demand'!AA79</f>
        <v>3.8885641400000002</v>
      </c>
      <c r="AG16">
        <f>'Adding DGPV to Demand'!AB79</f>
        <v>3.9627734800000001</v>
      </c>
      <c r="AH16">
        <f>'Adding DGPV to Demand'!AC79</f>
        <v>4.0310678600000003</v>
      </c>
      <c r="AI16">
        <f>'Adding DGPV to Demand'!AD79</f>
        <v>4.0995336899999995</v>
      </c>
      <c r="AJ16">
        <f>'Adding DGPV to Demand'!AE79</f>
        <v>4.1666207799999997</v>
      </c>
      <c r="AK16">
        <f>'Adding DGPV to Demand'!AF79</f>
        <v>4.2317014100000003</v>
      </c>
      <c r="AL16">
        <f>'Adding DGPV to Demand'!AG79</f>
        <v>4.2965979799999996</v>
      </c>
      <c r="AM16">
        <f>'Adding DGPV to Demand'!AH79</f>
        <v>4.3600385600000005</v>
      </c>
      <c r="AN16">
        <f>'Adding DGPV to Demand'!AI79</f>
        <v>4.4263741900000007</v>
      </c>
      <c r="AO16">
        <f>'Adding DGPV to Demand'!AJ79</f>
        <v>4.4954291699999995</v>
      </c>
      <c r="AP16">
        <f>'Adding DGPV to Demand'!AK79</f>
        <v>4.5684442399999998</v>
      </c>
      <c r="AQ16">
        <f>'Adding DGPV to Demand'!AL79</f>
        <v>4.6468283899999996</v>
      </c>
    </row>
    <row r="17" spans="1:43" x14ac:dyDescent="0.25">
      <c r="A17" t="s">
        <v>12</v>
      </c>
      <c r="B17" t="s">
        <v>6</v>
      </c>
      <c r="C17">
        <f t="shared" si="2"/>
        <v>1.1519999999999999</v>
      </c>
      <c r="D17">
        <f t="shared" si="2"/>
        <v>1.1212580000000001</v>
      </c>
      <c r="E17">
        <f t="shared" si="2"/>
        <v>1.091933</v>
      </c>
      <c r="F17">
        <f t="shared" si="2"/>
        <v>1.1197244799999999</v>
      </c>
      <c r="G17">
        <f t="shared" si="2"/>
        <v>1.0897525399999999</v>
      </c>
      <c r="H17">
        <f t="shared" si="2"/>
        <v>1.04856832</v>
      </c>
      <c r="I17">
        <f t="shared" si="2"/>
        <v>1.03760001</v>
      </c>
      <c r="J17">
        <f t="shared" si="2"/>
        <v>1.0056703500000002</v>
      </c>
      <c r="K17">
        <f t="shared" si="2"/>
        <v>1.0592547000000001</v>
      </c>
      <c r="L17">
        <f t="shared" si="2"/>
        <v>1.0527635500000001</v>
      </c>
      <c r="M17">
        <f t="shared" si="2"/>
        <v>1.00147524</v>
      </c>
      <c r="N17">
        <f t="shared" ref="N17:O17" si="7">N7</f>
        <v>1.0462211099999998</v>
      </c>
      <c r="O17">
        <f t="shared" si="7"/>
        <v>1.0631943100000001</v>
      </c>
      <c r="P17">
        <f>'Adding DGPV to Demand'!K80</f>
        <v>1.0575268799999999</v>
      </c>
      <c r="Q17">
        <f>'Adding DGPV to Demand'!L80</f>
        <v>1.0629011800000001</v>
      </c>
      <c r="R17">
        <f>'Adding DGPV to Demand'!M80</f>
        <v>1.0624440800000001</v>
      </c>
      <c r="S17">
        <f>'Adding DGPV to Demand'!N80</f>
        <v>1.0924686299999999</v>
      </c>
      <c r="T17">
        <f>'Adding DGPV to Demand'!O80</f>
        <v>1.1103417799999999</v>
      </c>
      <c r="U17">
        <f>'Adding DGPV to Demand'!P80</f>
        <v>1.12291382</v>
      </c>
      <c r="V17">
        <f>'Adding DGPV to Demand'!Q80</f>
        <v>1.13571792</v>
      </c>
      <c r="W17">
        <f>'Adding DGPV to Demand'!R80</f>
        <v>1.1491151399999999</v>
      </c>
      <c r="X17">
        <f>'Adding DGPV to Demand'!S80</f>
        <v>1.1635658900000001</v>
      </c>
      <c r="Y17">
        <f>'Adding DGPV to Demand'!T80</f>
        <v>1.1816723900000001</v>
      </c>
      <c r="Z17">
        <f>'Adding DGPV to Demand'!U80</f>
        <v>1.20037737</v>
      </c>
      <c r="AA17">
        <f>'Adding DGPV to Demand'!V80</f>
        <v>1.2218304099999999</v>
      </c>
      <c r="AB17">
        <f>'Adding DGPV to Demand'!W80</f>
        <v>1.24338299</v>
      </c>
      <c r="AC17">
        <f>'Adding DGPV to Demand'!X80</f>
        <v>1.2664676699999999</v>
      </c>
      <c r="AD17">
        <f>'Adding DGPV to Demand'!Y80</f>
        <v>1.2897357600000001</v>
      </c>
      <c r="AE17">
        <f>'Adding DGPV to Demand'!Z80</f>
        <v>1.31345095</v>
      </c>
      <c r="AF17">
        <f>'Adding DGPV to Demand'!AA80</f>
        <v>1.33669032</v>
      </c>
      <c r="AG17">
        <f>'Adding DGPV to Demand'!AB80</f>
        <v>1.3555926500000002</v>
      </c>
      <c r="AH17">
        <f>'Adding DGPV to Demand'!AC80</f>
        <v>1.3728064499999999</v>
      </c>
      <c r="AI17">
        <f>'Adding DGPV to Demand'!AD80</f>
        <v>1.3917078699999998</v>
      </c>
      <c r="AJ17">
        <f>'Adding DGPV to Demand'!AE80</f>
        <v>1.40913015</v>
      </c>
      <c r="AK17">
        <f>'Adding DGPV to Demand'!AF80</f>
        <v>1.42460557</v>
      </c>
      <c r="AL17">
        <f>'Adding DGPV to Demand'!AG80</f>
        <v>1.439864</v>
      </c>
      <c r="AM17">
        <f>'Adding DGPV to Demand'!AH80</f>
        <v>1.4555466399999999</v>
      </c>
      <c r="AN17">
        <f>'Adding DGPV to Demand'!AI80</f>
        <v>1.4745151700000001</v>
      </c>
      <c r="AO17">
        <f>'Adding DGPV to Demand'!AJ80</f>
        <v>1.4944550400000001</v>
      </c>
      <c r="AP17">
        <f>'Adding DGPV to Demand'!AK80</f>
        <v>1.51507894</v>
      </c>
      <c r="AQ17">
        <f>'Adding DGPV to Demand'!AL80</f>
        <v>1.53683551</v>
      </c>
    </row>
    <row r="18" spans="1:43" x14ac:dyDescent="0.25">
      <c r="A18" t="s">
        <v>12</v>
      </c>
      <c r="B18" t="s">
        <v>7</v>
      </c>
      <c r="C18">
        <f t="shared" si="2"/>
        <v>1.875</v>
      </c>
      <c r="D18">
        <f t="shared" si="2"/>
        <v>1.945614</v>
      </c>
      <c r="E18">
        <f t="shared" si="2"/>
        <v>1.898577</v>
      </c>
      <c r="F18">
        <f t="shared" si="2"/>
        <v>1.90921535</v>
      </c>
      <c r="G18">
        <f t="shared" si="2"/>
        <v>2.0292341999999999</v>
      </c>
      <c r="H18">
        <f t="shared" si="2"/>
        <v>2.0446246299999999</v>
      </c>
      <c r="I18">
        <f t="shared" si="2"/>
        <v>2.0291272</v>
      </c>
      <c r="J18">
        <f t="shared" si="2"/>
        <v>2.02324394</v>
      </c>
      <c r="K18">
        <f t="shared" si="2"/>
        <v>2.1222957499999997</v>
      </c>
      <c r="L18">
        <f t="shared" si="2"/>
        <v>2.1605800799999999</v>
      </c>
      <c r="M18">
        <f t="shared" si="2"/>
        <v>2.0755101300000001</v>
      </c>
      <c r="N18">
        <f t="shared" ref="N18:O18" si="8">N8</f>
        <v>2.2079303100000001</v>
      </c>
      <c r="O18">
        <f t="shared" si="8"/>
        <v>2.30493419</v>
      </c>
      <c r="P18">
        <f>'Adding DGPV to Demand'!K81</f>
        <v>2.2475090600000001</v>
      </c>
      <c r="Q18">
        <f>'Adding DGPV to Demand'!L81</f>
        <v>2.3735083800000001</v>
      </c>
      <c r="R18">
        <f>'Adding DGPV to Demand'!M81</f>
        <v>2.42832581</v>
      </c>
      <c r="S18">
        <f>'Adding DGPV to Demand'!N81</f>
        <v>2.4703319599999998</v>
      </c>
      <c r="T18">
        <f>'Adding DGPV to Demand'!O81</f>
        <v>2.5115885700000002</v>
      </c>
      <c r="U18">
        <f>'Adding DGPV to Demand'!P81</f>
        <v>2.5398162399999999</v>
      </c>
      <c r="V18">
        <f>'Adding DGPV to Demand'!Q81</f>
        <v>2.58050866</v>
      </c>
      <c r="W18">
        <f>'Adding DGPV to Demand'!R81</f>
        <v>2.6225783499999999</v>
      </c>
      <c r="X18">
        <f>'Adding DGPV to Demand'!S81</f>
        <v>2.66612172</v>
      </c>
      <c r="Y18">
        <f>'Adding DGPV to Demand'!T81</f>
        <v>2.71921071</v>
      </c>
      <c r="Z18">
        <f>'Adding DGPV to Demand'!U81</f>
        <v>2.7761069800000002</v>
      </c>
      <c r="AA18">
        <f>'Adding DGPV to Demand'!V81</f>
        <v>2.8434938999999999</v>
      </c>
      <c r="AB18">
        <f>'Adding DGPV to Demand'!W81</f>
        <v>2.9125180099999999</v>
      </c>
      <c r="AC18">
        <f>'Adding DGPV to Demand'!X81</f>
        <v>2.9872957099999997</v>
      </c>
      <c r="AD18">
        <f>'Adding DGPV to Demand'!Y81</f>
        <v>3.0644708399999998</v>
      </c>
      <c r="AE18">
        <f>'Adding DGPV to Demand'!Z81</f>
        <v>3.1339419700000004</v>
      </c>
      <c r="AF18">
        <f>'Adding DGPV to Demand'!AA81</f>
        <v>3.2023935399999996</v>
      </c>
      <c r="AG18">
        <f>'Adding DGPV to Demand'!AB81</f>
        <v>3.2567780700000002</v>
      </c>
      <c r="AH18">
        <f>'Adding DGPV to Demand'!AC81</f>
        <v>3.3061371300000002</v>
      </c>
      <c r="AI18">
        <f>'Adding DGPV to Demand'!AD81</f>
        <v>3.36161785</v>
      </c>
      <c r="AJ18">
        <f>'Adding DGPV to Demand'!AE81</f>
        <v>3.41625098</v>
      </c>
      <c r="AK18">
        <f>'Adding DGPV to Demand'!AF81</f>
        <v>3.4670963399999999</v>
      </c>
      <c r="AL18">
        <f>'Adding DGPV to Demand'!AG81</f>
        <v>3.51627687</v>
      </c>
      <c r="AM18">
        <f>'Adding DGPV to Demand'!AH81</f>
        <v>3.56541446</v>
      </c>
      <c r="AN18">
        <f>'Adding DGPV to Demand'!AI81</f>
        <v>3.62077151</v>
      </c>
      <c r="AO18">
        <f>'Adding DGPV to Demand'!AJ81</f>
        <v>3.6805428399999998</v>
      </c>
      <c r="AP18">
        <f>'Adding DGPV to Demand'!AK81</f>
        <v>3.7440038900000001</v>
      </c>
      <c r="AQ18">
        <f>'Adding DGPV to Demand'!AL81</f>
        <v>3.8107062699999998</v>
      </c>
    </row>
    <row r="19" spans="1:43" x14ac:dyDescent="0.25">
      <c r="A19" t="s">
        <v>12</v>
      </c>
      <c r="B19" t="s">
        <v>8</v>
      </c>
      <c r="C19">
        <f t="shared" si="2"/>
        <v>0.89800000000000002</v>
      </c>
      <c r="D19">
        <f t="shared" si="2"/>
        <v>0.91674900000000004</v>
      </c>
      <c r="E19">
        <f t="shared" si="2"/>
        <v>0.92603800000000003</v>
      </c>
      <c r="F19">
        <f t="shared" si="2"/>
        <v>0.92237835999999995</v>
      </c>
      <c r="G19">
        <f t="shared" si="2"/>
        <v>0.92273852999999995</v>
      </c>
      <c r="H19">
        <f t="shared" si="2"/>
        <v>0.93016287999999991</v>
      </c>
      <c r="I19">
        <f t="shared" si="2"/>
        <v>0.94158965000000006</v>
      </c>
      <c r="J19">
        <f t="shared" si="2"/>
        <v>0.95548674</v>
      </c>
      <c r="K19">
        <f t="shared" si="2"/>
        <v>0.96707736</v>
      </c>
      <c r="L19">
        <f t="shared" si="2"/>
        <v>0.96674437999999996</v>
      </c>
      <c r="M19">
        <f t="shared" si="2"/>
        <v>0.97979298999999997</v>
      </c>
      <c r="N19">
        <f t="shared" ref="N19:O19" si="9">N9</f>
        <v>1.02482882</v>
      </c>
      <c r="O19">
        <f t="shared" si="9"/>
        <v>1.0487647</v>
      </c>
      <c r="P19">
        <f>'Adding DGPV to Demand'!K82</f>
        <v>1.0385965099999999</v>
      </c>
      <c r="Q19">
        <f>'Adding DGPV to Demand'!L82</f>
        <v>1.10424444</v>
      </c>
      <c r="R19">
        <f>'Adding DGPV to Demand'!M82</f>
        <v>1.1127913599999999</v>
      </c>
      <c r="S19">
        <f>'Adding DGPV to Demand'!N82</f>
        <v>1.1338385200000001</v>
      </c>
      <c r="T19">
        <f>'Adding DGPV to Demand'!O82</f>
        <v>1.1592617299999999</v>
      </c>
      <c r="U19">
        <f>'Adding DGPV to Demand'!P82</f>
        <v>1.18162945</v>
      </c>
      <c r="V19">
        <f>'Adding DGPV to Demand'!Q82</f>
        <v>1.2133538400000001</v>
      </c>
      <c r="W19">
        <f>'Adding DGPV to Demand'!R82</f>
        <v>1.2479043000000001</v>
      </c>
      <c r="X19">
        <f>'Adding DGPV to Demand'!S82</f>
        <v>1.2845004799999999</v>
      </c>
      <c r="Y19">
        <f>'Adding DGPV to Demand'!T82</f>
        <v>1.3280972</v>
      </c>
      <c r="Z19">
        <f>'Adding DGPV to Demand'!U82</f>
        <v>1.3753046499999999</v>
      </c>
      <c r="AA19">
        <f>'Adding DGPV to Demand'!V82</f>
        <v>1.4273293599999999</v>
      </c>
      <c r="AB19">
        <f>'Adding DGPV to Demand'!W82</f>
        <v>1.5099807000000001</v>
      </c>
      <c r="AC19">
        <f>'Adding DGPV to Demand'!X82</f>
        <v>1.5629726500000001</v>
      </c>
      <c r="AD19">
        <f>'Adding DGPV to Demand'!Y82</f>
        <v>1.61002121</v>
      </c>
      <c r="AE19">
        <f>'Adding DGPV to Demand'!Z82</f>
        <v>1.64274035</v>
      </c>
      <c r="AF19">
        <f>'Adding DGPV to Demand'!AA82</f>
        <v>1.6760209100000001</v>
      </c>
      <c r="AG19">
        <f>'Adding DGPV to Demand'!AB82</f>
        <v>1.7220963999999999</v>
      </c>
      <c r="AH19">
        <f>'Adding DGPV to Demand'!AC82</f>
        <v>1.76628498</v>
      </c>
      <c r="AI19">
        <f>'Adding DGPV to Demand'!AD82</f>
        <v>1.8119619100000002</v>
      </c>
      <c r="AJ19">
        <f>'Adding DGPV to Demand'!AE82</f>
        <v>1.8570474800000001</v>
      </c>
      <c r="AK19">
        <f>'Adding DGPV to Demand'!AF82</f>
        <v>1.8994341299999999</v>
      </c>
      <c r="AL19">
        <f>'Adding DGPV to Demand'!AG82</f>
        <v>1.94396481</v>
      </c>
      <c r="AM19">
        <f>'Adding DGPV to Demand'!AH82</f>
        <v>1.9888970100000001</v>
      </c>
      <c r="AN19">
        <f>'Adding DGPV to Demand'!AI82</f>
        <v>2.0347003099999998</v>
      </c>
      <c r="AO19">
        <f>'Adding DGPV to Demand'!AJ82</f>
        <v>2.07958979</v>
      </c>
      <c r="AP19">
        <f>'Adding DGPV to Demand'!AK82</f>
        <v>2.1270170799999999</v>
      </c>
      <c r="AQ19">
        <f>'Adding DGPV to Demand'!AL82</f>
        <v>2.1776035199999999</v>
      </c>
    </row>
    <row r="20" spans="1:43" x14ac:dyDescent="0.25">
      <c r="A20" t="s">
        <v>12</v>
      </c>
      <c r="B20" t="s">
        <v>9</v>
      </c>
      <c r="C20">
        <f t="shared" si="2"/>
        <v>1.403</v>
      </c>
      <c r="D20">
        <f t="shared" si="2"/>
        <v>1.429711</v>
      </c>
      <c r="E20">
        <f t="shared" si="2"/>
        <v>1.4153640000000001</v>
      </c>
      <c r="F20">
        <f t="shared" si="2"/>
        <v>1.40705791</v>
      </c>
      <c r="G20">
        <f t="shared" si="2"/>
        <v>1.4177659999999999</v>
      </c>
      <c r="H20">
        <f t="shared" si="2"/>
        <v>1.4341026299999999</v>
      </c>
      <c r="I20">
        <f t="shared" si="2"/>
        <v>1.4307790300000001</v>
      </c>
      <c r="J20">
        <f t="shared" si="2"/>
        <v>1.46387248</v>
      </c>
      <c r="K20">
        <f t="shared" si="2"/>
        <v>1.4618903599999999</v>
      </c>
      <c r="L20">
        <f t="shared" si="2"/>
        <v>1.4400225600000001</v>
      </c>
      <c r="M20">
        <f t="shared" si="2"/>
        <v>1.4558663599999999</v>
      </c>
      <c r="N20">
        <f t="shared" ref="N20:O20" si="10">N10</f>
        <v>1.4820283400000001</v>
      </c>
      <c r="O20">
        <f t="shared" si="10"/>
        <v>1.5243843799999999</v>
      </c>
      <c r="P20">
        <f>'Adding DGPV to Demand'!K83</f>
        <v>1.5142627799999999</v>
      </c>
      <c r="Q20">
        <f>'Adding DGPV to Demand'!L83</f>
        <v>1.5725668500000001</v>
      </c>
      <c r="R20">
        <f>'Adding DGPV to Demand'!M83</f>
        <v>1.5720184699999999</v>
      </c>
      <c r="S20">
        <f>'Adding DGPV to Demand'!N83</f>
        <v>1.6066741800000002</v>
      </c>
      <c r="T20">
        <f>'Adding DGPV to Demand'!O83</f>
        <v>1.66062113</v>
      </c>
      <c r="U20">
        <f>'Adding DGPV to Demand'!P83</f>
        <v>1.7048852299999999</v>
      </c>
      <c r="V20">
        <f>'Adding DGPV to Demand'!Q83</f>
        <v>1.7533220199999999</v>
      </c>
      <c r="W20">
        <f>'Adding DGPV to Demand'!R83</f>
        <v>1.8031427200000001</v>
      </c>
      <c r="X20">
        <f>'Adding DGPV to Demand'!S83</f>
        <v>1.8527817799999999</v>
      </c>
      <c r="Y20">
        <f>'Adding DGPV to Demand'!T83</f>
        <v>1.91141428</v>
      </c>
      <c r="Z20">
        <f>'Adding DGPV to Demand'!U83</f>
        <v>1.97455702</v>
      </c>
      <c r="AA20">
        <f>'Adding DGPV to Demand'!V83</f>
        <v>2.0425214499999997</v>
      </c>
      <c r="AB20">
        <f>'Adding DGPV to Demand'!W83</f>
        <v>2.1408297800000002</v>
      </c>
      <c r="AC20">
        <f>'Adding DGPV to Demand'!X83</f>
        <v>2.2056961099999999</v>
      </c>
      <c r="AD20">
        <f>'Adding DGPV to Demand'!Y83</f>
        <v>2.2664231799999999</v>
      </c>
      <c r="AE20">
        <f>'Adding DGPV to Demand'!Z83</f>
        <v>2.3118775999999999</v>
      </c>
      <c r="AF20">
        <f>'Adding DGPV to Demand'!AA83</f>
        <v>2.35812935</v>
      </c>
      <c r="AG20">
        <f>'Adding DGPV to Demand'!AB83</f>
        <v>2.4154437299999998</v>
      </c>
      <c r="AH20">
        <f>'Adding DGPV to Demand'!AC83</f>
        <v>2.4691902199999998</v>
      </c>
      <c r="AI20">
        <f>'Adding DGPV to Demand'!AD83</f>
        <v>2.5230057700000001</v>
      </c>
      <c r="AJ20">
        <f>'Adding DGPV to Demand'!AE83</f>
        <v>2.5742690699999997</v>
      </c>
      <c r="AK20">
        <f>'Adding DGPV to Demand'!AF83</f>
        <v>2.6221444699999998</v>
      </c>
      <c r="AL20">
        <f>'Adding DGPV to Demand'!AG83</f>
        <v>2.6720913199999998</v>
      </c>
      <c r="AM20">
        <f>'Adding DGPV to Demand'!AH83</f>
        <v>2.7208708399999999</v>
      </c>
      <c r="AN20">
        <f>'Adding DGPV to Demand'!AI83</f>
        <v>2.7707702299999997</v>
      </c>
      <c r="AO20">
        <f>'Adding DGPV to Demand'!AJ83</f>
        <v>2.8185347500000004</v>
      </c>
      <c r="AP20">
        <f>'Adding DGPV to Demand'!AK83</f>
        <v>2.8684122699999999</v>
      </c>
      <c r="AQ20">
        <f>'Adding DGPV to Demand'!AL83</f>
        <v>2.9213170800000001</v>
      </c>
    </row>
    <row r="21" spans="1:43" s="3" customFormat="1" x14ac:dyDescent="0.25">
      <c r="A21" s="3" t="s">
        <v>12</v>
      </c>
      <c r="B21" s="3" t="s">
        <v>10</v>
      </c>
      <c r="C21" s="3">
        <f t="shared" si="2"/>
        <v>12.81</v>
      </c>
      <c r="D21" s="3">
        <f t="shared" si="2"/>
        <v>12.79069</v>
      </c>
      <c r="E21" s="3">
        <f t="shared" si="2"/>
        <v>12.607393</v>
      </c>
      <c r="F21" s="3">
        <f t="shared" si="2"/>
        <v>12.615577870000001</v>
      </c>
      <c r="G21" s="3">
        <f t="shared" si="2"/>
        <v>12.87013969</v>
      </c>
      <c r="H21" s="3">
        <f t="shared" si="2"/>
        <v>12.771888199999999</v>
      </c>
      <c r="I21" s="3">
        <f t="shared" si="2"/>
        <v>12.749853420000001</v>
      </c>
      <c r="J21" s="3">
        <f t="shared" si="2"/>
        <v>12.675742169999999</v>
      </c>
      <c r="K21" s="3">
        <f t="shared" si="2"/>
        <v>13.076565990000001</v>
      </c>
      <c r="L21" s="3">
        <f t="shared" si="2"/>
        <v>12.987438769999999</v>
      </c>
      <c r="M21" s="3">
        <f t="shared" si="2"/>
        <v>12.67422476</v>
      </c>
      <c r="N21" s="3">
        <f t="shared" ref="N21:O21" si="11">N11</f>
        <v>13.193903290000002</v>
      </c>
      <c r="O21" s="3">
        <f t="shared" si="11"/>
        <v>13.51446514</v>
      </c>
      <c r="P21" s="3">
        <f>'Adding DGPV to Demand'!K84</f>
        <v>13.36767689</v>
      </c>
      <c r="Q21" s="3">
        <f>'Adding DGPV to Demand'!L84</f>
        <v>13.785723070000001</v>
      </c>
      <c r="R21" s="3">
        <f>'Adding DGPV to Demand'!M84</f>
        <v>13.96050573</v>
      </c>
      <c r="S21" s="3">
        <f>'Adding DGPV to Demand'!N84</f>
        <v>14.16901418</v>
      </c>
      <c r="T21" s="3">
        <f>'Adding DGPV to Demand'!O84</f>
        <v>14.433725860000001</v>
      </c>
      <c r="U21" s="3">
        <f>'Adding DGPV to Demand'!P84</f>
        <v>14.642040189999999</v>
      </c>
      <c r="V21" s="3">
        <f>'Adding DGPV to Demand'!Q84</f>
        <v>14.915694910000001</v>
      </c>
      <c r="W21" s="3">
        <f>'Adding DGPV to Demand'!R84</f>
        <v>15.189943260000002</v>
      </c>
      <c r="X21" s="3">
        <f>'Adding DGPV to Demand'!S84</f>
        <v>15.478582919999999</v>
      </c>
      <c r="Y21" s="3">
        <f>'Adding DGPV to Demand'!T84</f>
        <v>15.822727609999999</v>
      </c>
      <c r="Z21" s="3">
        <f>'Adding DGPV to Demand'!U84</f>
        <v>16.179460949999999</v>
      </c>
      <c r="AA21" s="3">
        <f>'Adding DGPV to Demand'!V84</f>
        <v>16.578202650000001</v>
      </c>
      <c r="AB21" s="3">
        <f>'Adding DGPV to Demand'!W84</f>
        <v>17.048571340000002</v>
      </c>
      <c r="AC21" s="3">
        <f>'Adding DGPV to Demand'!X84</f>
        <v>17.468180239999999</v>
      </c>
      <c r="AD21" s="3">
        <f>'Adding DGPV to Demand'!Y84</f>
        <v>17.88273358</v>
      </c>
      <c r="AE21" s="3">
        <f>'Adding DGPV to Demand'!Z84</f>
        <v>18.2638347</v>
      </c>
      <c r="AF21" s="3">
        <f>'Adding DGPV to Demand'!AA84</f>
        <v>18.64501868</v>
      </c>
      <c r="AG21" s="3">
        <f>'Adding DGPV to Demand'!AB84</f>
        <v>19.004457459999998</v>
      </c>
      <c r="AH21" s="3">
        <f>'Adding DGPV to Demand'!AC84</f>
        <v>19.338143940000002</v>
      </c>
      <c r="AI21" s="3">
        <f>'Adding DGPV to Demand'!AD84</f>
        <v>19.685007809999998</v>
      </c>
      <c r="AJ21" s="3">
        <f>'Adding DGPV to Demand'!AE84</f>
        <v>20.020523019999999</v>
      </c>
      <c r="AK21" s="3">
        <f>'Adding DGPV to Demand'!AF84</f>
        <v>20.3392366</v>
      </c>
      <c r="AL21" s="3">
        <f>'Adding DGPV to Demand'!AG84</f>
        <v>20.658568580000001</v>
      </c>
      <c r="AM21" s="3">
        <f>'Adding DGPV to Demand'!AH84</f>
        <v>20.977665179999999</v>
      </c>
      <c r="AN21" s="3">
        <f>'Adding DGPV to Demand'!AI84</f>
        <v>21.313105839999999</v>
      </c>
      <c r="AO21" s="3">
        <f>'Adding DGPV to Demand'!AJ84</f>
        <v>21.650785599999999</v>
      </c>
      <c r="AP21" s="3">
        <f>'Adding DGPV to Demand'!AK84</f>
        <v>22.005645619999999</v>
      </c>
      <c r="AQ21" s="3">
        <f>'Adding DGPV to Demand'!AL84</f>
        <v>22.38393851</v>
      </c>
    </row>
    <row r="22" spans="1:43" x14ac:dyDescent="0.25">
      <c r="A22" t="s">
        <v>13</v>
      </c>
      <c r="B22" t="s">
        <v>1</v>
      </c>
      <c r="C22">
        <f t="shared" si="2"/>
        <v>0.42</v>
      </c>
      <c r="D22">
        <f t="shared" si="2"/>
        <v>0.41174100000000002</v>
      </c>
      <c r="E22">
        <f t="shared" si="2"/>
        <v>0.41017399999999998</v>
      </c>
      <c r="F22">
        <f t="shared" si="2"/>
        <v>0.41102066999999998</v>
      </c>
      <c r="G22">
        <f t="shared" si="2"/>
        <v>0.44005517</v>
      </c>
      <c r="H22">
        <f t="shared" si="2"/>
        <v>0.41126467999999999</v>
      </c>
      <c r="I22">
        <f t="shared" si="2"/>
        <v>0.40693478999999999</v>
      </c>
      <c r="J22">
        <f t="shared" si="2"/>
        <v>0.43105186000000001</v>
      </c>
      <c r="K22">
        <f t="shared" si="2"/>
        <v>0.42616219999999999</v>
      </c>
      <c r="L22">
        <f t="shared" si="2"/>
        <v>0.40360152999999999</v>
      </c>
      <c r="M22">
        <f t="shared" si="2"/>
        <v>0.40095227999999999</v>
      </c>
      <c r="N22">
        <f t="shared" ref="N22:O22" si="12">N12</f>
        <v>0.40835083999999999</v>
      </c>
      <c r="O22">
        <f t="shared" si="12"/>
        <v>0.41452341000000004</v>
      </c>
      <c r="P22">
        <f>'Adding DGPV to Demand'!K117</f>
        <v>0.40633553</v>
      </c>
      <c r="Q22">
        <f>'Adding DGPV to Demand'!L117</f>
        <v>0.41744131000000001</v>
      </c>
      <c r="R22">
        <f>'Adding DGPV to Demand'!M117</f>
        <v>0.41585988000000002</v>
      </c>
      <c r="S22">
        <f>'Adding DGPV to Demand'!N117</f>
        <v>0.41815916000000003</v>
      </c>
      <c r="T22">
        <f>'Adding DGPV to Demand'!O117</f>
        <v>0.42567005000000002</v>
      </c>
      <c r="U22">
        <f>'Adding DGPV to Demand'!P117</f>
        <v>0.43251058999999997</v>
      </c>
      <c r="V22">
        <f>'Adding DGPV to Demand'!Q117</f>
        <v>0.44054353999999996</v>
      </c>
      <c r="W22">
        <f>'Adding DGPV to Demand'!R117</f>
        <v>0.44783300999999998</v>
      </c>
      <c r="X22">
        <f>'Adding DGPV to Demand'!S117</f>
        <v>0.45559248999999996</v>
      </c>
      <c r="Y22">
        <f>'Adding DGPV to Demand'!T117</f>
        <v>0.46408698000000004</v>
      </c>
      <c r="Z22">
        <f>'Adding DGPV to Demand'!U117</f>
        <v>0.47274619000000001</v>
      </c>
      <c r="AA22">
        <f>'Adding DGPV to Demand'!V117</f>
        <v>0.48216947999999998</v>
      </c>
      <c r="AB22">
        <f>'Adding DGPV to Demand'!W117</f>
        <v>0.49136340000000001</v>
      </c>
      <c r="AC22">
        <f>'Adding DGPV to Demand'!X117</f>
        <v>0.50125589000000004</v>
      </c>
      <c r="AD22">
        <f>'Adding DGPV to Demand'!Y117</f>
        <v>0.51061931000000005</v>
      </c>
      <c r="AE22">
        <f>'Adding DGPV to Demand'!Z117</f>
        <v>0.52013122000000001</v>
      </c>
      <c r="AF22">
        <f>'Adding DGPV to Demand'!AA117</f>
        <v>0.53003705999999995</v>
      </c>
      <c r="AG22">
        <f>'Adding DGPV to Demand'!AB117</f>
        <v>0.53929585000000002</v>
      </c>
      <c r="AH22">
        <f>'Adding DGPV to Demand'!AC117</f>
        <v>0.54768068999999997</v>
      </c>
      <c r="AI22">
        <f>'Adding DGPV to Demand'!AD117</f>
        <v>0.55556946000000007</v>
      </c>
      <c r="AJ22">
        <f>'Adding DGPV to Demand'!AE117</f>
        <v>0.56286002000000002</v>
      </c>
      <c r="AK22">
        <f>'Adding DGPV to Demand'!AF117</f>
        <v>0.56954534000000001</v>
      </c>
      <c r="AL22">
        <f>'Adding DGPV to Demand'!AG117</f>
        <v>0.57587328999999998</v>
      </c>
      <c r="AM22">
        <f>'Adding DGPV to Demand'!AH117</f>
        <v>0.58201741000000007</v>
      </c>
      <c r="AN22">
        <f>'Adding DGPV to Demand'!AI117</f>
        <v>0.58853146999999995</v>
      </c>
      <c r="AO22">
        <f>'Adding DGPV to Demand'!AJ117</f>
        <v>0.59487110999999993</v>
      </c>
      <c r="AP22">
        <f>'Adding DGPV to Demand'!AK117</f>
        <v>0.60108239999999991</v>
      </c>
      <c r="AQ22">
        <f>'Adding DGPV to Demand'!AL117</f>
        <v>0.60754668000000001</v>
      </c>
    </row>
    <row r="23" spans="1:43" x14ac:dyDescent="0.25">
      <c r="A23" t="s">
        <v>13</v>
      </c>
      <c r="B23" t="s">
        <v>2</v>
      </c>
      <c r="C23">
        <f t="shared" si="2"/>
        <v>1.27</v>
      </c>
      <c r="D23">
        <f t="shared" si="2"/>
        <v>1.2591760000000001</v>
      </c>
      <c r="E23">
        <f t="shared" si="2"/>
        <v>1.2379629999999999</v>
      </c>
      <c r="F23">
        <f t="shared" si="2"/>
        <v>1.2380461</v>
      </c>
      <c r="G23">
        <f t="shared" si="2"/>
        <v>1.2675293700000001</v>
      </c>
      <c r="H23">
        <f t="shared" si="2"/>
        <v>1.2668578099999999</v>
      </c>
      <c r="I23">
        <f t="shared" si="2"/>
        <v>1.2596388200000002</v>
      </c>
      <c r="J23">
        <f t="shared" si="2"/>
        <v>1.23697872</v>
      </c>
      <c r="K23">
        <f t="shared" si="2"/>
        <v>1.27601802</v>
      </c>
      <c r="L23">
        <f t="shared" si="2"/>
        <v>1.25933209</v>
      </c>
      <c r="M23">
        <f t="shared" si="2"/>
        <v>1.20475479</v>
      </c>
      <c r="N23">
        <f t="shared" ref="N23:O23" si="13">N13</f>
        <v>1.24826265</v>
      </c>
      <c r="O23">
        <f t="shared" si="13"/>
        <v>1.27555993</v>
      </c>
      <c r="P23">
        <f>'Adding DGPV to Demand'!K118</f>
        <v>1.2479091599999999</v>
      </c>
      <c r="Q23">
        <f>'Adding DGPV to Demand'!L118</f>
        <v>1.2635879400000001</v>
      </c>
      <c r="R23">
        <f>'Adding DGPV to Demand'!M118</f>
        <v>1.2745002300000001</v>
      </c>
      <c r="S23">
        <f>'Adding DGPV to Demand'!N118</f>
        <v>1.2819882899999999</v>
      </c>
      <c r="T23">
        <f>'Adding DGPV to Demand'!O118</f>
        <v>1.2961790599999998</v>
      </c>
      <c r="U23">
        <f>'Adding DGPV to Demand'!P118</f>
        <v>1.3103726899999999</v>
      </c>
      <c r="V23">
        <f>'Adding DGPV to Demand'!Q118</f>
        <v>1.3287934300000002</v>
      </c>
      <c r="W23">
        <f>'Adding DGPV to Demand'!R118</f>
        <v>1.34648839</v>
      </c>
      <c r="X23">
        <f>'Adding DGPV to Demand'!S118</f>
        <v>1.3661591400000002</v>
      </c>
      <c r="Y23">
        <f>'Adding DGPV to Demand'!T118</f>
        <v>1.39037985</v>
      </c>
      <c r="Z23">
        <f>'Adding DGPV to Demand'!U118</f>
        <v>1.4142260800000002</v>
      </c>
      <c r="AA23">
        <f>'Adding DGPV to Demand'!V118</f>
        <v>1.4407909000000001</v>
      </c>
      <c r="AB23">
        <f>'Adding DGPV to Demand'!W118</f>
        <v>1.4694753199999999</v>
      </c>
      <c r="AC23">
        <f>'Adding DGPV to Demand'!X118</f>
        <v>1.4991405100000001</v>
      </c>
      <c r="AD23">
        <f>'Adding DGPV to Demand'!Y118</f>
        <v>1.5272806999999999</v>
      </c>
      <c r="AE23">
        <f>'Adding DGPV to Demand'!Z118</f>
        <v>1.5550633699999998</v>
      </c>
      <c r="AF23">
        <f>'Adding DGPV to Demand'!AA118</f>
        <v>1.5841635300000001</v>
      </c>
      <c r="AG23">
        <f>'Adding DGPV to Demand'!AB118</f>
        <v>1.6107295399999999</v>
      </c>
      <c r="AH23">
        <f>'Adding DGPV to Demand'!AC118</f>
        <v>1.63437666</v>
      </c>
      <c r="AI23">
        <f>'Adding DGPV to Demand'!AD118</f>
        <v>1.6564703599999999</v>
      </c>
      <c r="AJ23">
        <f>'Adding DGPV to Demand'!AE118</f>
        <v>1.67692364</v>
      </c>
      <c r="AK23">
        <f>'Adding DGPV to Demand'!AF118</f>
        <v>1.6950504</v>
      </c>
      <c r="AL23">
        <f>'Adding DGPV to Demand'!AG118</f>
        <v>1.7131077700000001</v>
      </c>
      <c r="AM23">
        <f>'Adding DGPV to Demand'!AH118</f>
        <v>1.7314811299999999</v>
      </c>
      <c r="AN23">
        <f>'Adding DGPV to Demand'!AI118</f>
        <v>1.7514444</v>
      </c>
      <c r="AO23">
        <f>'Adding DGPV to Demand'!AJ118</f>
        <v>1.77149562</v>
      </c>
      <c r="AP23">
        <f>'Adding DGPV to Demand'!AK118</f>
        <v>1.7916513599999999</v>
      </c>
      <c r="AQ23">
        <f>'Adding DGPV to Demand'!AL118</f>
        <v>1.81288637</v>
      </c>
    </row>
    <row r="24" spans="1:43" x14ac:dyDescent="0.25">
      <c r="A24" t="s">
        <v>13</v>
      </c>
      <c r="B24" t="s">
        <v>3</v>
      </c>
      <c r="C24">
        <f t="shared" si="2"/>
        <v>1.97</v>
      </c>
      <c r="D24">
        <f t="shared" si="2"/>
        <v>1.9698020000000001</v>
      </c>
      <c r="E24">
        <f t="shared" si="2"/>
        <v>1.961978</v>
      </c>
      <c r="F24">
        <f t="shared" si="2"/>
        <v>1.9298373600000001</v>
      </c>
      <c r="G24">
        <f t="shared" si="2"/>
        <v>1.94555587</v>
      </c>
      <c r="H24">
        <f t="shared" si="2"/>
        <v>1.9026462700000002</v>
      </c>
      <c r="I24">
        <f t="shared" si="2"/>
        <v>1.9039975900000001</v>
      </c>
      <c r="J24">
        <f t="shared" si="2"/>
        <v>1.8747083200000001</v>
      </c>
      <c r="K24">
        <f t="shared" si="2"/>
        <v>1.93915036</v>
      </c>
      <c r="L24">
        <f t="shared" si="2"/>
        <v>1.88470454</v>
      </c>
      <c r="M24">
        <f t="shared" si="2"/>
        <v>1.84570163</v>
      </c>
      <c r="N24">
        <f t="shared" ref="N24:O24" si="14">N14</f>
        <v>1.8997105200000002</v>
      </c>
      <c r="O24">
        <f t="shared" si="14"/>
        <v>1.8961219200000001</v>
      </c>
      <c r="P24">
        <f>'Adding DGPV to Demand'!K119</f>
        <v>1.8684144500000002</v>
      </c>
      <c r="Q24">
        <f>'Adding DGPV to Demand'!L119</f>
        <v>1.9032911699999999</v>
      </c>
      <c r="R24">
        <f>'Adding DGPV to Demand'!M119</f>
        <v>1.9237582499999999</v>
      </c>
      <c r="S24">
        <f>'Adding DGPV to Demand'!N119</f>
        <v>1.9338405299999999</v>
      </c>
      <c r="T24">
        <f>'Adding DGPV to Demand'!O119</f>
        <v>1.9483408</v>
      </c>
      <c r="U24">
        <f>'Adding DGPV to Demand'!P119</f>
        <v>1.9613177099999999</v>
      </c>
      <c r="V24">
        <f>'Adding DGPV to Demand'!Q119</f>
        <v>1.9795584099999999</v>
      </c>
      <c r="W24">
        <f>'Adding DGPV to Demand'!R119</f>
        <v>1.9994732399999999</v>
      </c>
      <c r="X24">
        <f>'Adding DGPV to Demand'!S119</f>
        <v>2.01975813</v>
      </c>
      <c r="Y24">
        <f>'Adding DGPV to Demand'!T119</f>
        <v>2.0497539100000002</v>
      </c>
      <c r="Z24">
        <f>'Adding DGPV to Demand'!U119</f>
        <v>2.0819638499999997</v>
      </c>
      <c r="AA24">
        <f>'Adding DGPV to Demand'!V119</f>
        <v>2.1211043900000002</v>
      </c>
      <c r="AB24">
        <f>'Adding DGPV to Demand'!W119</f>
        <v>2.1616417799999996</v>
      </c>
      <c r="AC24">
        <f>'Adding DGPV to Demand'!X119</f>
        <v>2.2026545300000002</v>
      </c>
      <c r="AD24">
        <f>'Adding DGPV to Demand'!Y119</f>
        <v>2.2357598399999996</v>
      </c>
      <c r="AE24">
        <f>'Adding DGPV to Demand'!Z119</f>
        <v>2.27354732</v>
      </c>
      <c r="AF24">
        <f>'Adding DGPV to Demand'!AA119</f>
        <v>2.3110106700000004</v>
      </c>
      <c r="AG24">
        <f>'Adding DGPV to Demand'!AB119</f>
        <v>2.34693759</v>
      </c>
      <c r="AH24">
        <f>'Adding DGPV to Demand'!AC119</f>
        <v>2.3785880000000001</v>
      </c>
      <c r="AI24">
        <f>'Adding DGPV to Demand'!AD119</f>
        <v>2.4091241600000002</v>
      </c>
      <c r="AJ24">
        <f>'Adding DGPV to Demand'!AE119</f>
        <v>2.4373296600000001</v>
      </c>
      <c r="AK24">
        <f>'Adding DGPV to Demand'!AF119</f>
        <v>2.4638535899999998</v>
      </c>
      <c r="AL24">
        <f>'Adding DGPV to Demand'!AG119</f>
        <v>2.4887395900000002</v>
      </c>
      <c r="AM24">
        <f>'Adding DGPV to Demand'!AH119</f>
        <v>2.5146793000000001</v>
      </c>
      <c r="AN24">
        <f>'Adding DGPV to Demand'!AI119</f>
        <v>2.5395579100000001</v>
      </c>
      <c r="AO24">
        <f>'Adding DGPV to Demand'!AJ119</f>
        <v>2.5622113999999998</v>
      </c>
      <c r="AP24">
        <f>'Adding DGPV to Demand'!AK119</f>
        <v>2.5855984400000001</v>
      </c>
      <c r="AQ24">
        <f>'Adding DGPV to Demand'!AL119</f>
        <v>2.61102927</v>
      </c>
    </row>
    <row r="25" spans="1:43" x14ac:dyDescent="0.25">
      <c r="A25" t="s">
        <v>13</v>
      </c>
      <c r="B25" t="s">
        <v>4</v>
      </c>
      <c r="C25">
        <f t="shared" si="2"/>
        <v>1.0029999999999999</v>
      </c>
      <c r="D25">
        <f t="shared" si="2"/>
        <v>1.004251</v>
      </c>
      <c r="E25">
        <f t="shared" si="2"/>
        <v>1.002292</v>
      </c>
      <c r="F25">
        <f t="shared" si="2"/>
        <v>1.00240408</v>
      </c>
      <c r="G25">
        <f t="shared" si="2"/>
        <v>1.03447661</v>
      </c>
      <c r="H25">
        <f t="shared" si="2"/>
        <v>1.0144615699999999</v>
      </c>
      <c r="I25">
        <f t="shared" si="2"/>
        <v>1.0097498599999999</v>
      </c>
      <c r="J25">
        <f t="shared" si="2"/>
        <v>1.00463269</v>
      </c>
      <c r="K25">
        <f t="shared" si="2"/>
        <v>1.0409431499999999</v>
      </c>
      <c r="L25">
        <f t="shared" si="2"/>
        <v>1.0311001499999999</v>
      </c>
      <c r="M25">
        <f t="shared" si="2"/>
        <v>1.0034551300000001</v>
      </c>
      <c r="N25">
        <f t="shared" ref="N25:O25" si="15">N15</f>
        <v>1.05047095</v>
      </c>
      <c r="O25">
        <f t="shared" si="15"/>
        <v>1.0727100199999999</v>
      </c>
      <c r="P25">
        <f>'Adding DGPV to Demand'!K120</f>
        <v>1.0542266199999999</v>
      </c>
      <c r="Q25">
        <f>'Adding DGPV to Demand'!L120</f>
        <v>1.10698227</v>
      </c>
      <c r="R25">
        <f>'Adding DGPV to Demand'!M120</f>
        <v>1.11526817</v>
      </c>
      <c r="S25">
        <f>'Adding DGPV to Demand'!N120</f>
        <v>1.1008166100000001</v>
      </c>
      <c r="T25">
        <f>'Adding DGPV to Demand'!O120</f>
        <v>1.1043045599999999</v>
      </c>
      <c r="U25">
        <f>'Adding DGPV to Demand'!P120</f>
        <v>1.10796304</v>
      </c>
      <c r="V25">
        <f>'Adding DGPV to Demand'!Q120</f>
        <v>1.1181261199999999</v>
      </c>
      <c r="W25">
        <f>'Adding DGPV to Demand'!R120</f>
        <v>1.1298235300000001</v>
      </c>
      <c r="X25">
        <f>'Adding DGPV to Demand'!S120</f>
        <v>1.1433556</v>
      </c>
      <c r="Y25">
        <f>'Adding DGPV to Demand'!T120</f>
        <v>1.1618594899999999</v>
      </c>
      <c r="Z25">
        <f>'Adding DGPV to Demand'!U120</f>
        <v>1.1823225900000001</v>
      </c>
      <c r="AA25">
        <f>'Adding DGPV to Demand'!V120</f>
        <v>1.2060499199999999</v>
      </c>
      <c r="AB25">
        <f>'Adding DGPV to Demand'!W120</f>
        <v>1.23112372</v>
      </c>
      <c r="AC25">
        <f>'Adding DGPV to Demand'!X120</f>
        <v>1.2557348499999998</v>
      </c>
      <c r="AD25">
        <f>'Adding DGPV to Demand'!Y120</f>
        <v>1.2772937</v>
      </c>
      <c r="AE25">
        <f>'Adding DGPV to Demand'!Z120</f>
        <v>1.3004772</v>
      </c>
      <c r="AF25">
        <f>'Adding DGPV to Demand'!AA120</f>
        <v>1.3221166799999999</v>
      </c>
      <c r="AG25">
        <f>'Adding DGPV to Demand'!AB120</f>
        <v>1.3429125</v>
      </c>
      <c r="AH25">
        <f>'Adding DGPV to Demand'!AC120</f>
        <v>1.3624395600000001</v>
      </c>
      <c r="AI25">
        <f>'Adding DGPV to Demand'!AD120</f>
        <v>1.3823343299999999</v>
      </c>
      <c r="AJ25">
        <f>'Adding DGPV to Demand'!AE120</f>
        <v>1.4015144399999999</v>
      </c>
      <c r="AK25">
        <f>'Adding DGPV to Demand'!AF120</f>
        <v>1.4197132800000001</v>
      </c>
      <c r="AL25">
        <f>'Adding DGPV to Demand'!AG120</f>
        <v>1.4355271100000002</v>
      </c>
      <c r="AM25">
        <f>'Adding DGPV to Demand'!AH120</f>
        <v>1.4519886900000001</v>
      </c>
      <c r="AN25">
        <f>'Adding DGPV to Demand'!AI120</f>
        <v>1.46903783</v>
      </c>
      <c r="AO25">
        <f>'Adding DGPV to Demand'!AJ120</f>
        <v>1.4861068800000001</v>
      </c>
      <c r="AP25">
        <f>'Adding DGPV to Demand'!AK120</f>
        <v>1.50393639</v>
      </c>
      <c r="AQ25">
        <f>'Adding DGPV to Demand'!AL120</f>
        <v>1.5228545500000001</v>
      </c>
    </row>
    <row r="26" spans="1:43" x14ac:dyDescent="0.25">
      <c r="A26" t="s">
        <v>13</v>
      </c>
      <c r="B26" t="s">
        <v>5</v>
      </c>
      <c r="C26">
        <f t="shared" si="2"/>
        <v>2.8149999999999999</v>
      </c>
      <c r="D26">
        <f t="shared" si="2"/>
        <v>2.7323879999999998</v>
      </c>
      <c r="E26">
        <f t="shared" si="2"/>
        <v>2.6630720000000001</v>
      </c>
      <c r="F26">
        <f t="shared" si="2"/>
        <v>2.67589656</v>
      </c>
      <c r="G26">
        <f t="shared" si="2"/>
        <v>2.7230304000000003</v>
      </c>
      <c r="H26">
        <f t="shared" si="2"/>
        <v>2.7192014100000002</v>
      </c>
      <c r="I26">
        <f t="shared" si="2"/>
        <v>2.73043747</v>
      </c>
      <c r="J26">
        <f t="shared" si="2"/>
        <v>2.6800960700000003</v>
      </c>
      <c r="K26">
        <f t="shared" si="2"/>
        <v>2.7837750900000002</v>
      </c>
      <c r="L26">
        <f t="shared" si="2"/>
        <v>2.78859089</v>
      </c>
      <c r="M26">
        <f t="shared" si="2"/>
        <v>2.7067162100000002</v>
      </c>
      <c r="N26">
        <f t="shared" ref="N26:O26" si="16">N16</f>
        <v>2.8261017499999999</v>
      </c>
      <c r="O26">
        <f t="shared" si="16"/>
        <v>2.9142712800000004</v>
      </c>
      <c r="P26">
        <f>'Adding DGPV to Demand'!K121</f>
        <v>2.8918219000000001</v>
      </c>
      <c r="Q26">
        <f>'Adding DGPV to Demand'!L121</f>
        <v>2.9805893499999998</v>
      </c>
      <c r="R26">
        <f>'Adding DGPV to Demand'!M121</f>
        <v>2.9900518599999999</v>
      </c>
      <c r="S26">
        <f>'Adding DGPV to Demand'!N121</f>
        <v>3.0006379700000001</v>
      </c>
      <c r="T26">
        <f>'Adding DGPV to Demand'!O121</f>
        <v>3.0313283200000001</v>
      </c>
      <c r="U26">
        <f>'Adding DGPV to Demand'!P121</f>
        <v>3.06048264</v>
      </c>
      <c r="V26">
        <f>'Adding DGPV to Demand'!Q121</f>
        <v>3.1029264300000001</v>
      </c>
      <c r="W26">
        <f>'Adding DGPV to Demand'!R121</f>
        <v>3.13995538</v>
      </c>
      <c r="X26">
        <f>'Adding DGPV to Demand'!S121</f>
        <v>3.17773416</v>
      </c>
      <c r="Y26">
        <f>'Adding DGPV to Demand'!T121</f>
        <v>3.2250529700000001</v>
      </c>
      <c r="Z26">
        <f>'Adding DGPV to Demand'!U121</f>
        <v>3.27419306</v>
      </c>
      <c r="AA26">
        <f>'Adding DGPV to Demand'!V121</f>
        <v>3.3237860299999999</v>
      </c>
      <c r="AB26">
        <f>'Adding DGPV to Demand'!W121</f>
        <v>3.3761865100000001</v>
      </c>
      <c r="AC26">
        <f>'Adding DGPV to Demand'!X121</f>
        <v>3.4337999100000003</v>
      </c>
      <c r="AD26">
        <f>'Adding DGPV to Demand'!Y121</f>
        <v>3.4960245400000001</v>
      </c>
      <c r="AE26">
        <f>'Adding DGPV to Demand'!Z121</f>
        <v>3.5592259400000001</v>
      </c>
      <c r="AF26">
        <f>'Adding DGPV to Demand'!AA121</f>
        <v>3.6245261600000003</v>
      </c>
      <c r="AG26">
        <f>'Adding DGPV to Demand'!AB121</f>
        <v>3.6866515</v>
      </c>
      <c r="AH26">
        <f>'Adding DGPV to Demand'!AC121</f>
        <v>3.74352624</v>
      </c>
      <c r="AI26">
        <f>'Adding DGPV to Demand'!AD121</f>
        <v>3.7965163999999998</v>
      </c>
      <c r="AJ26">
        <f>'Adding DGPV to Demand'!AE121</f>
        <v>3.8455403400000003</v>
      </c>
      <c r="AK26">
        <f>'Adding DGPV to Demand'!AF121</f>
        <v>3.89076216</v>
      </c>
      <c r="AL26">
        <f>'Adding DGPV to Demand'!AG121</f>
        <v>3.9353148399999998</v>
      </c>
      <c r="AM26">
        <f>'Adding DGPV to Demand'!AH121</f>
        <v>3.9809683499999999</v>
      </c>
      <c r="AN26">
        <f>'Adding DGPV to Demand'!AI121</f>
        <v>4.0286426899999999</v>
      </c>
      <c r="AO26">
        <f>'Adding DGPV to Demand'!AJ121</f>
        <v>4.0800011200000004</v>
      </c>
      <c r="AP26">
        <f>'Adding DGPV to Demand'!AK121</f>
        <v>4.13403996</v>
      </c>
      <c r="AQ26">
        <f>'Adding DGPV to Demand'!AL121</f>
        <v>4.1922894299999998</v>
      </c>
    </row>
    <row r="27" spans="1:43" x14ac:dyDescent="0.25">
      <c r="A27" t="s">
        <v>13</v>
      </c>
      <c r="B27" t="s">
        <v>6</v>
      </c>
      <c r="C27">
        <f t="shared" si="2"/>
        <v>1.1519999999999999</v>
      </c>
      <c r="D27">
        <f t="shared" si="2"/>
        <v>1.1212580000000001</v>
      </c>
      <c r="E27">
        <f t="shared" si="2"/>
        <v>1.091933</v>
      </c>
      <c r="F27">
        <f t="shared" si="2"/>
        <v>1.1197244799999999</v>
      </c>
      <c r="G27">
        <f t="shared" si="2"/>
        <v>1.0897525399999999</v>
      </c>
      <c r="H27">
        <f t="shared" si="2"/>
        <v>1.04856832</v>
      </c>
      <c r="I27">
        <f t="shared" si="2"/>
        <v>1.03760001</v>
      </c>
      <c r="J27">
        <f t="shared" si="2"/>
        <v>1.0056703500000002</v>
      </c>
      <c r="K27">
        <f t="shared" si="2"/>
        <v>1.0592547000000001</v>
      </c>
      <c r="L27">
        <f t="shared" si="2"/>
        <v>1.0527635500000001</v>
      </c>
      <c r="M27">
        <f t="shared" si="2"/>
        <v>1.00147524</v>
      </c>
      <c r="N27">
        <f t="shared" ref="N27:O27" si="17">N17</f>
        <v>1.0462211099999998</v>
      </c>
      <c r="O27">
        <f t="shared" si="17"/>
        <v>1.0631943100000001</v>
      </c>
      <c r="P27">
        <f>'Adding DGPV to Demand'!K122</f>
        <v>1.04969588</v>
      </c>
      <c r="Q27">
        <f>'Adding DGPV to Demand'!L122</f>
        <v>1.0628610199999999</v>
      </c>
      <c r="R27">
        <f>'Adding DGPV to Demand'!M122</f>
        <v>1.05163377</v>
      </c>
      <c r="S27">
        <f>'Adding DGPV to Demand'!N122</f>
        <v>1.06983004</v>
      </c>
      <c r="T27">
        <f>'Adding DGPV to Demand'!O122</f>
        <v>1.0801630199999999</v>
      </c>
      <c r="U27">
        <f>'Adding DGPV to Demand'!P122</f>
        <v>1.0899172700000002</v>
      </c>
      <c r="V27">
        <f>'Adding DGPV to Demand'!Q122</f>
        <v>1.0980748199999999</v>
      </c>
      <c r="W27">
        <f>'Adding DGPV to Demand'!R122</f>
        <v>1.1043210999999999</v>
      </c>
      <c r="X27">
        <f>'Adding DGPV to Demand'!S122</f>
        <v>1.1116283599999999</v>
      </c>
      <c r="Y27">
        <f>'Adding DGPV to Demand'!T122</f>
        <v>1.1225916</v>
      </c>
      <c r="Z27">
        <f>'Adding DGPV to Demand'!U122</f>
        <v>1.1343132499999999</v>
      </c>
      <c r="AA27">
        <f>'Adding DGPV to Demand'!V122</f>
        <v>1.1472750100000002</v>
      </c>
      <c r="AB27">
        <f>'Adding DGPV to Demand'!W122</f>
        <v>1.1615215400000001</v>
      </c>
      <c r="AC27">
        <f>'Adding DGPV to Demand'!X122</f>
        <v>1.1751463500000001</v>
      </c>
      <c r="AD27">
        <f>'Adding DGPV to Demand'!Y122</f>
        <v>1.1897840400000002</v>
      </c>
      <c r="AE27">
        <f>'Adding DGPV to Demand'!Z122</f>
        <v>1.2041752999999999</v>
      </c>
      <c r="AF27">
        <f>'Adding DGPV to Demand'!AA122</f>
        <v>1.2190069799999999</v>
      </c>
      <c r="AG27">
        <f>'Adding DGPV to Demand'!AB122</f>
        <v>1.23288</v>
      </c>
      <c r="AH27">
        <f>'Adding DGPV to Demand'!AC122</f>
        <v>1.2462099499999999</v>
      </c>
      <c r="AI27">
        <f>'Adding DGPV to Demand'!AD122</f>
        <v>1.2595469699999999</v>
      </c>
      <c r="AJ27">
        <f>'Adding DGPV to Demand'!AE122</f>
        <v>1.2712550800000002</v>
      </c>
      <c r="AK27">
        <f>'Adding DGPV to Demand'!AF122</f>
        <v>1.28073926</v>
      </c>
      <c r="AL27">
        <f>'Adding DGPV to Demand'!AG122</f>
        <v>1.2897180400000001</v>
      </c>
      <c r="AM27">
        <f>'Adding DGPV to Demand'!AH122</f>
        <v>1.2988546299999999</v>
      </c>
      <c r="AN27">
        <f>'Adding DGPV to Demand'!AI122</f>
        <v>1.3078536000000001</v>
      </c>
      <c r="AO27">
        <f>'Adding DGPV to Demand'!AJ122</f>
        <v>1.31808624</v>
      </c>
      <c r="AP27">
        <f>'Adding DGPV to Demand'!AK122</f>
        <v>1.32997878</v>
      </c>
      <c r="AQ27">
        <f>'Adding DGPV to Demand'!AL122</f>
        <v>1.34342502</v>
      </c>
    </row>
    <row r="28" spans="1:43" x14ac:dyDescent="0.25">
      <c r="A28" t="s">
        <v>13</v>
      </c>
      <c r="B28" t="s">
        <v>7</v>
      </c>
      <c r="C28">
        <f t="shared" si="2"/>
        <v>1.875</v>
      </c>
      <c r="D28">
        <f t="shared" si="2"/>
        <v>1.945614</v>
      </c>
      <c r="E28">
        <f t="shared" si="2"/>
        <v>1.898577</v>
      </c>
      <c r="F28">
        <f t="shared" si="2"/>
        <v>1.90921535</v>
      </c>
      <c r="G28">
        <f t="shared" si="2"/>
        <v>2.0292341999999999</v>
      </c>
      <c r="H28">
        <f t="shared" si="2"/>
        <v>2.0446246299999999</v>
      </c>
      <c r="I28">
        <f t="shared" si="2"/>
        <v>2.0291272</v>
      </c>
      <c r="J28">
        <f t="shared" si="2"/>
        <v>2.02324394</v>
      </c>
      <c r="K28">
        <f t="shared" si="2"/>
        <v>2.1222957499999997</v>
      </c>
      <c r="L28">
        <f t="shared" si="2"/>
        <v>2.1605800799999999</v>
      </c>
      <c r="M28">
        <f t="shared" si="2"/>
        <v>2.0755101300000001</v>
      </c>
      <c r="N28">
        <f t="shared" ref="N28:O28" si="18">N18</f>
        <v>2.2079303100000001</v>
      </c>
      <c r="O28">
        <f t="shared" si="18"/>
        <v>2.30493419</v>
      </c>
      <c r="P28">
        <f>'Adding DGPV to Demand'!K123</f>
        <v>2.23077806</v>
      </c>
      <c r="Q28">
        <f>'Adding DGPV to Demand'!L123</f>
        <v>2.3733465499999999</v>
      </c>
      <c r="R28">
        <f>'Adding DGPV to Demand'!M123</f>
        <v>2.4039857500000004</v>
      </c>
      <c r="S28">
        <f>'Adding DGPV to Demand'!N123</f>
        <v>2.4174521699999998</v>
      </c>
      <c r="T28">
        <f>'Adding DGPV to Demand'!O123</f>
        <v>2.4362918599999999</v>
      </c>
      <c r="U28">
        <f>'Adding DGPV to Demand'!P123</f>
        <v>2.4584582500000001</v>
      </c>
      <c r="V28">
        <f>'Adding DGPV to Demand'!Q123</f>
        <v>2.4861617799999998</v>
      </c>
      <c r="W28">
        <f>'Adding DGPV to Demand'!R123</f>
        <v>2.5104806799999997</v>
      </c>
      <c r="X28">
        <f>'Adding DGPV to Demand'!S123</f>
        <v>2.5360069199999997</v>
      </c>
      <c r="Y28">
        <f>'Adding DGPV to Demand'!T123</f>
        <v>2.5750412300000001</v>
      </c>
      <c r="Z28">
        <f>'Adding DGPV to Demand'!U123</f>
        <v>2.6169146100000003</v>
      </c>
      <c r="AA28">
        <f>'Adding DGPV to Demand'!V123</f>
        <v>2.6628018299999998</v>
      </c>
      <c r="AB28">
        <f>'Adding DGPV to Demand'!W123</f>
        <v>2.7161766999999997</v>
      </c>
      <c r="AC28">
        <f>'Adding DGPV to Demand'!X123</f>
        <v>2.77239996</v>
      </c>
      <c r="AD28">
        <f>'Adding DGPV to Demand'!Y123</f>
        <v>2.8285382600000002</v>
      </c>
      <c r="AE28">
        <f>'Adding DGPV to Demand'!Z123</f>
        <v>2.8772637400000001</v>
      </c>
      <c r="AF28">
        <f>'Adding DGPV to Demand'!AA123</f>
        <v>2.9246525499999998</v>
      </c>
      <c r="AG28">
        <f>'Adding DGPV to Demand'!AB123</f>
        <v>2.9630112299999998</v>
      </c>
      <c r="AH28">
        <f>'Adding DGPV to Demand'!AC123</f>
        <v>3.00020687</v>
      </c>
      <c r="AI28">
        <f>'Adding DGPV to Demand'!AD123</f>
        <v>3.0385576300000001</v>
      </c>
      <c r="AJ28">
        <f>'Adding DGPV to Demand'!AE123</f>
        <v>3.0760213800000002</v>
      </c>
      <c r="AK28">
        <f>'Adding DGPV to Demand'!AF123</f>
        <v>3.1103558699999998</v>
      </c>
      <c r="AL28">
        <f>'Adding DGPV to Demand'!AG123</f>
        <v>3.144984</v>
      </c>
      <c r="AM28">
        <f>'Adding DGPV to Demand'!AH123</f>
        <v>3.18090429</v>
      </c>
      <c r="AN28">
        <f>'Adding DGPV to Demand'!AI123</f>
        <v>3.2141586499999999</v>
      </c>
      <c r="AO28">
        <f>'Adding DGPV to Demand'!AJ123</f>
        <v>3.2466735100000004</v>
      </c>
      <c r="AP28">
        <f>'Adding DGPV to Demand'!AK123</f>
        <v>3.2809820799999998</v>
      </c>
      <c r="AQ28">
        <f>'Adding DGPV to Demand'!AL123</f>
        <v>3.31840739</v>
      </c>
    </row>
    <row r="29" spans="1:43" x14ac:dyDescent="0.25">
      <c r="A29" t="s">
        <v>13</v>
      </c>
      <c r="B29" t="s">
        <v>8</v>
      </c>
      <c r="C29">
        <f t="shared" si="2"/>
        <v>0.89800000000000002</v>
      </c>
      <c r="D29">
        <f t="shared" si="2"/>
        <v>0.91674900000000004</v>
      </c>
      <c r="E29">
        <f t="shared" si="2"/>
        <v>0.92603800000000003</v>
      </c>
      <c r="F29">
        <f t="shared" si="2"/>
        <v>0.92237835999999995</v>
      </c>
      <c r="G29">
        <f t="shared" si="2"/>
        <v>0.92273852999999995</v>
      </c>
      <c r="H29">
        <f t="shared" si="2"/>
        <v>0.93016287999999991</v>
      </c>
      <c r="I29">
        <f t="shared" si="2"/>
        <v>0.94158965000000006</v>
      </c>
      <c r="J29">
        <f t="shared" si="2"/>
        <v>0.95548674</v>
      </c>
      <c r="K29">
        <f t="shared" si="2"/>
        <v>0.96707736</v>
      </c>
      <c r="L29">
        <f t="shared" si="2"/>
        <v>0.96674437999999996</v>
      </c>
      <c r="M29">
        <f t="shared" si="2"/>
        <v>0.97979298999999997</v>
      </c>
      <c r="N29">
        <f t="shared" ref="N29:O29" si="19">N19</f>
        <v>1.02482882</v>
      </c>
      <c r="O29">
        <f t="shared" si="19"/>
        <v>1.0487647</v>
      </c>
      <c r="P29">
        <f>'Adding DGPV to Demand'!K124</f>
        <v>1.03047351</v>
      </c>
      <c r="Q29">
        <f>'Adding DGPV to Demand'!L124</f>
        <v>1.1041066000000002</v>
      </c>
      <c r="R29">
        <f>'Adding DGPV to Demand'!M124</f>
        <v>1.10215763</v>
      </c>
      <c r="S29">
        <f>'Adding DGPV to Demand'!N124</f>
        <v>1.1098993699999999</v>
      </c>
      <c r="T29">
        <f>'Adding DGPV to Demand'!O124</f>
        <v>1.1258467699999999</v>
      </c>
      <c r="U29">
        <f>'Adding DGPV to Demand'!P124</f>
        <v>1.1424156399999998</v>
      </c>
      <c r="V29">
        <f>'Adding DGPV to Demand'!Q124</f>
        <v>1.1665647399999999</v>
      </c>
      <c r="W29">
        <f>'Adding DGPV to Demand'!R124</f>
        <v>1.1926071200000001</v>
      </c>
      <c r="X29">
        <f>'Adding DGPV to Demand'!S124</f>
        <v>1.2216442300000001</v>
      </c>
      <c r="Y29">
        <f>'Adding DGPV to Demand'!T124</f>
        <v>1.2573079999999999</v>
      </c>
      <c r="Z29">
        <f>'Adding DGPV to Demand'!U124</f>
        <v>1.29620881</v>
      </c>
      <c r="AA29">
        <f>'Adding DGPV to Demand'!V124</f>
        <v>1.33925041</v>
      </c>
      <c r="AB29">
        <f>'Adding DGPV to Demand'!W124</f>
        <v>1.38268053</v>
      </c>
      <c r="AC29">
        <f>'Adding DGPV to Demand'!X124</f>
        <v>1.4230219800000001</v>
      </c>
      <c r="AD29">
        <f>'Adding DGPV to Demand'!Y124</f>
        <v>1.46156518</v>
      </c>
      <c r="AE29">
        <f>'Adding DGPV to Demand'!Z124</f>
        <v>1.50058037</v>
      </c>
      <c r="AF29">
        <f>'Adding DGPV to Demand'!AA124</f>
        <v>1.5390550199999999</v>
      </c>
      <c r="AG29">
        <f>'Adding DGPV to Demand'!AB124</f>
        <v>1.57699737</v>
      </c>
      <c r="AH29">
        <f>'Adding DGPV to Demand'!AC124</f>
        <v>1.6139725899999999</v>
      </c>
      <c r="AI29">
        <f>'Adding DGPV to Demand'!AD124</f>
        <v>1.6509322200000001</v>
      </c>
      <c r="AJ29">
        <f>'Adding DGPV to Demand'!AE124</f>
        <v>1.6882591900000001</v>
      </c>
      <c r="AK29">
        <f>'Adding DGPV to Demand'!AF124</f>
        <v>1.7226443</v>
      </c>
      <c r="AL29">
        <f>'Adding DGPV to Demand'!AG124</f>
        <v>1.7549317100000001</v>
      </c>
      <c r="AM29">
        <f>'Adding DGPV to Demand'!AH124</f>
        <v>1.78832901</v>
      </c>
      <c r="AN29">
        <f>'Adding DGPV to Demand'!AI124</f>
        <v>1.8206654599999998</v>
      </c>
      <c r="AO29">
        <f>'Adding DGPV to Demand'!AJ124</f>
        <v>1.8540243600000001</v>
      </c>
      <c r="AP29">
        <f>'Adding DGPV to Demand'!AK124</f>
        <v>1.8889058799999998</v>
      </c>
      <c r="AQ29">
        <f>'Adding DGPV to Demand'!AL124</f>
        <v>1.92574136</v>
      </c>
    </row>
    <row r="30" spans="1:43" x14ac:dyDescent="0.25">
      <c r="A30" t="s">
        <v>13</v>
      </c>
      <c r="B30" t="s">
        <v>9</v>
      </c>
      <c r="C30">
        <f t="shared" si="2"/>
        <v>1.403</v>
      </c>
      <c r="D30">
        <f t="shared" si="2"/>
        <v>1.429711</v>
      </c>
      <c r="E30">
        <f t="shared" si="2"/>
        <v>1.4153640000000001</v>
      </c>
      <c r="F30">
        <f t="shared" si="2"/>
        <v>1.40705791</v>
      </c>
      <c r="G30">
        <f t="shared" si="2"/>
        <v>1.4177659999999999</v>
      </c>
      <c r="H30">
        <f t="shared" si="2"/>
        <v>1.4341026299999999</v>
      </c>
      <c r="I30">
        <f t="shared" si="2"/>
        <v>1.4307790300000001</v>
      </c>
      <c r="J30">
        <f t="shared" si="2"/>
        <v>1.46387248</v>
      </c>
      <c r="K30">
        <f t="shared" si="2"/>
        <v>1.4618903599999999</v>
      </c>
      <c r="L30">
        <f t="shared" si="2"/>
        <v>1.4400225600000001</v>
      </c>
      <c r="M30">
        <f t="shared" si="2"/>
        <v>1.4558663599999999</v>
      </c>
      <c r="N30">
        <f t="shared" ref="N30:O30" si="20">N20</f>
        <v>1.4820283400000001</v>
      </c>
      <c r="O30">
        <f t="shared" si="20"/>
        <v>1.5243843799999999</v>
      </c>
      <c r="P30">
        <f>'Adding DGPV to Demand'!K125</f>
        <v>1.5039897899999999</v>
      </c>
      <c r="Q30">
        <f>'Adding DGPV to Demand'!L125</f>
        <v>1.5718749299999999</v>
      </c>
      <c r="R30">
        <f>'Adding DGPV to Demand'!M125</f>
        <v>1.55845984</v>
      </c>
      <c r="S30">
        <f>'Adding DGPV to Demand'!N125</f>
        <v>1.57805679</v>
      </c>
      <c r="T30">
        <f>'Adding DGPV to Demand'!O125</f>
        <v>1.61767741</v>
      </c>
      <c r="U30">
        <f>'Adding DGPV to Demand'!P125</f>
        <v>1.6525747</v>
      </c>
      <c r="V30">
        <f>'Adding DGPV to Demand'!Q125</f>
        <v>1.6901567900000001</v>
      </c>
      <c r="W30">
        <f>'Adding DGPV to Demand'!R125</f>
        <v>1.72930041</v>
      </c>
      <c r="X30">
        <f>'Adding DGPV to Demand'!S125</f>
        <v>1.7695203100000001</v>
      </c>
      <c r="Y30">
        <f>'Adding DGPV to Demand'!T125</f>
        <v>1.8197260700000002</v>
      </c>
      <c r="Z30">
        <f>'Adding DGPV to Demand'!U125</f>
        <v>1.8738093300000001</v>
      </c>
      <c r="AA30">
        <f>'Adding DGPV to Demand'!V125</f>
        <v>1.9309897499999999</v>
      </c>
      <c r="AB30">
        <f>'Adding DGPV to Demand'!W125</f>
        <v>1.98638943</v>
      </c>
      <c r="AC30">
        <f>'Adding DGPV to Demand'!X125</f>
        <v>2.0375271800000001</v>
      </c>
      <c r="AD30">
        <f>'Adding DGPV to Demand'!Y125</f>
        <v>2.0864717100000001</v>
      </c>
      <c r="AE30">
        <f>'Adding DGPV to Demand'!Z125</f>
        <v>2.13575092</v>
      </c>
      <c r="AF30">
        <f>'Adding DGPV to Demand'!AA125</f>
        <v>2.18375684</v>
      </c>
      <c r="AG30">
        <f>'Adding DGPV to Demand'!AB125</f>
        <v>2.2294715099999998</v>
      </c>
      <c r="AH30">
        <f>'Adding DGPV to Demand'!AC125</f>
        <v>2.2722152500000004</v>
      </c>
      <c r="AI30">
        <f>'Adding DGPV to Demand'!AD125</f>
        <v>2.3140018499999999</v>
      </c>
      <c r="AJ30">
        <f>'Adding DGPV to Demand'!AE125</f>
        <v>2.3548939999999998</v>
      </c>
      <c r="AK30">
        <f>'Adding DGPV to Demand'!AF125</f>
        <v>2.39286077</v>
      </c>
      <c r="AL30">
        <f>'Adding DGPV to Demand'!AG125</f>
        <v>2.4283166600000001</v>
      </c>
      <c r="AM30">
        <f>'Adding DGPV to Demand'!AH125</f>
        <v>2.4647066899999999</v>
      </c>
      <c r="AN30">
        <f>'Adding DGPV to Demand'!AI125</f>
        <v>2.4998669100000002</v>
      </c>
      <c r="AO30">
        <f>'Adding DGPV to Demand'!AJ125</f>
        <v>2.53442385</v>
      </c>
      <c r="AP30">
        <f>'Adding DGPV to Demand'!AK125</f>
        <v>2.5698115699999997</v>
      </c>
      <c r="AQ30">
        <f>'Adding DGPV to Demand'!AL125</f>
        <v>2.6072149599999999</v>
      </c>
    </row>
    <row r="31" spans="1:43" s="3" customFormat="1" x14ac:dyDescent="0.25">
      <c r="A31" s="3" t="s">
        <v>13</v>
      </c>
      <c r="B31" s="3" t="s">
        <v>10</v>
      </c>
      <c r="C31" s="3">
        <f t="shared" si="2"/>
        <v>12.81</v>
      </c>
      <c r="D31" s="3">
        <f t="shared" si="2"/>
        <v>12.79069</v>
      </c>
      <c r="E31" s="3">
        <f t="shared" si="2"/>
        <v>12.607393</v>
      </c>
      <c r="F31" s="3">
        <f t="shared" si="2"/>
        <v>12.615577870000001</v>
      </c>
      <c r="G31" s="3">
        <f t="shared" si="2"/>
        <v>12.87013969</v>
      </c>
      <c r="H31" s="3">
        <f t="shared" si="2"/>
        <v>12.771888199999999</v>
      </c>
      <c r="I31" s="3">
        <f t="shared" si="2"/>
        <v>12.749853420000001</v>
      </c>
      <c r="J31" s="3">
        <f t="shared" si="2"/>
        <v>12.675742169999999</v>
      </c>
      <c r="K31" s="3">
        <f t="shared" si="2"/>
        <v>13.076565990000001</v>
      </c>
      <c r="L31" s="3">
        <f t="shared" si="2"/>
        <v>12.987438769999999</v>
      </c>
      <c r="M31" s="3">
        <f t="shared" si="2"/>
        <v>12.67422476</v>
      </c>
      <c r="N31" s="3">
        <f t="shared" ref="N31:O31" si="21">N21</f>
        <v>13.193903290000002</v>
      </c>
      <c r="O31" s="3">
        <f t="shared" si="21"/>
        <v>13.51446514</v>
      </c>
      <c r="P31" s="3">
        <f>'Adding DGPV to Demand'!K126</f>
        <v>13.283644900000001</v>
      </c>
      <c r="Q31" s="3">
        <f>'Adding DGPV to Demand'!L126</f>
        <v>13.784082140000001</v>
      </c>
      <c r="R31" s="3">
        <f>'Adding DGPV to Demand'!M126</f>
        <v>13.83567438</v>
      </c>
      <c r="S31" s="3">
        <f>'Adding DGPV to Demand'!N126</f>
        <v>13.910681929999999</v>
      </c>
      <c r="T31" s="3">
        <f>'Adding DGPV to Demand'!O126</f>
        <v>14.06580185</v>
      </c>
      <c r="U31" s="3">
        <f>'Adding DGPV to Demand'!P126</f>
        <v>14.21601353</v>
      </c>
      <c r="V31" s="3">
        <f>'Adding DGPV to Demand'!Q126</f>
        <v>14.410905059999999</v>
      </c>
      <c r="W31" s="3">
        <f>'Adding DGPV to Demand'!R126</f>
        <v>14.600281860000001</v>
      </c>
      <c r="X31" s="3">
        <f>'Adding DGPV to Demand'!S126</f>
        <v>14.801398339999999</v>
      </c>
      <c r="Y31" s="3">
        <f>'Adding DGPV to Demand'!T126</f>
        <v>15.0657981</v>
      </c>
      <c r="Z31" s="3">
        <f>'Adding DGPV to Demand'!U126</f>
        <v>15.34669777</v>
      </c>
      <c r="AA31" s="3">
        <f>'Adding DGPV to Demand'!V126</f>
        <v>15.65421572</v>
      </c>
      <c r="AB31" s="3">
        <f>'Adding DGPV to Demand'!W126</f>
        <v>15.976556929999999</v>
      </c>
      <c r="AC31" s="3">
        <f>'Adding DGPV to Demand'!X126</f>
        <v>16.300683160000002</v>
      </c>
      <c r="AD31" s="3">
        <f>'Adding DGPV to Demand'!Y126</f>
        <v>16.613336280000002</v>
      </c>
      <c r="AE31" s="3">
        <f>'Adding DGPV to Demand'!Z126</f>
        <v>16.926215380000002</v>
      </c>
      <c r="AF31" s="3">
        <f>'Adding DGPV to Demand'!AA126</f>
        <v>17.238325489999998</v>
      </c>
      <c r="AG31" s="3">
        <f>'Adding DGPV to Demand'!AB126</f>
        <v>17.528887090000001</v>
      </c>
      <c r="AH31" s="3">
        <f>'Adding DGPV to Demand'!AC126</f>
        <v>17.79921581</v>
      </c>
      <c r="AI31" s="3">
        <f>'Adding DGPV to Demand'!AD126</f>
        <v>18.063052379999998</v>
      </c>
      <c r="AJ31" s="3">
        <f>'Adding DGPV to Demand'!AE126</f>
        <v>18.314598749999998</v>
      </c>
      <c r="AK31" s="3">
        <f>'Adding DGPV to Demand'!AF126</f>
        <v>18.545524970000002</v>
      </c>
      <c r="AL31" s="3">
        <f>'Adding DGPV to Demand'!AG126</f>
        <v>18.766515009999999</v>
      </c>
      <c r="AM31" s="3">
        <f>'Adding DGPV to Demand'!AH126</f>
        <v>18.993928499999999</v>
      </c>
      <c r="AN31" s="3">
        <f>'Adding DGPV to Demand'!AI126</f>
        <v>19.219755919999997</v>
      </c>
      <c r="AO31" s="3">
        <f>'Adding DGPV to Demand'!AJ126</f>
        <v>19.447894090000002</v>
      </c>
      <c r="AP31" s="3">
        <f>'Adding DGPV to Demand'!AK126</f>
        <v>19.685984859999998</v>
      </c>
      <c r="AQ31" s="3">
        <f>'Adding DGPV to Demand'!AL126</f>
        <v>19.94139603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Q31"/>
  <sheetViews>
    <sheetView tabSelected="1" zoomScaleNormal="100" workbookViewId="0">
      <pane xSplit="2" ySplit="1" topLeftCell="G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1" max="1" width="20.28515625" bestFit="1" customWidth="1"/>
    <col min="2" max="2" width="16.5703125" customWidth="1"/>
    <col min="3" max="3" width="8.85546875" customWidth="1"/>
  </cols>
  <sheetData>
    <row r="1" spans="1:43" s="1" customFormat="1" x14ac:dyDescent="0.25">
      <c r="A1" s="1" t="s">
        <v>47</v>
      </c>
      <c r="B1" s="1" t="s">
        <v>48</v>
      </c>
      <c r="C1" s="1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  <c r="AA1" s="2">
        <v>2034</v>
      </c>
      <c r="AB1" s="2">
        <v>2035</v>
      </c>
      <c r="AC1" s="2">
        <v>2036</v>
      </c>
      <c r="AD1" s="2">
        <v>2037</v>
      </c>
      <c r="AE1" s="2">
        <v>2038</v>
      </c>
      <c r="AF1" s="2">
        <v>2039</v>
      </c>
      <c r="AG1" s="2">
        <v>2040</v>
      </c>
      <c r="AH1" s="1">
        <v>2041</v>
      </c>
      <c r="AI1" s="2">
        <v>2042</v>
      </c>
      <c r="AJ1" s="1">
        <v>2043</v>
      </c>
      <c r="AK1" s="2">
        <v>2044</v>
      </c>
      <c r="AL1" s="1">
        <v>2045</v>
      </c>
      <c r="AM1" s="2">
        <v>2046</v>
      </c>
      <c r="AN1" s="1">
        <v>2047</v>
      </c>
      <c r="AO1" s="2">
        <v>2048</v>
      </c>
      <c r="AP1" s="1">
        <v>2049</v>
      </c>
      <c r="AQ1" s="2">
        <v>2050</v>
      </c>
    </row>
    <row r="2" spans="1:43" x14ac:dyDescent="0.25">
      <c r="A2" t="s">
        <v>0</v>
      </c>
      <c r="B2" t="s">
        <v>49</v>
      </c>
      <c r="C2">
        <f>'Demand by Case'!C2/'Demand by Case'!$C2</f>
        <v>1</v>
      </c>
      <c r="D2">
        <f>'Demand by Case'!D2/'Demand by Case'!$C2</f>
        <v>0.98033571428571442</v>
      </c>
      <c r="E2">
        <f>'Demand by Case'!E2/'Demand by Case'!$C2</f>
        <v>0.97660476190476186</v>
      </c>
      <c r="F2">
        <f>'Demand by Case'!F2/'Demand by Case'!$C2</f>
        <v>0.97862064285714279</v>
      </c>
      <c r="G2">
        <f>'Demand by Case'!G2/'Demand by Case'!$C2</f>
        <v>1.0477504047619048</v>
      </c>
      <c r="H2">
        <f>'Demand by Case'!H2/'Demand by Case'!$C2</f>
        <v>0.97920161904761904</v>
      </c>
      <c r="I2">
        <f>'Demand by Case'!I2/'Demand by Case'!$C2</f>
        <v>0.96889235714285715</v>
      </c>
      <c r="J2">
        <f>'Demand by Case'!J2/'Demand by Case'!$C2</f>
        <v>1.0263139523809524</v>
      </c>
      <c r="K2">
        <f>'Demand by Case'!K2/'Demand by Case'!$C2</f>
        <v>1.0146719047619048</v>
      </c>
      <c r="L2">
        <f>'Demand by Case'!L2/'Demand by Case'!$C2</f>
        <v>0.96095602380952383</v>
      </c>
      <c r="M2">
        <f>'Demand by Case'!M2/'Demand by Case'!$C2</f>
        <v>0.95464828571428573</v>
      </c>
      <c r="N2">
        <f>'Demand by Case'!N2/'Demand by Case'!$C2</f>
        <v>0.97226390476190483</v>
      </c>
      <c r="O2">
        <f>'Demand by Case'!O2/'Demand by Case'!$C2</f>
        <v>0.98696050000000013</v>
      </c>
      <c r="P2">
        <f>'Demand by Case'!P2/'Demand by Case'!$C2</f>
        <v>0.97259411904761917</v>
      </c>
      <c r="Q2">
        <f>'Demand by Case'!Q2/'Demand by Case'!$C2</f>
        <v>0.99402666666666673</v>
      </c>
      <c r="R2">
        <f>'Demand by Case'!R2/'Demand by Case'!$C2</f>
        <v>0.9963280714285716</v>
      </c>
      <c r="S2">
        <f>'Demand by Case'!S2/'Demand by Case'!$C2</f>
        <v>1.0032057142857143</v>
      </c>
      <c r="T2">
        <f>'Demand by Case'!T2/'Demand by Case'!$C2</f>
        <v>1.0246590238095239</v>
      </c>
      <c r="U2">
        <f>'Demand by Case'!U2/'Demand by Case'!$C2</f>
        <v>1.0441344523809524</v>
      </c>
      <c r="V2">
        <f>'Demand by Case'!V2/'Demand by Case'!$C2</f>
        <v>1.0662558095238097</v>
      </c>
      <c r="W2">
        <f>'Demand by Case'!W2/'Demand by Case'!$C2</f>
        <v>1.0858306428571429</v>
      </c>
      <c r="X2">
        <f>'Demand by Case'!X2/'Demand by Case'!$C2</f>
        <v>1.1061364285714286</v>
      </c>
      <c r="Y2">
        <f>'Demand by Case'!Y2/'Demand by Case'!$C2</f>
        <v>1.1280417142857142</v>
      </c>
      <c r="Z2">
        <f>'Demand by Case'!Z2/'Demand by Case'!$C2</f>
        <v>1.1500687380952384</v>
      </c>
      <c r="AA2">
        <f>'Demand by Case'!AA2/'Demand by Case'!$C2</f>
        <v>1.1728570714285715</v>
      </c>
      <c r="AB2">
        <f>'Demand by Case'!AB2/'Demand by Case'!$C2</f>
        <v>1.1973217380952383</v>
      </c>
      <c r="AC2">
        <f>'Demand by Case'!AC2/'Demand by Case'!$C2</f>
        <v>1.2240035000000002</v>
      </c>
      <c r="AD2">
        <f>'Demand by Case'!AD2/'Demand by Case'!$C2</f>
        <v>1.2503201904761905</v>
      </c>
      <c r="AE2">
        <f>'Demand by Case'!AE2/'Demand by Case'!$C2</f>
        <v>1.2767939523809524</v>
      </c>
      <c r="AF2">
        <f>'Demand by Case'!AF2/'Demand by Case'!$C2</f>
        <v>1.3031653809523809</v>
      </c>
      <c r="AG2">
        <f>'Demand by Case'!AG2/'Demand by Case'!$C2</f>
        <v>1.3284442857142857</v>
      </c>
      <c r="AH2">
        <f>'Demand by Case'!AH2/'Demand by Case'!$C2</f>
        <v>1.352396119047619</v>
      </c>
      <c r="AI2">
        <f>'Demand by Case'!AI2/'Demand by Case'!$C2</f>
        <v>1.3745250476190476</v>
      </c>
      <c r="AJ2">
        <f>'Demand by Case'!AJ2/'Demand by Case'!$C2</f>
        <v>1.3948679523809524</v>
      </c>
      <c r="AK2">
        <f>'Demand by Case'!AK2/'Demand by Case'!$C2</f>
        <v>1.4140797380952383</v>
      </c>
      <c r="AL2">
        <f>'Demand by Case'!AL2/'Demand by Case'!$C2</f>
        <v>1.4338201428571431</v>
      </c>
      <c r="AM2">
        <f>'Demand by Case'!AM2/'Demand by Case'!$C2</f>
        <v>1.4510816190476192</v>
      </c>
      <c r="AN2">
        <f>'Demand by Case'!AN2/'Demand by Case'!$C2</f>
        <v>1.4683417380952382</v>
      </c>
      <c r="AO2">
        <f>'Demand by Case'!AO2/'Demand by Case'!$C2</f>
        <v>1.4852041666666669</v>
      </c>
      <c r="AP2">
        <f>'Demand by Case'!AP2/'Demand by Case'!$C2</f>
        <v>1.5028253333333332</v>
      </c>
      <c r="AQ2">
        <f>'Demand by Case'!AQ2/'Demand by Case'!$C2</f>
        <v>1.5210660714285713</v>
      </c>
    </row>
    <row r="3" spans="1:43" x14ac:dyDescent="0.25">
      <c r="A3" t="s">
        <v>0</v>
      </c>
      <c r="B3" t="s">
        <v>50</v>
      </c>
      <c r="C3">
        <f>'Demand by Case'!C3/'Demand by Case'!$C3</f>
        <v>1</v>
      </c>
      <c r="D3">
        <f>'Demand by Case'!D3/'Demand by Case'!$C3</f>
        <v>0.99147716535433073</v>
      </c>
      <c r="E3">
        <f>'Demand by Case'!E3/'Demand by Case'!$C3</f>
        <v>0.97477401574803146</v>
      </c>
      <c r="F3">
        <f>'Demand by Case'!F3/'Demand by Case'!$C3</f>
        <v>0.97483944881889761</v>
      </c>
      <c r="G3">
        <f>'Demand by Case'!G3/'Demand by Case'!$C3</f>
        <v>0.99805462204724416</v>
      </c>
      <c r="H3">
        <f>'Demand by Case'!H3/'Demand by Case'!$C3</f>
        <v>0.99752583464566913</v>
      </c>
      <c r="I3">
        <f>'Demand by Case'!I3/'Demand by Case'!$C3</f>
        <v>0.99184159055118126</v>
      </c>
      <c r="J3">
        <f>'Demand by Case'!J3/'Demand by Case'!$C3</f>
        <v>0.97399899212598418</v>
      </c>
      <c r="K3">
        <f>'Demand by Case'!K3/'Demand by Case'!$C3</f>
        <v>1.0047385984251969</v>
      </c>
      <c r="L3">
        <f>'Demand by Case'!L3/'Demand by Case'!$C3</f>
        <v>0.99160007086614177</v>
      </c>
      <c r="M3">
        <f>'Demand by Case'!M3/'Demand by Case'!$C3</f>
        <v>0.94862581889763775</v>
      </c>
      <c r="N3">
        <f>'Demand by Case'!N3/'Demand by Case'!$C3</f>
        <v>0.98288397637795277</v>
      </c>
      <c r="O3">
        <f>'Demand by Case'!O3/'Demand by Case'!$C3</f>
        <v>1.0043778976377953</v>
      </c>
      <c r="P3">
        <f>'Demand by Case'!P3/'Demand by Case'!$C3</f>
        <v>0.99006784251968483</v>
      </c>
      <c r="Q3">
        <f>'Demand by Case'!Q3/'Demand by Case'!$C3</f>
        <v>0.99500883464566925</v>
      </c>
      <c r="R3">
        <f>'Demand by Case'!R3/'Demand by Case'!$C3</f>
        <v>1.0120354409448817</v>
      </c>
      <c r="S3">
        <f>'Demand by Case'!S3/'Demand by Case'!$C3</f>
        <v>1.0199500551181102</v>
      </c>
      <c r="T3">
        <f>'Demand by Case'!T3/'Demand by Case'!$C3</f>
        <v>1.0359607952755907</v>
      </c>
      <c r="U3">
        <f>'Demand by Case'!U3/'Demand by Case'!$C3</f>
        <v>1.0496690078740158</v>
      </c>
      <c r="V3">
        <f>'Demand by Case'!V3/'Demand by Case'!$C3</f>
        <v>1.0660919842519685</v>
      </c>
      <c r="W3">
        <f>'Demand by Case'!W3/'Demand by Case'!$C3</f>
        <v>1.0819252913385826</v>
      </c>
      <c r="X3">
        <f>'Demand by Case'!X3/'Demand by Case'!$C3</f>
        <v>1.0981028740157481</v>
      </c>
      <c r="Y3">
        <f>'Demand by Case'!Y3/'Demand by Case'!$C3</f>
        <v>1.1187650787401573</v>
      </c>
      <c r="Z3">
        <f>'Demand by Case'!Z3/'Demand by Case'!$C3</f>
        <v>1.1390745118110235</v>
      </c>
      <c r="AA3">
        <f>'Demand by Case'!AA3/'Demand by Case'!$C3</f>
        <v>1.1621949527559055</v>
      </c>
      <c r="AB3">
        <f>'Demand by Case'!AB3/'Demand by Case'!$C3</f>
        <v>1.1863611811023622</v>
      </c>
      <c r="AC3">
        <f>'Demand by Case'!AC3/'Demand by Case'!$C3</f>
        <v>1.2124746377952755</v>
      </c>
      <c r="AD3">
        <f>'Demand by Case'!AD3/'Demand by Case'!$C3</f>
        <v>1.2371171889763779</v>
      </c>
      <c r="AE3">
        <f>'Demand by Case'!AE3/'Demand by Case'!$C3</f>
        <v>1.2619817007874017</v>
      </c>
      <c r="AF3">
        <f>'Demand by Case'!AF3/'Demand by Case'!$C3</f>
        <v>1.2871984409448818</v>
      </c>
      <c r="AG3">
        <f>'Demand by Case'!AG3/'Demand by Case'!$C3</f>
        <v>1.3114050157480315</v>
      </c>
      <c r="AH3">
        <f>'Demand by Case'!AH3/'Demand by Case'!$C3</f>
        <v>1.3337732677165355</v>
      </c>
      <c r="AI3">
        <f>'Demand by Case'!AI3/'Demand by Case'!$C3</f>
        <v>1.3537228661417322</v>
      </c>
      <c r="AJ3">
        <f>'Demand by Case'!AJ3/'Demand by Case'!$C3</f>
        <v>1.3723503307086615</v>
      </c>
      <c r="AK3">
        <f>'Demand by Case'!AK3/'Demand by Case'!$C3</f>
        <v>1.3898500629921258</v>
      </c>
      <c r="AL3">
        <f>'Demand by Case'!AL3/'Demand by Case'!$C3</f>
        <v>1.407577188976378</v>
      </c>
      <c r="AM3">
        <f>'Demand by Case'!AM3/'Demand by Case'!$C3</f>
        <v>1.4247678582677166</v>
      </c>
      <c r="AN3">
        <f>'Demand by Case'!AN3/'Demand by Case'!$C3</f>
        <v>1.4427672598425199</v>
      </c>
      <c r="AO3">
        <f>'Demand by Case'!AO3/'Demand by Case'!$C3</f>
        <v>1.4609590236220471</v>
      </c>
      <c r="AP3">
        <f>'Demand by Case'!AP3/'Demand by Case'!$C3</f>
        <v>1.4790792362204723</v>
      </c>
      <c r="AQ3">
        <f>'Demand by Case'!AQ3/'Demand by Case'!$C3</f>
        <v>1.4978840708661416</v>
      </c>
    </row>
    <row r="4" spans="1:43" x14ac:dyDescent="0.25">
      <c r="A4" t="s">
        <v>0</v>
      </c>
      <c r="B4" t="s">
        <v>51</v>
      </c>
      <c r="C4">
        <f>'Demand by Case'!C4/'Demand by Case'!$C4</f>
        <v>1</v>
      </c>
      <c r="D4">
        <f>'Demand by Case'!D4/'Demand by Case'!$C4</f>
        <v>0.99989949238578679</v>
      </c>
      <c r="E4">
        <f>'Demand by Case'!E4/'Demand by Case'!$C4</f>
        <v>0.99592791878172593</v>
      </c>
      <c r="F4">
        <f>'Demand by Case'!F4/'Demand by Case'!$C4</f>
        <v>0.97961287309644673</v>
      </c>
      <c r="G4">
        <f>'Demand by Case'!G4/'Demand by Case'!$C4</f>
        <v>0.98759181218274106</v>
      </c>
      <c r="H4">
        <f>'Demand by Case'!H4/'Demand by Case'!$C4</f>
        <v>0.9658102893401016</v>
      </c>
      <c r="I4">
        <f>'Demand by Case'!I4/'Demand by Case'!$C4</f>
        <v>0.96649623857868028</v>
      </c>
      <c r="J4">
        <f>'Demand by Case'!J4/'Demand by Case'!$C4</f>
        <v>0.95162858883248735</v>
      </c>
      <c r="K4">
        <f>'Demand by Case'!K4/'Demand by Case'!$C4</f>
        <v>0.98434028426395936</v>
      </c>
      <c r="L4">
        <f>'Demand by Case'!L4/'Demand by Case'!$C4</f>
        <v>0.95670281218274111</v>
      </c>
      <c r="M4">
        <f>'Demand by Case'!M4/'Demand by Case'!$C4</f>
        <v>0.93690438071065996</v>
      </c>
      <c r="N4">
        <f>'Demand by Case'!N4/'Demand by Case'!$C4</f>
        <v>0.9643200609137057</v>
      </c>
      <c r="O4">
        <f>'Demand by Case'!O4/'Demand by Case'!$C4</f>
        <v>0.96249843654822342</v>
      </c>
      <c r="P4">
        <f>'Demand by Case'!P4/'Demand by Case'!$C4</f>
        <v>0.95966266497461927</v>
      </c>
      <c r="Q4">
        <f>'Demand by Case'!Q4/'Demand by Case'!$C4</f>
        <v>0.96615560406091372</v>
      </c>
      <c r="R4">
        <f>'Demand by Case'!R4/'Demand by Case'!$C4</f>
        <v>0.9882123248730964</v>
      </c>
      <c r="S4">
        <f>'Demand by Case'!S4/'Demand by Case'!$C4</f>
        <v>0.99635759390862944</v>
      </c>
      <c r="T4">
        <f>'Demand by Case'!T4/'Demand by Case'!$C4</f>
        <v>1.007009573604061</v>
      </c>
      <c r="U4">
        <f>'Demand by Case'!U4/'Demand by Case'!$C4</f>
        <v>1.0161115583756344</v>
      </c>
      <c r="V4">
        <f>'Demand by Case'!V4/'Demand by Case'!$C4</f>
        <v>1.0263813197969542</v>
      </c>
      <c r="W4">
        <f>'Demand by Case'!W4/'Demand by Case'!$C4</f>
        <v>1.0369202639593911</v>
      </c>
      <c r="X4">
        <f>'Demand by Case'!X4/'Demand by Case'!$C4</f>
        <v>1.0487950862944162</v>
      </c>
      <c r="Y4">
        <f>'Demand by Case'!Y4/'Demand by Case'!$C4</f>
        <v>1.0665067106598984</v>
      </c>
      <c r="Z4">
        <f>'Demand by Case'!Z4/'Demand by Case'!$C4</f>
        <v>1.084291187817259</v>
      </c>
      <c r="AA4">
        <f>'Demand by Case'!AA4/'Demand by Case'!$C4</f>
        <v>1.1066256446700506</v>
      </c>
      <c r="AB4">
        <f>'Demand by Case'!AB4/'Demand by Case'!$C4</f>
        <v>1.1296965888324872</v>
      </c>
      <c r="AC4">
        <f>'Demand by Case'!AC4/'Demand by Case'!$C4</f>
        <v>1.15292623857868</v>
      </c>
      <c r="AD4">
        <f>'Demand by Case'!AD4/'Demand by Case'!$C4</f>
        <v>1.1740640558375635</v>
      </c>
      <c r="AE4">
        <f>'Demand by Case'!AE4/'Demand by Case'!$C4</f>
        <v>1.1950382131979695</v>
      </c>
      <c r="AF4">
        <f>'Demand by Case'!AF4/'Demand by Case'!$C4</f>
        <v>1.2162138527918782</v>
      </c>
      <c r="AG4">
        <f>'Demand by Case'!AG4/'Demand by Case'!$C4</f>
        <v>1.2371909390862945</v>
      </c>
      <c r="AH4">
        <f>'Demand by Case'!AH4/'Demand by Case'!$C4</f>
        <v>1.2564251979695431</v>
      </c>
      <c r="AI4">
        <f>'Demand by Case'!AI4/'Demand by Case'!$C4</f>
        <v>1.2746074822335027</v>
      </c>
      <c r="AJ4">
        <f>'Demand by Case'!AJ4/'Demand by Case'!$C4</f>
        <v>1.2913883197969545</v>
      </c>
      <c r="AK4">
        <f>'Demand by Case'!AK4/'Demand by Case'!$C4</f>
        <v>1.307063076142132</v>
      </c>
      <c r="AL4">
        <f>'Demand by Case'!AL4/'Demand by Case'!$C4</f>
        <v>1.3214859543147208</v>
      </c>
      <c r="AM4">
        <f>'Demand by Case'!AM4/'Demand by Case'!$C4</f>
        <v>1.3360105583756345</v>
      </c>
      <c r="AN4">
        <f>'Demand by Case'!AN4/'Demand by Case'!$C4</f>
        <v>1.3512107715736039</v>
      </c>
      <c r="AO4">
        <f>'Demand by Case'!AO4/'Demand by Case'!$C4</f>
        <v>1.3661202588832486</v>
      </c>
      <c r="AP4">
        <f>'Demand by Case'!AP4/'Demand by Case'!$C4</f>
        <v>1.3808718527918784</v>
      </c>
      <c r="AQ4">
        <f>'Demand by Case'!AQ4/'Demand by Case'!$C4</f>
        <v>1.395575654822335</v>
      </c>
    </row>
    <row r="5" spans="1:43" x14ac:dyDescent="0.25">
      <c r="A5" t="s">
        <v>0</v>
      </c>
      <c r="B5" t="s">
        <v>52</v>
      </c>
      <c r="C5">
        <f>'Demand by Case'!C5/'Demand by Case'!$C5</f>
        <v>1</v>
      </c>
      <c r="D5">
        <f>'Demand by Case'!D5/'Demand by Case'!$C5</f>
        <v>1.0012472582253242</v>
      </c>
      <c r="E5">
        <f>'Demand by Case'!E5/'Demand by Case'!$C5</f>
        <v>0.99929411764705889</v>
      </c>
      <c r="F5">
        <f>'Demand by Case'!F5/'Demand by Case'!$C5</f>
        <v>0.99940586241276186</v>
      </c>
      <c r="G5">
        <f>'Demand by Case'!G5/'Demand by Case'!$C5</f>
        <v>1.0313824626121637</v>
      </c>
      <c r="H5">
        <f>'Demand by Case'!H5/'Demand by Case'!$C5</f>
        <v>1.0114272881355932</v>
      </c>
      <c r="I5">
        <f>'Demand by Case'!I5/'Demand by Case'!$C5</f>
        <v>1.0067296709870388</v>
      </c>
      <c r="J5">
        <f>'Demand by Case'!J5/'Demand by Case'!$C5</f>
        <v>1.0016278065802593</v>
      </c>
      <c r="K5">
        <f>'Demand by Case'!K5/'Demand by Case'!$C5</f>
        <v>1.0378296610169493</v>
      </c>
      <c r="L5">
        <f>'Demand by Case'!L5/'Demand by Case'!$C5</f>
        <v>1.0280161016949152</v>
      </c>
      <c r="M5">
        <f>'Demand by Case'!M5/'Demand by Case'!$C5</f>
        <v>1.0004537686939183</v>
      </c>
      <c r="N5">
        <f>'Demand by Case'!N5/'Demand by Case'!$C5</f>
        <v>1.0473289631106681</v>
      </c>
      <c r="O5">
        <f>'Demand by Case'!O5/'Demand by Case'!$C5</f>
        <v>1.0695015154536391</v>
      </c>
      <c r="P5">
        <f>'Demand by Case'!P5/'Demand by Case'!$C5</f>
        <v>1.0628749950149552</v>
      </c>
      <c r="Q5">
        <f>'Demand by Case'!Q5/'Demand by Case'!$C5</f>
        <v>1.1036862113659023</v>
      </c>
      <c r="R5">
        <f>'Demand by Case'!R5/'Demand by Case'!$C5</f>
        <v>1.1244911365902293</v>
      </c>
      <c r="S5">
        <f>'Demand by Case'!S5/'Demand by Case'!$C5</f>
        <v>1.1137025024925227</v>
      </c>
      <c r="T5">
        <f>'Demand by Case'!T5/'Demand by Case'!$C5</f>
        <v>1.1209244666001994</v>
      </c>
      <c r="U5">
        <f>'Demand by Case'!U5/'Demand by Case'!$C5</f>
        <v>1.127085782652044</v>
      </c>
      <c r="V5">
        <f>'Demand by Case'!V5/'Demand by Case'!$C5</f>
        <v>1.1384239182452642</v>
      </c>
      <c r="W5">
        <f>'Demand by Case'!W5/'Demand by Case'!$C5</f>
        <v>1.1511584945164508</v>
      </c>
      <c r="X5">
        <f>'Demand by Case'!X5/'Demand by Case'!$C5</f>
        <v>1.1656965403788635</v>
      </c>
      <c r="Y5">
        <f>'Demand by Case'!Y5/'Demand by Case'!$C5</f>
        <v>1.1857758624127617</v>
      </c>
      <c r="Z5">
        <f>'Demand by Case'!Z5/'Demand by Case'!$C5</f>
        <v>1.2073050249252244</v>
      </c>
      <c r="AA5">
        <f>'Demand by Case'!AA5/'Demand by Case'!$C5</f>
        <v>1.2342026420737786</v>
      </c>
      <c r="AB5">
        <f>'Demand by Case'!AB5/'Demand by Case'!$C5</f>
        <v>1.26250555333998</v>
      </c>
      <c r="AC5">
        <f>'Demand by Case'!AC5/'Demand by Case'!$C5</f>
        <v>1.2897476171485545</v>
      </c>
      <c r="AD5">
        <f>'Demand by Case'!AD5/'Demand by Case'!$C5</f>
        <v>1.3150926520438684</v>
      </c>
      <c r="AE5">
        <f>'Demand by Case'!AE5/'Demand by Case'!$C5</f>
        <v>1.3400993419740779</v>
      </c>
      <c r="AF5">
        <f>'Demand by Case'!AF5/'Demand by Case'!$C5</f>
        <v>1.3643427916251247</v>
      </c>
      <c r="AG5">
        <f>'Demand by Case'!AG5/'Demand by Case'!$C5</f>
        <v>1.3879138285144568</v>
      </c>
      <c r="AH5">
        <f>'Demand by Case'!AH5/'Demand by Case'!$C5</f>
        <v>1.4104871186440679</v>
      </c>
      <c r="AI5">
        <f>'Demand by Case'!AI5/'Demand by Case'!$C5</f>
        <v>1.4329427018943173</v>
      </c>
      <c r="AJ5">
        <f>'Demand by Case'!AJ5/'Demand by Case'!$C5</f>
        <v>1.4542820239282155</v>
      </c>
      <c r="AK5">
        <f>'Demand by Case'!AK5/'Demand by Case'!$C5</f>
        <v>1.4743765104685944</v>
      </c>
      <c r="AL5">
        <f>'Demand by Case'!AL5/'Demand by Case'!$C5</f>
        <v>1.492647896311067</v>
      </c>
      <c r="AM5">
        <f>'Demand by Case'!AM5/'Demand by Case'!$C5</f>
        <v>1.5108968494516453</v>
      </c>
      <c r="AN5">
        <f>'Demand by Case'!AN5/'Demand by Case'!$C5</f>
        <v>1.5303439082751744</v>
      </c>
      <c r="AO5">
        <f>'Demand by Case'!AO5/'Demand by Case'!$C5</f>
        <v>1.5504910169491526</v>
      </c>
      <c r="AP5">
        <f>'Demand by Case'!AP5/'Demand by Case'!$C5</f>
        <v>1.571352861415753</v>
      </c>
      <c r="AQ5">
        <f>'Demand by Case'!AQ5/'Demand by Case'!$C5</f>
        <v>1.5922181655034897</v>
      </c>
    </row>
    <row r="6" spans="1:43" x14ac:dyDescent="0.25">
      <c r="A6" t="s">
        <v>0</v>
      </c>
      <c r="B6" t="s">
        <v>53</v>
      </c>
      <c r="C6">
        <f>'Demand by Case'!C6/'Demand by Case'!$C6</f>
        <v>1</v>
      </c>
      <c r="D6">
        <f>'Demand by Case'!D6/'Demand by Case'!$C6</f>
        <v>0.97065293072824155</v>
      </c>
      <c r="E6">
        <f>'Demand by Case'!E6/'Demand by Case'!$C6</f>
        <v>0.94602912966252228</v>
      </c>
      <c r="F6">
        <f>'Demand by Case'!F6/'Demand by Case'!$C6</f>
        <v>0.95058492362344582</v>
      </c>
      <c r="G6">
        <f>'Demand by Case'!G6/'Demand by Case'!$C6</f>
        <v>0.96732873889875681</v>
      </c>
      <c r="H6">
        <f>'Demand by Case'!H6/'Demand by Case'!$C6</f>
        <v>0.9659685293072825</v>
      </c>
      <c r="I6">
        <f>'Demand by Case'!I6/'Demand by Case'!$C6</f>
        <v>0.96996002486678512</v>
      </c>
      <c r="J6">
        <f>'Demand by Case'!J6/'Demand by Case'!$C6</f>
        <v>0.95207675666074609</v>
      </c>
      <c r="K6">
        <f>'Demand by Case'!K6/'Demand by Case'!$C6</f>
        <v>0.98890766962699828</v>
      </c>
      <c r="L6">
        <f>'Demand by Case'!L6/'Demand by Case'!$C6</f>
        <v>0.99061843339253997</v>
      </c>
      <c r="M6">
        <f>'Demand by Case'!M6/'Demand by Case'!$C6</f>
        <v>0.96153328952042638</v>
      </c>
      <c r="N6">
        <f>'Demand by Case'!N6/'Demand by Case'!$C6</f>
        <v>1.0039437833037299</v>
      </c>
      <c r="O6">
        <f>'Demand by Case'!O6/'Demand by Case'!$C6</f>
        <v>1.0352651083481352</v>
      </c>
      <c r="P6">
        <f>'Demand by Case'!P6/'Demand by Case'!$C6</f>
        <v>1.033855026642984</v>
      </c>
      <c r="Q6">
        <f>'Demand by Case'!Q6/'Demand by Case'!$C6</f>
        <v>1.0588798827708703</v>
      </c>
      <c r="R6">
        <f>'Demand by Case'!R6/'Demand by Case'!$C6</f>
        <v>1.0705406856127888</v>
      </c>
      <c r="S6">
        <f>'Demand by Case'!S6/'Demand by Case'!$C6</f>
        <v>1.077435463587922</v>
      </c>
      <c r="T6">
        <f>'Demand by Case'!T6/'Demand by Case'!$C6</f>
        <v>1.0916853818827708</v>
      </c>
      <c r="U6">
        <f>'Demand by Case'!U6/'Demand by Case'!$C6</f>
        <v>1.1038497904085256</v>
      </c>
      <c r="V6">
        <f>'Demand by Case'!V6/'Demand by Case'!$C6</f>
        <v>1.1203375595026643</v>
      </c>
      <c r="W6">
        <f>'Demand by Case'!W6/'Demand by Case'!$C6</f>
        <v>1.1360886962699821</v>
      </c>
      <c r="X6">
        <f>'Demand by Case'!X6/'Demand by Case'!$C6</f>
        <v>1.1525909733570161</v>
      </c>
      <c r="Y6">
        <f>'Demand by Case'!Y6/'Demand by Case'!$C6</f>
        <v>1.1725210017761991</v>
      </c>
      <c r="Z6">
        <f>'Demand by Case'!Z6/'Demand by Case'!$C6</f>
        <v>1.1926830728241564</v>
      </c>
      <c r="AA6">
        <f>'Demand by Case'!AA6/'Demand by Case'!$C6</f>
        <v>1.2139481136767318</v>
      </c>
      <c r="AB6">
        <f>'Demand by Case'!AB6/'Demand by Case'!$C6</f>
        <v>1.2358360674955595</v>
      </c>
      <c r="AC6">
        <f>'Demand by Case'!AC6/'Demand by Case'!$C6</f>
        <v>1.2602103019538187</v>
      </c>
      <c r="AD6">
        <f>'Demand by Case'!AD6/'Demand by Case'!$C6</f>
        <v>1.2857618188277087</v>
      </c>
      <c r="AE6">
        <f>'Demand by Case'!AE6/'Demand by Case'!$C6</f>
        <v>1.3113815737122558</v>
      </c>
      <c r="AF6">
        <f>'Demand by Case'!AF6/'Demand by Case'!$C6</f>
        <v>1.3376567531083481</v>
      </c>
      <c r="AG6">
        <f>'Demand by Case'!AG6/'Demand by Case'!$C6</f>
        <v>1.3629020710479574</v>
      </c>
      <c r="AH6">
        <f>'Demand by Case'!AH6/'Demand by Case'!$C6</f>
        <v>1.386632543516874</v>
      </c>
      <c r="AI6">
        <f>'Demand by Case'!AI6/'Demand by Case'!$C6</f>
        <v>1.4088843410301954</v>
      </c>
      <c r="AJ6">
        <f>'Demand by Case'!AJ6/'Demand by Case'!$C6</f>
        <v>1.4302343801065718</v>
      </c>
      <c r="AK6">
        <f>'Demand by Case'!AK6/'Demand by Case'!$C6</f>
        <v>1.4500390479573713</v>
      </c>
      <c r="AL6">
        <f>'Demand by Case'!AL6/'Demand by Case'!$C6</f>
        <v>1.4688397975133214</v>
      </c>
      <c r="AM6">
        <f>'Demand by Case'!AM6/'Demand by Case'!$C6</f>
        <v>1.4870228880994671</v>
      </c>
      <c r="AN6">
        <f>'Demand by Case'!AN6/'Demand by Case'!$C6</f>
        <v>1.5062843481349912</v>
      </c>
      <c r="AO6">
        <f>'Demand by Case'!AO6/'Demand by Case'!$C6</f>
        <v>1.526963431616341</v>
      </c>
      <c r="AP6">
        <f>'Demand by Case'!AP6/'Demand by Case'!$C6</f>
        <v>1.5489647992895204</v>
      </c>
      <c r="AQ6">
        <f>'Demand by Case'!AQ6/'Demand by Case'!$C6</f>
        <v>1.5726879715808173</v>
      </c>
    </row>
    <row r="7" spans="1:43" x14ac:dyDescent="0.25">
      <c r="A7" t="s">
        <v>0</v>
      </c>
      <c r="B7" t="s">
        <v>54</v>
      </c>
      <c r="C7">
        <f>'Demand by Case'!C7/'Demand by Case'!$C7</f>
        <v>1</v>
      </c>
      <c r="D7">
        <f>'Demand by Case'!D7/'Demand by Case'!$C7</f>
        <v>0.97331423611111123</v>
      </c>
      <c r="E7">
        <f>'Demand by Case'!E7/'Demand by Case'!$C7</f>
        <v>0.94785850694444451</v>
      </c>
      <c r="F7">
        <f>'Demand by Case'!F7/'Demand by Case'!$C7</f>
        <v>0.97198305555555553</v>
      </c>
      <c r="G7">
        <f>'Demand by Case'!G7/'Demand by Case'!$C7</f>
        <v>0.94596574652777776</v>
      </c>
      <c r="H7">
        <f>'Demand by Case'!H7/'Demand by Case'!$C7</f>
        <v>0.91021555555555567</v>
      </c>
      <c r="I7">
        <f>'Demand by Case'!I7/'Demand by Case'!$C7</f>
        <v>0.90069445312500007</v>
      </c>
      <c r="J7">
        <f>'Demand by Case'!J7/'Demand by Case'!$C7</f>
        <v>0.87297773437500015</v>
      </c>
      <c r="K7">
        <f>'Demand by Case'!K7/'Demand by Case'!$C7</f>
        <v>0.91949192708333349</v>
      </c>
      <c r="L7">
        <f>'Demand by Case'!L7/'Demand by Case'!$C7</f>
        <v>0.91385724826388903</v>
      </c>
      <c r="M7">
        <f>'Demand by Case'!M7/'Demand by Case'!$C7</f>
        <v>0.86933614583333341</v>
      </c>
      <c r="N7">
        <f>'Demand by Case'!N7/'Demand by Case'!$C7</f>
        <v>0.90817804687499992</v>
      </c>
      <c r="O7">
        <f>'Demand by Case'!O7/'Demand by Case'!$C7</f>
        <v>0.92291172743055572</v>
      </c>
      <c r="P7">
        <f>'Demand by Case'!P7/'Demand by Case'!$C7</f>
        <v>0.92217350694444455</v>
      </c>
      <c r="Q7">
        <f>'Demand by Case'!Q7/'Demand by Case'!$C7</f>
        <v>0.92264907118055561</v>
      </c>
      <c r="R7">
        <f>'Demand by Case'!R7/'Demand by Case'!$C7</f>
        <v>0.92411998263888895</v>
      </c>
      <c r="S7">
        <f>'Demand by Case'!S7/'Demand by Case'!$C7</f>
        <v>0.94353501736111101</v>
      </c>
      <c r="T7">
        <f>'Demand by Case'!T7/'Demand by Case'!$C7</f>
        <v>0.95495037326388899</v>
      </c>
      <c r="U7">
        <f>'Demand by Case'!U7/'Demand by Case'!$C7</f>
        <v>0.96465257812500016</v>
      </c>
      <c r="V7">
        <f>'Demand by Case'!V7/'Demand by Case'!$C7</f>
        <v>0.97204345486111121</v>
      </c>
      <c r="W7">
        <f>'Demand by Case'!W7/'Demand by Case'!$C7</f>
        <v>0.97927901909722226</v>
      </c>
      <c r="X7">
        <f>'Demand by Case'!X7/'Demand by Case'!$C7</f>
        <v>0.98802888888888907</v>
      </c>
      <c r="Y7">
        <f>'Demand by Case'!Y7/'Demand by Case'!$C7</f>
        <v>0.9999359982638889</v>
      </c>
      <c r="Z7">
        <f>'Demand by Case'!Z7/'Demand by Case'!$C7</f>
        <v>1.0124986979166666</v>
      </c>
      <c r="AA7">
        <f>'Demand by Case'!AA7/'Demand by Case'!$C7</f>
        <v>1.0278034722222225</v>
      </c>
      <c r="AB7">
        <f>'Demand by Case'!AB7/'Demand by Case'!$C7</f>
        <v>1.0431198697916668</v>
      </c>
      <c r="AC7">
        <f>'Demand by Case'!AC7/'Demand by Case'!$C7</f>
        <v>1.0580806684027779</v>
      </c>
      <c r="AD7">
        <f>'Demand by Case'!AD7/'Demand by Case'!$C7</f>
        <v>1.074115138888889</v>
      </c>
      <c r="AE7">
        <f>'Demand by Case'!AE7/'Demand by Case'!$C7</f>
        <v>1.0902090885416666</v>
      </c>
      <c r="AF7">
        <f>'Demand by Case'!AF7/'Demand by Case'!$C7</f>
        <v>1.1067115277777779</v>
      </c>
      <c r="AG7">
        <f>'Demand by Case'!AG7/'Demand by Case'!$C7</f>
        <v>1.1219582118055558</v>
      </c>
      <c r="AH7">
        <f>'Demand by Case'!AH7/'Demand by Case'!$C7</f>
        <v>1.136562890625</v>
      </c>
      <c r="AI7">
        <f>'Demand by Case'!AI7/'Demand by Case'!$C7</f>
        <v>1.1503732638888888</v>
      </c>
      <c r="AJ7">
        <f>'Demand by Case'!AJ7/'Demand by Case'!$C7</f>
        <v>1.1629455121527779</v>
      </c>
      <c r="AK7">
        <f>'Demand by Case'!AK7/'Demand by Case'!$C7</f>
        <v>1.1737834809027778</v>
      </c>
      <c r="AL7">
        <f>'Demand by Case'!AL7/'Demand by Case'!$C7</f>
        <v>1.1840075347222225</v>
      </c>
      <c r="AM7">
        <f>'Demand by Case'!AM7/'Demand by Case'!$C7</f>
        <v>1.1936214930555555</v>
      </c>
      <c r="AN7">
        <f>'Demand by Case'!AN7/'Demand by Case'!$C7</f>
        <v>1.203772638888889</v>
      </c>
      <c r="AO7">
        <f>'Demand by Case'!AO7/'Demand by Case'!$C7</f>
        <v>1.215593732638889</v>
      </c>
      <c r="AP7">
        <f>'Demand by Case'!AP7/'Demand by Case'!$C7</f>
        <v>1.2286843402777778</v>
      </c>
      <c r="AQ7">
        <f>'Demand by Case'!AQ7/'Demand by Case'!$C7</f>
        <v>1.2427143315972222</v>
      </c>
    </row>
    <row r="8" spans="1:43" x14ac:dyDescent="0.25">
      <c r="A8" t="s">
        <v>0</v>
      </c>
      <c r="B8" t="s">
        <v>55</v>
      </c>
      <c r="C8">
        <f>'Demand by Case'!C8/'Demand by Case'!$C8</f>
        <v>1</v>
      </c>
      <c r="D8">
        <f>'Demand by Case'!D8/'Demand by Case'!$C8</f>
        <v>1.0376608</v>
      </c>
      <c r="E8">
        <f>'Demand by Case'!E8/'Demand by Case'!$C8</f>
        <v>1.0125743999999999</v>
      </c>
      <c r="F8">
        <f>'Demand by Case'!F8/'Demand by Case'!$C8</f>
        <v>1.0182481866666666</v>
      </c>
      <c r="G8">
        <f>'Demand by Case'!G8/'Demand by Case'!$C8</f>
        <v>1.08225824</v>
      </c>
      <c r="H8">
        <f>'Demand by Case'!H8/'Demand by Case'!$C8</f>
        <v>1.0904664693333332</v>
      </c>
      <c r="I8">
        <f>'Demand by Case'!I8/'Demand by Case'!$C8</f>
        <v>1.0822011733333334</v>
      </c>
      <c r="J8">
        <f>'Demand by Case'!J8/'Demand by Case'!$C8</f>
        <v>1.0790634346666665</v>
      </c>
      <c r="K8">
        <f>'Demand by Case'!K8/'Demand by Case'!$C8</f>
        <v>1.1318910666666666</v>
      </c>
      <c r="L8">
        <f>'Demand by Case'!L8/'Demand by Case'!$C8</f>
        <v>1.1523093760000001</v>
      </c>
      <c r="M8">
        <f>'Demand by Case'!M8/'Demand by Case'!$C8</f>
        <v>1.106938736</v>
      </c>
      <c r="N8">
        <f>'Demand by Case'!N8/'Demand by Case'!$C8</f>
        <v>1.177562832</v>
      </c>
      <c r="O8">
        <f>'Demand by Case'!O8/'Demand by Case'!$C8</f>
        <v>1.2292982346666668</v>
      </c>
      <c r="P8">
        <f>'Demand by Case'!P8/'Demand by Case'!$C8</f>
        <v>1.2038880320000003</v>
      </c>
      <c r="Q8">
        <f>'Demand by Case'!Q8/'Demand by Case'!$C8</f>
        <v>1.2658511200000002</v>
      </c>
      <c r="R8">
        <f>'Demand by Case'!R8/'Demand by Case'!$C8</f>
        <v>1.2976778666666668</v>
      </c>
      <c r="S8">
        <f>'Demand by Case'!S8/'Demand by Case'!$C8</f>
        <v>1.3105849333333335</v>
      </c>
      <c r="T8">
        <f>'Demand by Case'!T8/'Demand by Case'!$C8</f>
        <v>1.3258961066666666</v>
      </c>
      <c r="U8">
        <f>'Demand by Case'!U8/'Demand by Case'!$C8</f>
        <v>1.339637392</v>
      </c>
      <c r="V8">
        <f>'Demand by Case'!V8/'Demand by Case'!$C8</f>
        <v>1.355118229333333</v>
      </c>
      <c r="W8">
        <f>'Demand by Case'!W8/'Demand by Case'!$C8</f>
        <v>1.3704983573333334</v>
      </c>
      <c r="X8">
        <f>'Demand by Case'!X8/'Demand by Case'!$C8</f>
        <v>1.3867183306666668</v>
      </c>
      <c r="Y8">
        <f>'Demand by Case'!Y8/'Demand by Case'!$C8</f>
        <v>1.4106051840000002</v>
      </c>
      <c r="Z8">
        <f>'Demand by Case'!Z8/'Demand by Case'!$C8</f>
        <v>1.4367501493333334</v>
      </c>
      <c r="AA8">
        <f>'Demand by Case'!AA8/'Demand by Case'!$C8</f>
        <v>1.4662057226666669</v>
      </c>
      <c r="AB8">
        <f>'Demand by Case'!AB8/'Demand by Case'!$C8</f>
        <v>1.4980914186666667</v>
      </c>
      <c r="AC8">
        <f>'Demand by Case'!AC8/'Demand by Case'!$C8</f>
        <v>1.5338657226666668</v>
      </c>
      <c r="AD8">
        <f>'Demand by Case'!AD8/'Demand by Case'!$C8</f>
        <v>1.5716599573333334</v>
      </c>
      <c r="AE8">
        <f>'Demand by Case'!AE8/'Demand by Case'!$C8</f>
        <v>1.6039074666666666</v>
      </c>
      <c r="AF8">
        <f>'Demand by Case'!AF8/'Demand by Case'!$C8</f>
        <v>1.6351029866666666</v>
      </c>
      <c r="AG8">
        <f>'Demand by Case'!AG8/'Demand by Case'!$C8</f>
        <v>1.6626961653333334</v>
      </c>
      <c r="AH8">
        <f>'Demand by Case'!AH8/'Demand by Case'!$C8</f>
        <v>1.6881985386666669</v>
      </c>
      <c r="AI8">
        <f>'Demand by Case'!AI8/'Demand by Case'!$C8</f>
        <v>1.7131441493333335</v>
      </c>
      <c r="AJ8">
        <f>'Demand by Case'!AJ8/'Demand by Case'!$C8</f>
        <v>1.7380748693333332</v>
      </c>
      <c r="AK8">
        <f>'Demand by Case'!AK8/'Demand by Case'!$C8</f>
        <v>1.7599723626666666</v>
      </c>
      <c r="AL8">
        <f>'Demand by Case'!AL8/'Demand by Case'!$C8</f>
        <v>1.7818952746666665</v>
      </c>
      <c r="AM8">
        <f>'Demand by Case'!AM8/'Demand by Case'!$C8</f>
        <v>1.8011548746666668</v>
      </c>
      <c r="AN8">
        <f>'Demand by Case'!AN8/'Demand by Case'!$C8</f>
        <v>1.8206500106666668</v>
      </c>
      <c r="AO8">
        <f>'Demand by Case'!AO8/'Demand by Case'!$C8</f>
        <v>1.8427469653333333</v>
      </c>
      <c r="AP8">
        <f>'Demand by Case'!AP8/'Demand by Case'!$C8</f>
        <v>1.8667511786666666</v>
      </c>
      <c r="AQ8">
        <f>'Demand by Case'!AQ8/'Demand by Case'!$C8</f>
        <v>1.8934377973333334</v>
      </c>
    </row>
    <row r="9" spans="1:43" x14ac:dyDescent="0.25">
      <c r="A9" t="s">
        <v>0</v>
      </c>
      <c r="B9" t="s">
        <v>8</v>
      </c>
      <c r="C9">
        <f>'Demand by Case'!C9/'Demand by Case'!$C9</f>
        <v>1</v>
      </c>
      <c r="D9">
        <f>'Demand by Case'!D9/'Demand by Case'!$C9</f>
        <v>1.0208786191536749</v>
      </c>
      <c r="E9">
        <f>'Demand by Case'!E9/'Demand by Case'!$C9</f>
        <v>1.0312227171492205</v>
      </c>
      <c r="F9">
        <f>'Demand by Case'!F9/'Demand by Case'!$C9</f>
        <v>1.0271473942093541</v>
      </c>
      <c r="G9">
        <f>'Demand by Case'!G9/'Demand by Case'!$C9</f>
        <v>1.0275484743875278</v>
      </c>
      <c r="H9">
        <f>'Demand by Case'!H9/'Demand by Case'!$C9</f>
        <v>1.0358161247216033</v>
      </c>
      <c r="I9">
        <f>'Demand by Case'!I9/'Demand by Case'!$C9</f>
        <v>1.0485408129175946</v>
      </c>
      <c r="J9">
        <f>'Demand by Case'!J9/'Demand by Case'!$C9</f>
        <v>1.0640164142538975</v>
      </c>
      <c r="K9">
        <f>'Demand by Case'!K9/'Demand by Case'!$C9</f>
        <v>1.0769235634743874</v>
      </c>
      <c r="L9">
        <f>'Demand by Case'!L9/'Demand by Case'!$C9</f>
        <v>1.0765527616926502</v>
      </c>
      <c r="M9">
        <f>'Demand by Case'!M9/'Demand by Case'!$C9</f>
        <v>1.0910835077951002</v>
      </c>
      <c r="N9">
        <f>'Demand by Case'!N9/'Demand by Case'!$C9</f>
        <v>1.1412347661469933</v>
      </c>
      <c r="O9">
        <f>'Demand by Case'!O9/'Demand by Case'!$C9</f>
        <v>1.167889420935412</v>
      </c>
      <c r="P9">
        <f>'Demand by Case'!P9/'Demand by Case'!$C9</f>
        <v>1.1606765144766147</v>
      </c>
      <c r="Q9">
        <f>'Demand by Case'!Q9/'Demand by Case'!$C9</f>
        <v>1.2295860467706012</v>
      </c>
      <c r="R9">
        <f>'Demand by Case'!R9/'Demand by Case'!$C9</f>
        <v>1.2410698886414255</v>
      </c>
      <c r="S9">
        <f>'Demand by Case'!S9/'Demand by Case'!$C9</f>
        <v>1.2557485523385301</v>
      </c>
      <c r="T9">
        <f>'Demand by Case'!T9/'Demand by Case'!$C9</f>
        <v>1.2783046325167038</v>
      </c>
      <c r="U9">
        <f>'Demand by Case'!U9/'Demand by Case'!$C9</f>
        <v>1.3002722048997772</v>
      </c>
      <c r="V9">
        <f>'Demand by Case'!V9/'Demand by Case'!$C9</f>
        <v>1.3297060913140311</v>
      </c>
      <c r="W9">
        <f>'Demand by Case'!W9/'Demand by Case'!$C9</f>
        <v>1.3615382182628062</v>
      </c>
      <c r="X9">
        <f>'Demand by Case'!X9/'Demand by Case'!$C9</f>
        <v>1.3965876614699331</v>
      </c>
      <c r="Y9">
        <f>'Demand by Case'!Y9/'Demand by Case'!$C9</f>
        <v>1.4393176948775055</v>
      </c>
      <c r="Z9">
        <f>'Demand by Case'!Z9/'Demand by Case'!$C9</f>
        <v>1.4860419265033404</v>
      </c>
      <c r="AA9">
        <f>'Demand by Case'!AA9/'Demand by Case'!$C9</f>
        <v>1.5384774610244987</v>
      </c>
      <c r="AB9">
        <f>'Demand by Case'!AB9/'Demand by Case'!$C9</f>
        <v>1.5916414476614698</v>
      </c>
      <c r="AC9">
        <f>'Demand by Case'!AC9/'Demand by Case'!$C9</f>
        <v>1.6427699220489977</v>
      </c>
      <c r="AD9">
        <f>'Demand by Case'!AD9/'Demand by Case'!$C9</f>
        <v>1.6921514365256125</v>
      </c>
      <c r="AE9">
        <f>'Demand by Case'!AE9/'Demand by Case'!$C9</f>
        <v>1.741333841870824</v>
      </c>
      <c r="AF9">
        <f>'Demand by Case'!AF9/'Demand by Case'!$C9</f>
        <v>1.7895556792873051</v>
      </c>
      <c r="AG9">
        <f>'Demand by Case'!AG9/'Demand by Case'!$C9</f>
        <v>1.8378117594654788</v>
      </c>
      <c r="AH9">
        <f>'Demand by Case'!AH9/'Demand by Case'!$C9</f>
        <v>1.8859196659242761</v>
      </c>
      <c r="AI9">
        <f>'Demand by Case'!AI9/'Demand by Case'!$C9</f>
        <v>1.9316067928730511</v>
      </c>
      <c r="AJ9">
        <f>'Demand by Case'!AJ9/'Demand by Case'!$C9</f>
        <v>1.9751095545657016</v>
      </c>
      <c r="AK9">
        <f>'Demand by Case'!AK9/'Demand by Case'!$C9</f>
        <v>2.0171026169265032</v>
      </c>
      <c r="AL9">
        <f>'Demand by Case'!AL9/'Demand by Case'!$C9</f>
        <v>2.0584967371937637</v>
      </c>
      <c r="AM9">
        <f>'Demand by Case'!AM9/'Demand by Case'!$C9</f>
        <v>2.1009362583518931</v>
      </c>
      <c r="AN9">
        <f>'Demand by Case'!AN9/'Demand by Case'!$C9</f>
        <v>2.1434462694877507</v>
      </c>
      <c r="AO9">
        <f>'Demand by Case'!AO9/'Demand by Case'!$C9</f>
        <v>2.1869372160356346</v>
      </c>
      <c r="AP9">
        <f>'Demand by Case'!AP9/'Demand by Case'!$C9</f>
        <v>2.2301374276169268</v>
      </c>
      <c r="AQ9">
        <f>'Demand by Case'!AQ9/'Demand by Case'!$C9</f>
        <v>2.2737451224944323</v>
      </c>
    </row>
    <row r="10" spans="1:43" x14ac:dyDescent="0.25">
      <c r="A10" t="s">
        <v>0</v>
      </c>
      <c r="B10" t="s">
        <v>9</v>
      </c>
      <c r="C10">
        <f>'Demand by Case'!C10/'Demand by Case'!$C10</f>
        <v>1</v>
      </c>
      <c r="D10">
        <f>'Demand by Case'!D10/'Demand by Case'!$C10</f>
        <v>1.0190384889522452</v>
      </c>
      <c r="E10">
        <f>'Demand by Case'!E10/'Demand by Case'!$C10</f>
        <v>1.0088125445473985</v>
      </c>
      <c r="F10">
        <f>'Demand by Case'!F10/'Demand by Case'!$C10</f>
        <v>1.0028923093371347</v>
      </c>
      <c r="G10">
        <f>'Demand by Case'!G10/'Demand by Case'!$C10</f>
        <v>1.0105245901639344</v>
      </c>
      <c r="H10">
        <f>'Demand by Case'!H10/'Demand by Case'!$C10</f>
        <v>1.022168660014255</v>
      </c>
      <c r="I10">
        <f>'Demand by Case'!I10/'Demand by Case'!$C10</f>
        <v>1.0197997362794013</v>
      </c>
      <c r="J10">
        <f>'Demand by Case'!J10/'Demand by Case'!$C10</f>
        <v>1.0433873699215965</v>
      </c>
      <c r="K10">
        <f>'Demand by Case'!K10/'Demand by Case'!$C10</f>
        <v>1.0419745972915182</v>
      </c>
      <c r="L10">
        <f>'Demand by Case'!L10/'Demand by Case'!$C10</f>
        <v>1.0263881397006416</v>
      </c>
      <c r="M10">
        <f>'Demand by Case'!M10/'Demand by Case'!$C10</f>
        <v>1.0376809408410548</v>
      </c>
      <c r="N10">
        <f>'Demand by Case'!N10/'Demand by Case'!$C10</f>
        <v>1.0563281111903065</v>
      </c>
      <c r="O10">
        <f>'Demand by Case'!O10/'Demand by Case'!$C10</f>
        <v>1.0865177334283678</v>
      </c>
      <c r="P10">
        <f>'Demand by Case'!P10/'Demand by Case'!$C10</f>
        <v>1.081764689950107</v>
      </c>
      <c r="Q10">
        <f>'Demand by Case'!Q10/'Demand by Case'!$C10</f>
        <v>1.1206920028510334</v>
      </c>
      <c r="R10">
        <f>'Demand by Case'!R10/'Demand by Case'!$C10</f>
        <v>1.1207467426942266</v>
      </c>
      <c r="S10">
        <f>'Demand by Case'!S10/'Demand by Case'!$C10</f>
        <v>1.1387543264433357</v>
      </c>
      <c r="T10">
        <f>'Demand by Case'!T10/'Demand by Case'!$C10</f>
        <v>1.1714541126158231</v>
      </c>
      <c r="U10">
        <f>'Demand by Case'!U10/'Demand by Case'!$C10</f>
        <v>1.2005623235923022</v>
      </c>
      <c r="V10">
        <f>'Demand by Case'!V10/'Demand by Case'!$C10</f>
        <v>1.2299261511047754</v>
      </c>
      <c r="W10">
        <f>'Demand by Case'!W10/'Demand by Case'!$C10</f>
        <v>1.2607759586600142</v>
      </c>
      <c r="X10">
        <f>'Demand by Case'!X10/'Demand by Case'!$C10</f>
        <v>1.2917956521739129</v>
      </c>
      <c r="Y10">
        <f>'Demand by Case'!Y10/'Demand by Case'!$C10</f>
        <v>1.3296826086956521</v>
      </c>
      <c r="Z10">
        <f>'Demand by Case'!Z10/'Demand by Case'!$C10</f>
        <v>1.3711380612972204</v>
      </c>
      <c r="AA10">
        <f>'Demand by Case'!AA10/'Demand by Case'!$C10</f>
        <v>1.4160645830363505</v>
      </c>
      <c r="AB10">
        <f>'Demand by Case'!AB10/'Demand by Case'!$C10</f>
        <v>1.4599189665003562</v>
      </c>
      <c r="AC10">
        <f>'Demand by Case'!AC10/'Demand by Case'!$C10</f>
        <v>1.5016107270135424</v>
      </c>
      <c r="AD10">
        <f>'Demand by Case'!AD10/'Demand by Case'!$C10</f>
        <v>1.5415984604419102</v>
      </c>
      <c r="AE10">
        <f>'Demand by Case'!AE10/'Demand by Case'!$C10</f>
        <v>1.5812008054169635</v>
      </c>
      <c r="AF10">
        <f>'Demand by Case'!AF10/'Demand by Case'!$C10</f>
        <v>1.6201098930862439</v>
      </c>
      <c r="AG10">
        <f>'Demand by Case'!AG10/'Demand by Case'!$C10</f>
        <v>1.6582607697790448</v>
      </c>
      <c r="AH10">
        <f>'Demand by Case'!AH10/'Demand by Case'!$C10</f>
        <v>1.6947783891660726</v>
      </c>
      <c r="AI10">
        <f>'Demand by Case'!AI10/'Demand by Case'!$C10</f>
        <v>1.7290980327868852</v>
      </c>
      <c r="AJ10">
        <f>'Demand by Case'!AJ10/'Demand by Case'!$C10</f>
        <v>1.7604961938702779</v>
      </c>
      <c r="AK10">
        <f>'Demand by Case'!AK10/'Demand by Case'!$C10</f>
        <v>1.7903129365645047</v>
      </c>
      <c r="AL10">
        <f>'Demand by Case'!AL10/'Demand by Case'!$C10</f>
        <v>1.8197988168210977</v>
      </c>
      <c r="AM10">
        <f>'Demand by Case'!AM10/'Demand by Case'!$C10</f>
        <v>1.8498137704918034</v>
      </c>
      <c r="AN10">
        <f>'Demand by Case'!AN10/'Demand by Case'!$C10</f>
        <v>1.8795995652173914</v>
      </c>
      <c r="AO10">
        <f>'Demand by Case'!AO10/'Demand by Case'!$C10</f>
        <v>1.9092223663578045</v>
      </c>
      <c r="AP10">
        <f>'Demand by Case'!AP10/'Demand by Case'!$C10</f>
        <v>1.9385039201710621</v>
      </c>
      <c r="AQ10">
        <f>'Demand by Case'!AQ10/'Demand by Case'!$C10</f>
        <v>1.967622530292231</v>
      </c>
    </row>
    <row r="11" spans="1:43" s="3" customFormat="1" x14ac:dyDescent="0.25">
      <c r="A11" s="3" t="s">
        <v>0</v>
      </c>
      <c r="B11" s="3" t="s">
        <v>10</v>
      </c>
      <c r="C11" s="3">
        <f>'Demand by Case'!C11/'Demand by Case'!$C11</f>
        <v>1</v>
      </c>
      <c r="D11" s="3">
        <f>'Demand by Case'!D11/'Demand by Case'!$C11</f>
        <v>0.99849258391881335</v>
      </c>
      <c r="E11" s="3">
        <f>'Demand by Case'!E11/'Demand by Case'!$C11</f>
        <v>0.9841836846213895</v>
      </c>
      <c r="F11" s="3">
        <f>'Demand by Case'!F11/'Demand by Case'!$C11</f>
        <v>0.98482262841530055</v>
      </c>
      <c r="G11" s="3">
        <f>'Demand by Case'!G11/'Demand by Case'!$C11</f>
        <v>1.0046947455113193</v>
      </c>
      <c r="H11" s="3">
        <f>'Demand by Case'!H11/'Demand by Case'!$C11</f>
        <v>0.99702483996877433</v>
      </c>
      <c r="I11" s="3">
        <f>'Demand by Case'!I11/'Demand by Case'!$C11</f>
        <v>0.99530471662763464</v>
      </c>
      <c r="J11" s="3">
        <f>'Demand by Case'!J11/'Demand by Case'!$C11</f>
        <v>0.98951929508196712</v>
      </c>
      <c r="K11" s="3">
        <f>'Demand by Case'!K11/'Demand by Case'!$C11</f>
        <v>1.0208092107728337</v>
      </c>
      <c r="L11" s="3">
        <f>'Demand by Case'!L11/'Demand by Case'!$C11</f>
        <v>1.0138515823575331</v>
      </c>
      <c r="M11" s="3">
        <f>'Demand by Case'!M11/'Demand by Case'!$C11</f>
        <v>0.98940083996877437</v>
      </c>
      <c r="N11" s="3">
        <f>'Demand by Case'!N11/'Demand by Case'!$C11</f>
        <v>1.0299690312256051</v>
      </c>
      <c r="O11" s="3">
        <f>'Demand by Case'!O11/'Demand by Case'!$C11</f>
        <v>1.0549933754879002</v>
      </c>
      <c r="P11" s="3">
        <f>'Demand by Case'!P11/'Demand by Case'!$C11</f>
        <v>1.0470268516783763</v>
      </c>
      <c r="Q11" s="3">
        <f>'Demand by Case'!Q11/'Demand by Case'!$C11</f>
        <v>1.0761188782201405</v>
      </c>
      <c r="R11" s="3">
        <f>'Demand by Case'!R11/'Demand by Case'!$C11</f>
        <v>1.0910677892271663</v>
      </c>
      <c r="S11" s="3">
        <f>'Demand by Case'!S11/'Demand by Case'!$C11</f>
        <v>1.1006374301327089</v>
      </c>
      <c r="T11" s="3">
        <f>'Demand by Case'!T11/'Demand by Case'!$C11</f>
        <v>1.1166932989851679</v>
      </c>
      <c r="U11" s="3">
        <f>'Demand by Case'!U11/'Demand by Case'!$C11</f>
        <v>1.1308581061670571</v>
      </c>
      <c r="V11" s="3">
        <f>'Demand by Case'!V11/'Demand by Case'!$C11</f>
        <v>1.1475120281030444</v>
      </c>
      <c r="W11" s="3">
        <f>'Demand by Case'!W11/'Demand by Case'!$C11</f>
        <v>1.1643147853239657</v>
      </c>
      <c r="X11" s="3">
        <f>'Demand by Case'!X11/'Demand by Case'!$C11</f>
        <v>1.1821905277127243</v>
      </c>
      <c r="Y11" s="3">
        <f>'Demand by Case'!Y11/'Demand by Case'!$C11</f>
        <v>1.2053452131147542</v>
      </c>
      <c r="Z11" s="3">
        <f>'Demand by Case'!Z11/'Demand by Case'!$C11</f>
        <v>1.2297044738485556</v>
      </c>
      <c r="AA11" s="3">
        <f>'Demand by Case'!AA11/'Demand by Case'!$C11</f>
        <v>1.2572416057767368</v>
      </c>
      <c r="AB11" s="3">
        <f>'Demand by Case'!AB11/'Demand by Case'!$C11</f>
        <v>1.2855879422326306</v>
      </c>
      <c r="AC11" s="3">
        <f>'Demand by Case'!AC11/'Demand by Case'!$C11</f>
        <v>1.3148456057767368</v>
      </c>
      <c r="AD11" s="3">
        <f>'Demand by Case'!AD11/'Demand by Case'!$C11</f>
        <v>1.3438168337236531</v>
      </c>
      <c r="AE11" s="3">
        <f>'Demand by Case'!AE11/'Demand by Case'!$C11</f>
        <v>1.3719158594847776</v>
      </c>
      <c r="AF11" s="3">
        <f>'Demand by Case'!AF11/'Demand by Case'!$C11</f>
        <v>1.399901351288056</v>
      </c>
      <c r="AG11" s="3">
        <f>'Demand by Case'!AG11/'Demand by Case'!$C11</f>
        <v>1.4267206096799374</v>
      </c>
      <c r="AH11" s="3">
        <f>'Demand by Case'!AH11/'Demand by Case'!$C11</f>
        <v>1.4520816471506632</v>
      </c>
      <c r="AI11" s="3">
        <f>'Demand by Case'!AI11/'Demand by Case'!$C11</f>
        <v>1.4760840725995314</v>
      </c>
      <c r="AJ11" s="3">
        <f>'Demand by Case'!AJ11/'Demand by Case'!$C11</f>
        <v>1.4988091530054646</v>
      </c>
      <c r="AK11" s="3">
        <f>'Demand by Case'!AK11/'Demand by Case'!$C11</f>
        <v>1.519899362997658</v>
      </c>
      <c r="AL11" s="3">
        <f>'Demand by Case'!AL11/'Demand by Case'!$C11</f>
        <v>1.5403434676034347</v>
      </c>
      <c r="AM11" s="3">
        <f>'Demand by Case'!AM11/'Demand by Case'!$C11</f>
        <v>1.5602183497267761</v>
      </c>
      <c r="AN11" s="3">
        <f>'Demand by Case'!AN11/'Demand by Case'!$C11</f>
        <v>1.5806704402810305</v>
      </c>
      <c r="AO11" s="3">
        <f>'Demand by Case'!AO11/'Demand by Case'!$C11</f>
        <v>1.6020320304449649</v>
      </c>
      <c r="AP11" s="3">
        <f>'Demand by Case'!AP11/'Demand by Case'!$C11</f>
        <v>1.6240689211553474</v>
      </c>
      <c r="AQ11" s="3">
        <f>'Demand by Case'!AQ11/'Demand by Case'!$C11</f>
        <v>1.6470536557377047</v>
      </c>
    </row>
    <row r="12" spans="1:43" s="4" customFormat="1" x14ac:dyDescent="0.25">
      <c r="A12" s="4" t="s">
        <v>12</v>
      </c>
      <c r="B12" t="s">
        <v>49</v>
      </c>
      <c r="C12">
        <f>'Demand by Case'!C12/'Demand by Case'!$C12</f>
        <v>1</v>
      </c>
      <c r="D12">
        <f>'Demand by Case'!D12/'Demand by Case'!$C12</f>
        <v>0.98033571428571442</v>
      </c>
      <c r="E12">
        <f>'Demand by Case'!E12/'Demand by Case'!$C12</f>
        <v>0.97660476190476186</v>
      </c>
      <c r="F12">
        <f>'Demand by Case'!F12/'Demand by Case'!$C12</f>
        <v>0.97862064285714279</v>
      </c>
      <c r="G12">
        <f>'Demand by Case'!G12/'Demand by Case'!$C12</f>
        <v>1.0477504047619048</v>
      </c>
      <c r="H12">
        <f>'Demand by Case'!H12/'Demand by Case'!$C12</f>
        <v>0.97920161904761904</v>
      </c>
      <c r="I12">
        <f>'Demand by Case'!I12/'Demand by Case'!$C12</f>
        <v>0.96889235714285715</v>
      </c>
      <c r="J12">
        <f>'Demand by Case'!J12/'Demand by Case'!$C12</f>
        <v>1.0263139523809524</v>
      </c>
      <c r="K12">
        <f>'Demand by Case'!K12/'Demand by Case'!$C12</f>
        <v>1.0146719047619048</v>
      </c>
      <c r="L12">
        <f>'Demand by Case'!L12/'Demand by Case'!$C12</f>
        <v>0.96095602380952383</v>
      </c>
      <c r="M12">
        <f>'Demand by Case'!M12/'Demand by Case'!$C12</f>
        <v>0.95464828571428573</v>
      </c>
      <c r="N12">
        <f>'Demand by Case'!N12/'Demand by Case'!$C12</f>
        <v>0.97226390476190483</v>
      </c>
      <c r="O12">
        <f>'Demand by Case'!O12/'Demand by Case'!$C12</f>
        <v>0.98696050000000013</v>
      </c>
      <c r="P12">
        <f>'Demand by Case'!P12/'Demand by Case'!$C12</f>
        <v>0.97107507142857152</v>
      </c>
      <c r="Q12">
        <f>'Demand by Case'!Q12/'Demand by Case'!$C12</f>
        <v>0.9941050952380952</v>
      </c>
      <c r="R12">
        <f>'Demand by Case'!R12/'Demand by Case'!$C12</f>
        <v>0.99711283333333334</v>
      </c>
      <c r="S12">
        <f>'Demand by Case'!S12/'Demand by Case'!$C12</f>
        <v>1.0086071428571428</v>
      </c>
      <c r="T12">
        <f>'Demand by Case'!T12/'Demand by Case'!$C12</f>
        <v>1.0335638333333335</v>
      </c>
      <c r="U12">
        <f>'Demand by Case'!U12/'Demand by Case'!$C12</f>
        <v>1.0551790238095238</v>
      </c>
      <c r="V12">
        <f>'Demand by Case'!V12/'Demand by Case'!$C12</f>
        <v>1.0802975238095238</v>
      </c>
      <c r="W12">
        <f>'Demand by Case'!W12/'Demand by Case'!$C12</f>
        <v>1.1023400952380953</v>
      </c>
      <c r="X12">
        <f>'Demand by Case'!X12/'Demand by Case'!$C12</f>
        <v>1.1262133333333335</v>
      </c>
      <c r="Y12">
        <f>'Demand by Case'!Y12/'Demand by Case'!$C12</f>
        <v>1.150219261904762</v>
      </c>
      <c r="Z12">
        <f>'Demand by Case'!Z12/'Demand by Case'!$C12</f>
        <v>1.1717785714285716</v>
      </c>
      <c r="AA12">
        <f>'Demand by Case'!AA12/'Demand by Case'!$C12</f>
        <v>1.1960665476190477</v>
      </c>
      <c r="AB12">
        <f>'Demand by Case'!AB12/'Demand by Case'!$C12</f>
        <v>1.2230590952380953</v>
      </c>
      <c r="AC12">
        <f>'Demand by Case'!AC12/'Demand by Case'!$C12</f>
        <v>1.2524717142857142</v>
      </c>
      <c r="AD12">
        <f>'Demand by Case'!AD12/'Demand by Case'!$C12</f>
        <v>1.2826118095238095</v>
      </c>
      <c r="AE12">
        <f>'Demand by Case'!AE12/'Demand by Case'!$C12</f>
        <v>1.3121475714285715</v>
      </c>
      <c r="AF12">
        <f>'Demand by Case'!AF12/'Demand by Case'!$C12</f>
        <v>1.3411654047619048</v>
      </c>
      <c r="AG12">
        <f>'Demand by Case'!AG12/'Demand by Case'!$C12</f>
        <v>1.3671143809523811</v>
      </c>
      <c r="AH12">
        <f>'Demand by Case'!AH12/'Demand by Case'!$C12</f>
        <v>1.3917845238095239</v>
      </c>
      <c r="AI12">
        <f>'Demand by Case'!AI12/'Demand by Case'!$C12</f>
        <v>1.4156387380952382</v>
      </c>
      <c r="AJ12">
        <f>'Demand by Case'!AJ12/'Demand by Case'!$C12</f>
        <v>1.4404952142857144</v>
      </c>
      <c r="AK12">
        <f>'Demand by Case'!AK12/'Demand by Case'!$C12</f>
        <v>1.4614386428571429</v>
      </c>
      <c r="AL12">
        <f>'Demand by Case'!AL12/'Demand by Case'!$C12</f>
        <v>1.4819120000000001</v>
      </c>
      <c r="AM12">
        <f>'Demand by Case'!AM12/'Demand by Case'!$C12</f>
        <v>1.5018958333333332</v>
      </c>
      <c r="AN12">
        <f>'Demand by Case'!AN12/'Demand by Case'!$C12</f>
        <v>1.5226592619047619</v>
      </c>
      <c r="AO12">
        <f>'Demand by Case'!AO12/'Demand by Case'!$C12</f>
        <v>1.5427577619047619</v>
      </c>
      <c r="AP12">
        <f>'Demand by Case'!AP12/'Demand by Case'!$C12</f>
        <v>1.5638981666666669</v>
      </c>
      <c r="AQ12">
        <f>'Demand by Case'!AQ12/'Demand by Case'!$C12</f>
        <v>1.5865919047619048</v>
      </c>
    </row>
    <row r="13" spans="1:43" x14ac:dyDescent="0.25">
      <c r="A13" t="s">
        <v>12</v>
      </c>
      <c r="B13" t="s">
        <v>50</v>
      </c>
      <c r="C13">
        <f>'Demand by Case'!C13/'Demand by Case'!$C13</f>
        <v>1</v>
      </c>
      <c r="D13">
        <f>'Demand by Case'!D13/'Demand by Case'!$C13</f>
        <v>0.99147716535433073</v>
      </c>
      <c r="E13">
        <f>'Demand by Case'!E13/'Demand by Case'!$C13</f>
        <v>0.97477401574803146</v>
      </c>
      <c r="F13">
        <f>'Demand by Case'!F13/'Demand by Case'!$C13</f>
        <v>0.97483944881889761</v>
      </c>
      <c r="G13">
        <f>'Demand by Case'!G13/'Demand by Case'!$C13</f>
        <v>0.99805462204724416</v>
      </c>
      <c r="H13">
        <f>'Demand by Case'!H13/'Demand by Case'!$C13</f>
        <v>0.99752583464566913</v>
      </c>
      <c r="I13">
        <f>'Demand by Case'!I13/'Demand by Case'!$C13</f>
        <v>0.99184159055118126</v>
      </c>
      <c r="J13">
        <f>'Demand by Case'!J13/'Demand by Case'!$C13</f>
        <v>0.97399899212598418</v>
      </c>
      <c r="K13">
        <f>'Demand by Case'!K13/'Demand by Case'!$C13</f>
        <v>1.0047385984251969</v>
      </c>
      <c r="L13">
        <f>'Demand by Case'!L13/'Demand by Case'!$C13</f>
        <v>0.99160007086614177</v>
      </c>
      <c r="M13">
        <f>'Demand by Case'!M13/'Demand by Case'!$C13</f>
        <v>0.94862581889763775</v>
      </c>
      <c r="N13">
        <f>'Demand by Case'!N13/'Demand by Case'!$C13</f>
        <v>0.98288397637795277</v>
      </c>
      <c r="O13">
        <f>'Demand by Case'!O13/'Demand by Case'!$C13</f>
        <v>1.0043778976377953</v>
      </c>
      <c r="P13">
        <f>'Demand by Case'!P13/'Demand by Case'!$C13</f>
        <v>0.98741666141732276</v>
      </c>
      <c r="Q13">
        <f>'Demand by Case'!Q13/'Demand by Case'!$C13</f>
        <v>0.99509318897637788</v>
      </c>
      <c r="R13">
        <f>'Demand by Case'!R13/'Demand by Case'!$C13</f>
        <v>1.0117414015748032</v>
      </c>
      <c r="S13">
        <f>'Demand by Case'!S13/'Demand by Case'!$C13</f>
        <v>1.0251708188976378</v>
      </c>
      <c r="T13">
        <f>'Demand by Case'!T13/'Demand by Case'!$C13</f>
        <v>1.0439445354330708</v>
      </c>
      <c r="U13">
        <f>'Demand by Case'!U13/'Demand by Case'!$C13</f>
        <v>1.0604575905511811</v>
      </c>
      <c r="V13">
        <f>'Demand by Case'!V13/'Demand by Case'!$C13</f>
        <v>1.081294496062992</v>
      </c>
      <c r="W13">
        <f>'Demand by Case'!W13/'Demand by Case'!$C13</f>
        <v>1.099582244094488</v>
      </c>
      <c r="X13">
        <f>'Demand by Case'!X13/'Demand by Case'!$C13</f>
        <v>1.1212056456692912</v>
      </c>
      <c r="Y13">
        <f>'Demand by Case'!Y13/'Demand by Case'!$C13</f>
        <v>1.1442730236220473</v>
      </c>
      <c r="Z13">
        <f>'Demand by Case'!Z13/'Demand by Case'!$C13</f>
        <v>1.1664349999999999</v>
      </c>
      <c r="AA13">
        <f>'Demand by Case'!AA13/'Demand by Case'!$C13</f>
        <v>1.1908220551181101</v>
      </c>
      <c r="AB13">
        <f>'Demand by Case'!AB13/'Demand by Case'!$C13</f>
        <v>1.2174757322834644</v>
      </c>
      <c r="AC13">
        <f>'Demand by Case'!AC13/'Demand by Case'!$C13</f>
        <v>1.2459270551181101</v>
      </c>
      <c r="AD13">
        <f>'Demand by Case'!AD13/'Demand by Case'!$C13</f>
        <v>1.2753497952755903</v>
      </c>
      <c r="AE13">
        <f>'Demand by Case'!AE13/'Demand by Case'!$C13</f>
        <v>1.3043605590551179</v>
      </c>
      <c r="AF13">
        <f>'Demand by Case'!AF13/'Demand by Case'!$C13</f>
        <v>1.3331898425196851</v>
      </c>
      <c r="AG13">
        <f>'Demand by Case'!AG13/'Demand by Case'!$C13</f>
        <v>1.3578552913385826</v>
      </c>
      <c r="AH13">
        <f>'Demand by Case'!AH13/'Demand by Case'!$C13</f>
        <v>1.3803115354330708</v>
      </c>
      <c r="AI13">
        <f>'Demand by Case'!AI13/'Demand by Case'!$C13</f>
        <v>1.4026725826771653</v>
      </c>
      <c r="AJ13">
        <f>'Demand by Case'!AJ13/'Demand by Case'!$C13</f>
        <v>1.4241704488188978</v>
      </c>
      <c r="AK13">
        <f>'Demand by Case'!AK13/'Demand by Case'!$C13</f>
        <v>1.4450836377952756</v>
      </c>
      <c r="AL13">
        <f>'Demand by Case'!AL13/'Demand by Case'!$C13</f>
        <v>1.4664359842519685</v>
      </c>
      <c r="AM13">
        <f>'Demand by Case'!AM13/'Demand by Case'!$C13</f>
        <v>1.4880189133858268</v>
      </c>
      <c r="AN13">
        <f>'Demand by Case'!AN13/'Demand by Case'!$C13</f>
        <v>1.5103505196850393</v>
      </c>
      <c r="AO13">
        <f>'Demand by Case'!AO13/'Demand by Case'!$C13</f>
        <v>1.5319758031496062</v>
      </c>
      <c r="AP13">
        <f>'Demand by Case'!AP13/'Demand by Case'!$C13</f>
        <v>1.5545637244094488</v>
      </c>
      <c r="AQ13">
        <f>'Demand by Case'!AQ13/'Demand by Case'!$C13</f>
        <v>1.5790139291338581</v>
      </c>
    </row>
    <row r="14" spans="1:43" x14ac:dyDescent="0.25">
      <c r="A14" t="s">
        <v>12</v>
      </c>
      <c r="B14" t="s">
        <v>51</v>
      </c>
      <c r="C14">
        <f>'Demand by Case'!C14/'Demand by Case'!$C14</f>
        <v>1</v>
      </c>
      <c r="D14">
        <f>'Demand by Case'!D14/'Demand by Case'!$C14</f>
        <v>0.99989949238578679</v>
      </c>
      <c r="E14">
        <f>'Demand by Case'!E14/'Demand by Case'!$C14</f>
        <v>0.99592791878172593</v>
      </c>
      <c r="F14">
        <f>'Demand by Case'!F14/'Demand by Case'!$C14</f>
        <v>0.97961287309644673</v>
      </c>
      <c r="G14">
        <f>'Demand by Case'!G14/'Demand by Case'!$C14</f>
        <v>0.98759181218274106</v>
      </c>
      <c r="H14">
        <f>'Demand by Case'!H14/'Demand by Case'!$C14</f>
        <v>0.9658102893401016</v>
      </c>
      <c r="I14">
        <f>'Demand by Case'!I14/'Demand by Case'!$C14</f>
        <v>0.96649623857868028</v>
      </c>
      <c r="J14">
        <f>'Demand by Case'!J14/'Demand by Case'!$C14</f>
        <v>0.95162858883248735</v>
      </c>
      <c r="K14">
        <f>'Demand by Case'!K14/'Demand by Case'!$C14</f>
        <v>0.98434028426395936</v>
      </c>
      <c r="L14">
        <f>'Demand by Case'!L14/'Demand by Case'!$C14</f>
        <v>0.95670281218274111</v>
      </c>
      <c r="M14">
        <f>'Demand by Case'!M14/'Demand by Case'!$C14</f>
        <v>0.93690438071065996</v>
      </c>
      <c r="N14">
        <f>'Demand by Case'!N14/'Demand by Case'!$C14</f>
        <v>0.9643200609137057</v>
      </c>
      <c r="O14">
        <f>'Demand by Case'!O14/'Demand by Case'!$C14</f>
        <v>0.96249843654822342</v>
      </c>
      <c r="P14">
        <f>'Demand by Case'!P14/'Demand by Case'!$C14</f>
        <v>0.95559616751269039</v>
      </c>
      <c r="Q14">
        <f>'Demand by Case'!Q14/'Demand by Case'!$C14</f>
        <v>0.96617514720812181</v>
      </c>
      <c r="R14">
        <f>'Demand by Case'!R14/'Demand by Case'!$C14</f>
        <v>0.98554594416243657</v>
      </c>
      <c r="S14">
        <f>'Demand by Case'!S14/'Demand by Case'!$C14</f>
        <v>1.0002471573604061</v>
      </c>
      <c r="T14">
        <f>'Demand by Case'!T14/'Demand by Case'!$C14</f>
        <v>1.0159196598984772</v>
      </c>
      <c r="U14">
        <f>'Demand by Case'!U14/'Demand by Case'!$C14</f>
        <v>1.0268065329949239</v>
      </c>
      <c r="V14">
        <f>'Demand by Case'!V14/'Demand by Case'!$C14</f>
        <v>1.042159467005076</v>
      </c>
      <c r="W14">
        <f>'Demand by Case'!W14/'Demand by Case'!$C14</f>
        <v>1.0574829796954315</v>
      </c>
      <c r="X14">
        <f>'Demand by Case'!X14/'Demand by Case'!$C14</f>
        <v>1.0738243045685278</v>
      </c>
      <c r="Y14">
        <f>'Demand by Case'!Y14/'Demand by Case'!$C14</f>
        <v>1.0952483096446701</v>
      </c>
      <c r="Z14">
        <f>'Demand by Case'!Z14/'Demand by Case'!$C14</f>
        <v>1.1168274416243655</v>
      </c>
      <c r="AA14">
        <f>'Demand by Case'!AA14/'Demand by Case'!$C14</f>
        <v>1.1423765786802029</v>
      </c>
      <c r="AB14">
        <f>'Demand by Case'!AB14/'Demand by Case'!$C14</f>
        <v>1.1691299441624368</v>
      </c>
      <c r="AC14">
        <f>'Demand by Case'!AC14/'Demand by Case'!$C14</f>
        <v>1.1952675076142134</v>
      </c>
      <c r="AD14">
        <f>'Demand by Case'!AD14/'Demand by Case'!$C14</f>
        <v>1.2202367106598986</v>
      </c>
      <c r="AE14">
        <f>'Demand by Case'!AE14/'Demand by Case'!$C14</f>
        <v>1.2455995939086295</v>
      </c>
      <c r="AF14">
        <f>'Demand by Case'!AF14/'Demand by Case'!$C14</f>
        <v>1.2708808883248732</v>
      </c>
      <c r="AG14">
        <f>'Demand by Case'!AG14/'Demand by Case'!$C14</f>
        <v>1.2921274010152286</v>
      </c>
      <c r="AH14">
        <f>'Demand by Case'!AH14/'Demand by Case'!$C14</f>
        <v>1.3115077715736041</v>
      </c>
      <c r="AI14">
        <f>'Demand by Case'!AI14/'Demand by Case'!$C14</f>
        <v>1.3320626040609138</v>
      </c>
      <c r="AJ14">
        <f>'Demand by Case'!AJ14/'Demand by Case'!$C14</f>
        <v>1.3513059847715736</v>
      </c>
      <c r="AK14">
        <f>'Demand by Case'!AK14/'Demand by Case'!$C14</f>
        <v>1.3703962436548225</v>
      </c>
      <c r="AL14">
        <f>'Demand by Case'!AL14/'Demand by Case'!$C14</f>
        <v>1.3889741472081216</v>
      </c>
      <c r="AM14">
        <f>'Demand by Case'!AM14/'Demand by Case'!$C14</f>
        <v>1.4082847055837564</v>
      </c>
      <c r="AN14">
        <f>'Demand by Case'!AN14/'Demand by Case'!$C14</f>
        <v>1.427667076142132</v>
      </c>
      <c r="AO14">
        <f>'Demand by Case'!AO14/'Demand by Case'!$C14</f>
        <v>1.4461662030456852</v>
      </c>
      <c r="AP14">
        <f>'Demand by Case'!AP14/'Demand by Case'!$C14</f>
        <v>1.465318152284264</v>
      </c>
      <c r="AQ14">
        <f>'Demand by Case'!AQ14/'Demand by Case'!$C14</f>
        <v>1.4857721065989848</v>
      </c>
    </row>
    <row r="15" spans="1:43" x14ac:dyDescent="0.25">
      <c r="A15" t="s">
        <v>12</v>
      </c>
      <c r="B15" t="s">
        <v>52</v>
      </c>
      <c r="C15">
        <f>'Demand by Case'!C15/'Demand by Case'!$C15</f>
        <v>1</v>
      </c>
      <c r="D15">
        <f>'Demand by Case'!D15/'Demand by Case'!$C15</f>
        <v>1.0012472582253242</v>
      </c>
      <c r="E15">
        <f>'Demand by Case'!E15/'Demand by Case'!$C15</f>
        <v>0.99929411764705889</v>
      </c>
      <c r="F15">
        <f>'Demand by Case'!F15/'Demand by Case'!$C15</f>
        <v>0.99940586241276186</v>
      </c>
      <c r="G15">
        <f>'Demand by Case'!G15/'Demand by Case'!$C15</f>
        <v>1.0313824626121637</v>
      </c>
      <c r="H15">
        <f>'Demand by Case'!H15/'Demand by Case'!$C15</f>
        <v>1.0114272881355932</v>
      </c>
      <c r="I15">
        <f>'Demand by Case'!I15/'Demand by Case'!$C15</f>
        <v>1.0067296709870388</v>
      </c>
      <c r="J15">
        <f>'Demand by Case'!J15/'Demand by Case'!$C15</f>
        <v>1.0016278065802593</v>
      </c>
      <c r="K15">
        <f>'Demand by Case'!K15/'Demand by Case'!$C15</f>
        <v>1.0378296610169493</v>
      </c>
      <c r="L15">
        <f>'Demand by Case'!L15/'Demand by Case'!$C15</f>
        <v>1.0280161016949152</v>
      </c>
      <c r="M15">
        <f>'Demand by Case'!M15/'Demand by Case'!$C15</f>
        <v>1.0004537686939183</v>
      </c>
      <c r="N15">
        <f>'Demand by Case'!N15/'Demand by Case'!$C15</f>
        <v>1.0473289631106681</v>
      </c>
      <c r="O15">
        <f>'Demand by Case'!O15/'Demand by Case'!$C15</f>
        <v>1.0695015154536391</v>
      </c>
      <c r="P15">
        <f>'Demand by Case'!P15/'Demand by Case'!$C15</f>
        <v>1.0584672183449653</v>
      </c>
      <c r="Q15">
        <f>'Demand by Case'!Q15/'Demand by Case'!$C15</f>
        <v>1.1037005682951149</v>
      </c>
      <c r="R15">
        <f>'Demand by Case'!R15/'Demand by Case'!$C15</f>
        <v>1.1216298404785643</v>
      </c>
      <c r="S15">
        <f>'Demand by Case'!S15/'Demand by Case'!$C15</f>
        <v>1.1178162013958128</v>
      </c>
      <c r="T15">
        <f>'Demand by Case'!T15/'Demand by Case'!$C15</f>
        <v>1.1295946261216352</v>
      </c>
      <c r="U15">
        <f>'Demand by Case'!U15/'Demand by Case'!$C15</f>
        <v>1.137470857427717</v>
      </c>
      <c r="V15">
        <f>'Demand by Case'!V15/'Demand by Case'!$C15</f>
        <v>1.1535353339980061</v>
      </c>
      <c r="W15">
        <f>'Demand by Case'!W15/'Demand by Case'!$C15</f>
        <v>1.1712152841475574</v>
      </c>
      <c r="X15">
        <f>'Demand by Case'!X15/'Demand by Case'!$C15</f>
        <v>1.190383898305085</v>
      </c>
      <c r="Y15">
        <f>'Demand by Case'!Y15/'Demand by Case'!$C15</f>
        <v>1.2150210967098707</v>
      </c>
      <c r="Z15">
        <f>'Demand by Case'!Z15/'Demand by Case'!$C15</f>
        <v>1.2411808374875375</v>
      </c>
      <c r="AA15">
        <f>'Demand by Case'!AA15/'Demand by Case'!$C15</f>
        <v>1.2712201694915255</v>
      </c>
      <c r="AB15">
        <f>'Demand by Case'!AB15/'Demand by Case'!$C15</f>
        <v>1.3026822333000998</v>
      </c>
      <c r="AC15">
        <f>'Demand by Case'!AC15/'Demand by Case'!$C15</f>
        <v>1.3327631904287141</v>
      </c>
      <c r="AD15">
        <f>'Demand by Case'!AD15/'Demand by Case'!$C15</f>
        <v>1.361422741774676</v>
      </c>
      <c r="AE15">
        <f>'Demand by Case'!AE15/'Demand by Case'!$C15</f>
        <v>1.3904938883349951</v>
      </c>
      <c r="AF15">
        <f>'Demand by Case'!AF15/'Demand by Case'!$C15</f>
        <v>1.4188858424725823</v>
      </c>
      <c r="AG15">
        <f>'Demand by Case'!AG15/'Demand by Case'!$C15</f>
        <v>1.4432890229312065</v>
      </c>
      <c r="AH15">
        <f>'Demand by Case'!AH15/'Demand by Case'!$C15</f>
        <v>1.4670417148554338</v>
      </c>
      <c r="AI15">
        <f>'Demand by Case'!AI15/'Demand by Case'!$C15</f>
        <v>1.4925792023928217</v>
      </c>
      <c r="AJ15">
        <f>'Demand by Case'!AJ15/'Demand by Case'!$C15</f>
        <v>1.5168736889332006</v>
      </c>
      <c r="AK15">
        <f>'Demand by Case'!AK15/'Demand by Case'!$C15</f>
        <v>1.5408899601196411</v>
      </c>
      <c r="AL15">
        <f>'Demand by Case'!AL15/'Demand by Case'!$C15</f>
        <v>1.5640287038883351</v>
      </c>
      <c r="AM15">
        <f>'Demand by Case'!AM15/'Demand by Case'!$C15</f>
        <v>1.587235822532403</v>
      </c>
      <c r="AN15">
        <f>'Demand by Case'!AN15/'Demand by Case'!$C15</f>
        <v>1.610977308075773</v>
      </c>
      <c r="AO15">
        <f>'Demand by Case'!AO15/'Demand by Case'!$C15</f>
        <v>1.6348156131605187</v>
      </c>
      <c r="AP15">
        <f>'Demand by Case'!AP15/'Demand by Case'!$C15</f>
        <v>1.6598995812562314</v>
      </c>
      <c r="AQ15">
        <f>'Demand by Case'!AQ15/'Demand by Case'!$C15</f>
        <v>1.6869016949152544</v>
      </c>
    </row>
    <row r="16" spans="1:43" x14ac:dyDescent="0.25">
      <c r="A16" t="s">
        <v>12</v>
      </c>
      <c r="B16" t="s">
        <v>53</v>
      </c>
      <c r="C16">
        <f>'Demand by Case'!C16/'Demand by Case'!$C16</f>
        <v>1</v>
      </c>
      <c r="D16">
        <f>'Demand by Case'!D16/'Demand by Case'!$C16</f>
        <v>0.97065293072824155</v>
      </c>
      <c r="E16">
        <f>'Demand by Case'!E16/'Demand by Case'!$C16</f>
        <v>0.94602912966252228</v>
      </c>
      <c r="F16">
        <f>'Demand by Case'!F16/'Demand by Case'!$C16</f>
        <v>0.95058492362344582</v>
      </c>
      <c r="G16">
        <f>'Demand by Case'!G16/'Demand by Case'!$C16</f>
        <v>0.96732873889875681</v>
      </c>
      <c r="H16">
        <f>'Demand by Case'!H16/'Demand by Case'!$C16</f>
        <v>0.9659685293072825</v>
      </c>
      <c r="I16">
        <f>'Demand by Case'!I16/'Demand by Case'!$C16</f>
        <v>0.96996002486678512</v>
      </c>
      <c r="J16">
        <f>'Demand by Case'!J16/'Demand by Case'!$C16</f>
        <v>0.95207675666074609</v>
      </c>
      <c r="K16">
        <f>'Demand by Case'!K16/'Demand by Case'!$C16</f>
        <v>0.98890766962699828</v>
      </c>
      <c r="L16">
        <f>'Demand by Case'!L16/'Demand by Case'!$C16</f>
        <v>0.99061843339253997</v>
      </c>
      <c r="M16">
        <f>'Demand by Case'!M16/'Demand by Case'!$C16</f>
        <v>0.96153328952042638</v>
      </c>
      <c r="N16">
        <f>'Demand by Case'!N16/'Demand by Case'!$C16</f>
        <v>1.0039437833037299</v>
      </c>
      <c r="O16">
        <f>'Demand by Case'!O16/'Demand by Case'!$C16</f>
        <v>1.0352651083481352</v>
      </c>
      <c r="P16">
        <f>'Demand by Case'!P16/'Demand by Case'!$C16</f>
        <v>1.0315260746003554</v>
      </c>
      <c r="Q16">
        <f>'Demand by Case'!Q16/'Demand by Case'!$C16</f>
        <v>1.0589101314387213</v>
      </c>
      <c r="R16">
        <f>'Demand by Case'!R16/'Demand by Case'!$C16</f>
        <v>1.0709441563055062</v>
      </c>
      <c r="S16">
        <f>'Demand by Case'!S16/'Demand by Case'!$C16</f>
        <v>1.0829351332149202</v>
      </c>
      <c r="T16">
        <f>'Demand by Case'!T16/'Demand by Case'!$C16</f>
        <v>1.1004124831261102</v>
      </c>
      <c r="U16">
        <f>'Demand by Case'!U16/'Demand by Case'!$C16</f>
        <v>1.1151502593250444</v>
      </c>
      <c r="V16">
        <f>'Demand by Case'!V16/'Demand by Case'!$C16</f>
        <v>1.1352658650088809</v>
      </c>
      <c r="W16">
        <f>'Demand by Case'!W16/'Demand by Case'!$C16</f>
        <v>1.1544511758436946</v>
      </c>
      <c r="X16">
        <f>'Demand by Case'!X16/'Demand by Case'!$C16</f>
        <v>1.1741677975133213</v>
      </c>
      <c r="Y16">
        <f>'Demand by Case'!Y16/'Demand by Case'!$C16</f>
        <v>1.1970550159857904</v>
      </c>
      <c r="Z16">
        <f>'Demand by Case'!Z16/'Demand by Case'!$C16</f>
        <v>1.2200856269982239</v>
      </c>
      <c r="AA16">
        <f>'Demand by Case'!AA16/'Demand by Case'!$C16</f>
        <v>1.2443413428063943</v>
      </c>
      <c r="AB16">
        <f>'Demand by Case'!AB16/'Demand by Case'!$C16</f>
        <v>1.2689891971580818</v>
      </c>
      <c r="AC16">
        <f>'Demand by Case'!AC16/'Demand by Case'!$C16</f>
        <v>1.2951847779751333</v>
      </c>
      <c r="AD16">
        <f>'Demand by Case'!AD16/'Demand by Case'!$C16</f>
        <v>1.3230263090586145</v>
      </c>
      <c r="AE16">
        <f>'Demand by Case'!AE16/'Demand by Case'!$C16</f>
        <v>1.351931570159858</v>
      </c>
      <c r="AF16">
        <f>'Demand by Case'!AF16/'Demand by Case'!$C16</f>
        <v>1.3813726962699824</v>
      </c>
      <c r="AG16">
        <f>'Demand by Case'!AG16/'Demand by Case'!$C16</f>
        <v>1.4077348063943163</v>
      </c>
      <c r="AH16">
        <f>'Demand by Case'!AH16/'Demand by Case'!$C16</f>
        <v>1.4319956873889876</v>
      </c>
      <c r="AI16">
        <f>'Demand by Case'!AI16/'Demand by Case'!$C16</f>
        <v>1.4563174742451153</v>
      </c>
      <c r="AJ16">
        <f>'Demand by Case'!AJ16/'Demand by Case'!$C16</f>
        <v>1.4801494777975133</v>
      </c>
      <c r="AK16">
        <f>'Demand by Case'!AK16/'Demand by Case'!$C16</f>
        <v>1.503268706927176</v>
      </c>
      <c r="AL16">
        <f>'Demand by Case'!AL16/'Demand by Case'!$C16</f>
        <v>1.5263225506216695</v>
      </c>
      <c r="AM16">
        <f>'Demand by Case'!AM16/'Demand by Case'!$C16</f>
        <v>1.5488591687388988</v>
      </c>
      <c r="AN16">
        <f>'Demand by Case'!AN16/'Demand by Case'!$C16</f>
        <v>1.5724242238010659</v>
      </c>
      <c r="AO16">
        <f>'Demand by Case'!AO16/'Demand by Case'!$C16</f>
        <v>1.5969553001776198</v>
      </c>
      <c r="AP16">
        <f>'Demand by Case'!AP16/'Demand by Case'!$C16</f>
        <v>1.6228931580817052</v>
      </c>
      <c r="AQ16">
        <f>'Demand by Case'!AQ16/'Demand by Case'!$C16</f>
        <v>1.6507383268206037</v>
      </c>
    </row>
    <row r="17" spans="1:43" x14ac:dyDescent="0.25">
      <c r="A17" t="s">
        <v>12</v>
      </c>
      <c r="B17" t="s">
        <v>54</v>
      </c>
      <c r="C17">
        <f>'Demand by Case'!C17/'Demand by Case'!$C17</f>
        <v>1</v>
      </c>
      <c r="D17">
        <f>'Demand by Case'!D17/'Demand by Case'!$C17</f>
        <v>0.97331423611111123</v>
      </c>
      <c r="E17">
        <f>'Demand by Case'!E17/'Demand by Case'!$C17</f>
        <v>0.94785850694444451</v>
      </c>
      <c r="F17">
        <f>'Demand by Case'!F17/'Demand by Case'!$C17</f>
        <v>0.97198305555555553</v>
      </c>
      <c r="G17">
        <f>'Demand by Case'!G17/'Demand by Case'!$C17</f>
        <v>0.94596574652777776</v>
      </c>
      <c r="H17">
        <f>'Demand by Case'!H17/'Demand by Case'!$C17</f>
        <v>0.91021555555555567</v>
      </c>
      <c r="I17">
        <f>'Demand by Case'!I17/'Demand by Case'!$C17</f>
        <v>0.90069445312500007</v>
      </c>
      <c r="J17">
        <f>'Demand by Case'!J17/'Demand by Case'!$C17</f>
        <v>0.87297773437500015</v>
      </c>
      <c r="K17">
        <f>'Demand by Case'!K17/'Demand by Case'!$C17</f>
        <v>0.91949192708333349</v>
      </c>
      <c r="L17">
        <f>'Demand by Case'!L17/'Demand by Case'!$C17</f>
        <v>0.91385724826388903</v>
      </c>
      <c r="M17">
        <f>'Demand by Case'!M17/'Demand by Case'!$C17</f>
        <v>0.86933614583333341</v>
      </c>
      <c r="N17">
        <f>'Demand by Case'!N17/'Demand by Case'!$C17</f>
        <v>0.90817804687499992</v>
      </c>
      <c r="O17">
        <f>'Demand by Case'!O17/'Demand by Case'!$C17</f>
        <v>0.92291172743055572</v>
      </c>
      <c r="P17">
        <f>'Demand by Case'!P17/'Demand by Case'!$C17</f>
        <v>0.91799208333333338</v>
      </c>
      <c r="Q17">
        <f>'Demand by Case'!Q17/'Demand by Case'!$C17</f>
        <v>0.92265727430555577</v>
      </c>
      <c r="R17">
        <f>'Demand by Case'!R17/'Demand by Case'!$C17</f>
        <v>0.92226048611111133</v>
      </c>
      <c r="S17">
        <f>'Demand by Case'!S17/'Demand by Case'!$C17</f>
        <v>0.94832346354166663</v>
      </c>
      <c r="T17">
        <f>'Demand by Case'!T17/'Demand by Case'!$C17</f>
        <v>0.96383835069444446</v>
      </c>
      <c r="U17">
        <f>'Demand by Case'!U17/'Demand by Case'!$C17</f>
        <v>0.97475157986111116</v>
      </c>
      <c r="V17">
        <f>'Demand by Case'!V17/'Demand by Case'!$C17</f>
        <v>0.98586625000000017</v>
      </c>
      <c r="W17">
        <f>'Demand by Case'!W17/'Demand by Case'!$C17</f>
        <v>0.99749578125000005</v>
      </c>
      <c r="X17">
        <f>'Demand by Case'!X17/'Demand by Case'!$C17</f>
        <v>1.0100398350694446</v>
      </c>
      <c r="Y17">
        <f>'Demand by Case'!Y17/'Demand by Case'!$C17</f>
        <v>1.0257572829861112</v>
      </c>
      <c r="Z17">
        <f>'Demand by Case'!Z17/'Demand by Case'!$C17</f>
        <v>1.0419942447916668</v>
      </c>
      <c r="AA17">
        <f>'Demand by Case'!AA17/'Demand by Case'!$C17</f>
        <v>1.0606166753472221</v>
      </c>
      <c r="AB17">
        <f>'Demand by Case'!AB17/'Demand by Case'!$C17</f>
        <v>1.0793255121527778</v>
      </c>
      <c r="AC17">
        <f>'Demand by Case'!AC17/'Demand by Case'!$C17</f>
        <v>1.0993642968749999</v>
      </c>
      <c r="AD17">
        <f>'Demand by Case'!AD17/'Demand by Case'!$C17</f>
        <v>1.1195622916666668</v>
      </c>
      <c r="AE17">
        <f>'Demand by Case'!AE17/'Demand by Case'!$C17</f>
        <v>1.1401483940972224</v>
      </c>
      <c r="AF17">
        <f>'Demand by Case'!AF17/'Demand by Case'!$C17</f>
        <v>1.1603214583333334</v>
      </c>
      <c r="AG17">
        <f>'Demand by Case'!AG17/'Demand by Case'!$C17</f>
        <v>1.176729730902778</v>
      </c>
      <c r="AH17">
        <f>'Demand by Case'!AH17/'Demand by Case'!$C17</f>
        <v>1.1916722656250001</v>
      </c>
      <c r="AI17">
        <f>'Demand by Case'!AI17/'Demand by Case'!$C17</f>
        <v>1.2080797482638888</v>
      </c>
      <c r="AJ17">
        <f>'Demand by Case'!AJ17/'Demand by Case'!$C17</f>
        <v>1.2232032552083334</v>
      </c>
      <c r="AK17">
        <f>'Demand by Case'!AK17/'Demand by Case'!$C17</f>
        <v>1.2366367795138891</v>
      </c>
      <c r="AL17">
        <f>'Demand by Case'!AL17/'Demand by Case'!$C17</f>
        <v>1.2498819444444447</v>
      </c>
      <c r="AM17">
        <f>'Demand by Case'!AM17/'Demand by Case'!$C17</f>
        <v>1.2634953472222221</v>
      </c>
      <c r="AN17">
        <f>'Demand by Case'!AN17/'Demand by Case'!$C17</f>
        <v>1.2799610850694447</v>
      </c>
      <c r="AO17">
        <f>'Demand by Case'!AO17/'Demand by Case'!$C17</f>
        <v>1.2972700000000001</v>
      </c>
      <c r="AP17">
        <f>'Demand by Case'!AP17/'Demand by Case'!$C17</f>
        <v>1.3151726909722223</v>
      </c>
      <c r="AQ17">
        <f>'Demand by Case'!AQ17/'Demand by Case'!$C17</f>
        <v>1.3340586024305556</v>
      </c>
    </row>
    <row r="18" spans="1:43" x14ac:dyDescent="0.25">
      <c r="A18" t="s">
        <v>12</v>
      </c>
      <c r="B18" t="s">
        <v>55</v>
      </c>
      <c r="C18">
        <f>'Demand by Case'!C18/'Demand by Case'!$C18</f>
        <v>1</v>
      </c>
      <c r="D18">
        <f>'Demand by Case'!D18/'Demand by Case'!$C18</f>
        <v>1.0376608</v>
      </c>
      <c r="E18">
        <f>'Demand by Case'!E18/'Demand by Case'!$C18</f>
        <v>1.0125743999999999</v>
      </c>
      <c r="F18">
        <f>'Demand by Case'!F18/'Demand by Case'!$C18</f>
        <v>1.0182481866666666</v>
      </c>
      <c r="G18">
        <f>'Demand by Case'!G18/'Demand by Case'!$C18</f>
        <v>1.08225824</v>
      </c>
      <c r="H18">
        <f>'Demand by Case'!H18/'Demand by Case'!$C18</f>
        <v>1.0904664693333332</v>
      </c>
      <c r="I18">
        <f>'Demand by Case'!I18/'Demand by Case'!$C18</f>
        <v>1.0822011733333334</v>
      </c>
      <c r="J18">
        <f>'Demand by Case'!J18/'Demand by Case'!$C18</f>
        <v>1.0790634346666665</v>
      </c>
      <c r="K18">
        <f>'Demand by Case'!K18/'Demand by Case'!$C18</f>
        <v>1.1318910666666666</v>
      </c>
      <c r="L18">
        <f>'Demand by Case'!L18/'Demand by Case'!$C18</f>
        <v>1.1523093760000001</v>
      </c>
      <c r="M18">
        <f>'Demand by Case'!M18/'Demand by Case'!$C18</f>
        <v>1.106938736</v>
      </c>
      <c r="N18">
        <f>'Demand by Case'!N18/'Demand by Case'!$C18</f>
        <v>1.177562832</v>
      </c>
      <c r="O18">
        <f>'Demand by Case'!O18/'Demand by Case'!$C18</f>
        <v>1.2292982346666668</v>
      </c>
      <c r="P18">
        <f>'Demand by Case'!P18/'Demand by Case'!$C18</f>
        <v>1.1986714986666667</v>
      </c>
      <c r="Q18">
        <f>'Demand by Case'!Q18/'Demand by Case'!$C18</f>
        <v>1.2658711360000001</v>
      </c>
      <c r="R18">
        <f>'Demand by Case'!R18/'Demand by Case'!$C18</f>
        <v>1.2951070986666666</v>
      </c>
      <c r="S18">
        <f>'Demand by Case'!S18/'Demand by Case'!$C18</f>
        <v>1.3175103786666666</v>
      </c>
      <c r="T18">
        <f>'Demand by Case'!T18/'Demand by Case'!$C18</f>
        <v>1.3395139040000001</v>
      </c>
      <c r="U18">
        <f>'Demand by Case'!U18/'Demand by Case'!$C18</f>
        <v>1.3545686613333332</v>
      </c>
      <c r="V18">
        <f>'Demand by Case'!V18/'Demand by Case'!$C18</f>
        <v>1.3762712853333334</v>
      </c>
      <c r="W18">
        <f>'Demand by Case'!W18/'Demand by Case'!$C18</f>
        <v>1.3987084533333334</v>
      </c>
      <c r="X18">
        <f>'Demand by Case'!X18/'Demand by Case'!$C18</f>
        <v>1.421931584</v>
      </c>
      <c r="Y18">
        <f>'Demand by Case'!Y18/'Demand by Case'!$C18</f>
        <v>1.4502457120000001</v>
      </c>
      <c r="Z18">
        <f>'Demand by Case'!Z18/'Demand by Case'!$C18</f>
        <v>1.4805903893333334</v>
      </c>
      <c r="AA18">
        <f>'Demand by Case'!AA18/'Demand by Case'!$C18</f>
        <v>1.5165300799999999</v>
      </c>
      <c r="AB18">
        <f>'Demand by Case'!AB18/'Demand by Case'!$C18</f>
        <v>1.5533429386666666</v>
      </c>
      <c r="AC18">
        <f>'Demand by Case'!AC18/'Demand by Case'!$C18</f>
        <v>1.5932243786666664</v>
      </c>
      <c r="AD18">
        <f>'Demand by Case'!AD18/'Demand by Case'!$C18</f>
        <v>1.6343844479999998</v>
      </c>
      <c r="AE18">
        <f>'Demand by Case'!AE18/'Demand by Case'!$C18</f>
        <v>1.6714357173333336</v>
      </c>
      <c r="AF18">
        <f>'Demand by Case'!AF18/'Demand by Case'!$C18</f>
        <v>1.7079432213333332</v>
      </c>
      <c r="AG18">
        <f>'Demand by Case'!AG18/'Demand by Case'!$C18</f>
        <v>1.736948304</v>
      </c>
      <c r="AH18">
        <f>'Demand by Case'!AH18/'Demand by Case'!$C18</f>
        <v>1.763273136</v>
      </c>
      <c r="AI18">
        <f>'Demand by Case'!AI18/'Demand by Case'!$C18</f>
        <v>1.7928628533333333</v>
      </c>
      <c r="AJ18">
        <f>'Demand by Case'!AJ18/'Demand by Case'!$C18</f>
        <v>1.8220005226666667</v>
      </c>
      <c r="AK18">
        <f>'Demand by Case'!AK18/'Demand by Case'!$C18</f>
        <v>1.849118048</v>
      </c>
      <c r="AL18">
        <f>'Demand by Case'!AL18/'Demand by Case'!$C18</f>
        <v>1.875347664</v>
      </c>
      <c r="AM18">
        <f>'Demand by Case'!AM18/'Demand by Case'!$C18</f>
        <v>1.9015543786666667</v>
      </c>
      <c r="AN18">
        <f>'Demand by Case'!AN18/'Demand by Case'!$C18</f>
        <v>1.9310781386666667</v>
      </c>
      <c r="AO18">
        <f>'Demand by Case'!AO18/'Demand by Case'!$C18</f>
        <v>1.9629561813333332</v>
      </c>
      <c r="AP18">
        <f>'Demand by Case'!AP18/'Demand by Case'!$C18</f>
        <v>1.9968020746666668</v>
      </c>
      <c r="AQ18">
        <f>'Demand by Case'!AQ18/'Demand by Case'!$C18</f>
        <v>2.0323766773333332</v>
      </c>
    </row>
    <row r="19" spans="1:43" x14ac:dyDescent="0.25">
      <c r="A19" t="s">
        <v>12</v>
      </c>
      <c r="B19" t="s">
        <v>8</v>
      </c>
      <c r="C19">
        <f>'Demand by Case'!C19/'Demand by Case'!$C19</f>
        <v>1</v>
      </c>
      <c r="D19">
        <f>'Demand by Case'!D19/'Demand by Case'!$C19</f>
        <v>1.0208786191536749</v>
      </c>
      <c r="E19">
        <f>'Demand by Case'!E19/'Demand by Case'!$C19</f>
        <v>1.0312227171492205</v>
      </c>
      <c r="F19">
        <f>'Demand by Case'!F19/'Demand by Case'!$C19</f>
        <v>1.0271473942093541</v>
      </c>
      <c r="G19">
        <f>'Demand by Case'!G19/'Demand by Case'!$C19</f>
        <v>1.0275484743875278</v>
      </c>
      <c r="H19">
        <f>'Demand by Case'!H19/'Demand by Case'!$C19</f>
        <v>1.0358161247216033</v>
      </c>
      <c r="I19">
        <f>'Demand by Case'!I19/'Demand by Case'!$C19</f>
        <v>1.0485408129175946</v>
      </c>
      <c r="J19">
        <f>'Demand by Case'!J19/'Demand by Case'!$C19</f>
        <v>1.0640164142538975</v>
      </c>
      <c r="K19">
        <f>'Demand by Case'!K19/'Demand by Case'!$C19</f>
        <v>1.0769235634743874</v>
      </c>
      <c r="L19">
        <f>'Demand by Case'!L19/'Demand by Case'!$C19</f>
        <v>1.0765527616926502</v>
      </c>
      <c r="M19">
        <f>'Demand by Case'!M19/'Demand by Case'!$C19</f>
        <v>1.0910835077951002</v>
      </c>
      <c r="N19">
        <f>'Demand by Case'!N19/'Demand by Case'!$C19</f>
        <v>1.1412347661469933</v>
      </c>
      <c r="O19">
        <f>'Demand by Case'!O19/'Demand by Case'!$C19</f>
        <v>1.167889420935412</v>
      </c>
      <c r="P19">
        <f>'Demand by Case'!P19/'Demand by Case'!$C19</f>
        <v>1.1565662694877503</v>
      </c>
      <c r="Q19">
        <f>'Demand by Case'!Q19/'Demand by Case'!$C19</f>
        <v>1.229670868596882</v>
      </c>
      <c r="R19">
        <f>'Demand by Case'!R19/'Demand by Case'!$C19</f>
        <v>1.2391885968819598</v>
      </c>
      <c r="S19">
        <f>'Demand by Case'!S19/'Demand by Case'!$C19</f>
        <v>1.2626264142538977</v>
      </c>
      <c r="T19">
        <f>'Demand by Case'!T19/'Demand by Case'!$C19</f>
        <v>1.2909373385300666</v>
      </c>
      <c r="U19">
        <f>'Demand by Case'!U19/'Demand by Case'!$C19</f>
        <v>1.3158457126948775</v>
      </c>
      <c r="V19">
        <f>'Demand by Case'!V19/'Demand by Case'!$C19</f>
        <v>1.3511735412026726</v>
      </c>
      <c r="W19">
        <f>'Demand by Case'!W19/'Demand by Case'!$C19</f>
        <v>1.3896484409799554</v>
      </c>
      <c r="X19">
        <f>'Demand by Case'!X19/'Demand by Case'!$C19</f>
        <v>1.430401425389755</v>
      </c>
      <c r="Y19">
        <f>'Demand by Case'!Y19/'Demand by Case'!$C19</f>
        <v>1.4789501113585746</v>
      </c>
      <c r="Z19">
        <f>'Demand by Case'!Z19/'Demand by Case'!$C19</f>
        <v>1.5315196547884187</v>
      </c>
      <c r="AA19">
        <f>'Demand by Case'!AA19/'Demand by Case'!$C19</f>
        <v>1.5894536302895321</v>
      </c>
      <c r="AB19">
        <f>'Demand by Case'!AB19/'Demand by Case'!$C19</f>
        <v>1.6814929844097997</v>
      </c>
      <c r="AC19">
        <f>'Demand by Case'!AC19/'Demand by Case'!$C19</f>
        <v>1.7405040645879732</v>
      </c>
      <c r="AD19">
        <f>'Demand by Case'!AD19/'Demand by Case'!$C19</f>
        <v>1.7928966703786191</v>
      </c>
      <c r="AE19">
        <f>'Demand by Case'!AE19/'Demand by Case'!$C19</f>
        <v>1.8293322383073496</v>
      </c>
      <c r="AF19">
        <f>'Demand by Case'!AF19/'Demand by Case'!$C19</f>
        <v>1.8663929955456571</v>
      </c>
      <c r="AG19">
        <f>'Demand by Case'!AG19/'Demand by Case'!$C19</f>
        <v>1.9177020044543427</v>
      </c>
      <c r="AH19">
        <f>'Demand by Case'!AH19/'Demand by Case'!$C19</f>
        <v>1.9669097772828508</v>
      </c>
      <c r="AI19">
        <f>'Demand by Case'!AI19/'Demand by Case'!$C19</f>
        <v>2.0177749554565705</v>
      </c>
      <c r="AJ19">
        <f>'Demand by Case'!AJ19/'Demand by Case'!$C19</f>
        <v>2.0679816035634744</v>
      </c>
      <c r="AK19">
        <f>'Demand by Case'!AK19/'Demand by Case'!$C19</f>
        <v>2.1151827728285078</v>
      </c>
      <c r="AL19">
        <f>'Demand by Case'!AL19/'Demand by Case'!$C19</f>
        <v>2.1647715033407571</v>
      </c>
      <c r="AM19">
        <f>'Demand by Case'!AM19/'Demand by Case'!$C19</f>
        <v>2.2148073608017818</v>
      </c>
      <c r="AN19">
        <f>'Demand by Case'!AN19/'Demand by Case'!$C19</f>
        <v>2.265813262806236</v>
      </c>
      <c r="AO19">
        <f>'Demand by Case'!AO19/'Demand by Case'!$C19</f>
        <v>2.3158015478841869</v>
      </c>
      <c r="AP19">
        <f>'Demand by Case'!AP19/'Demand by Case'!$C19</f>
        <v>2.3686159020044544</v>
      </c>
      <c r="AQ19">
        <f>'Demand by Case'!AQ19/'Demand by Case'!$C19</f>
        <v>2.4249482405345208</v>
      </c>
    </row>
    <row r="20" spans="1:43" x14ac:dyDescent="0.25">
      <c r="A20" t="s">
        <v>12</v>
      </c>
      <c r="B20" t="s">
        <v>9</v>
      </c>
      <c r="C20">
        <f>'Demand by Case'!C20/'Demand by Case'!$C20</f>
        <v>1</v>
      </c>
      <c r="D20">
        <f>'Demand by Case'!D20/'Demand by Case'!$C20</f>
        <v>1.0190384889522452</v>
      </c>
      <c r="E20">
        <f>'Demand by Case'!E20/'Demand by Case'!$C20</f>
        <v>1.0088125445473985</v>
      </c>
      <c r="F20">
        <f>'Demand by Case'!F20/'Demand by Case'!$C20</f>
        <v>1.0028923093371347</v>
      </c>
      <c r="G20">
        <f>'Demand by Case'!G20/'Demand by Case'!$C20</f>
        <v>1.0105245901639344</v>
      </c>
      <c r="H20">
        <f>'Demand by Case'!H20/'Demand by Case'!$C20</f>
        <v>1.022168660014255</v>
      </c>
      <c r="I20">
        <f>'Demand by Case'!I20/'Demand by Case'!$C20</f>
        <v>1.0197997362794013</v>
      </c>
      <c r="J20">
        <f>'Demand by Case'!J20/'Demand by Case'!$C20</f>
        <v>1.0433873699215965</v>
      </c>
      <c r="K20">
        <f>'Demand by Case'!K20/'Demand by Case'!$C20</f>
        <v>1.0419745972915182</v>
      </c>
      <c r="L20">
        <f>'Demand by Case'!L20/'Demand by Case'!$C20</f>
        <v>1.0263881397006416</v>
      </c>
      <c r="M20">
        <f>'Demand by Case'!M20/'Demand by Case'!$C20</f>
        <v>1.0376809408410548</v>
      </c>
      <c r="N20">
        <f>'Demand by Case'!N20/'Demand by Case'!$C20</f>
        <v>1.0563281111903065</v>
      </c>
      <c r="O20">
        <f>'Demand by Case'!O20/'Demand by Case'!$C20</f>
        <v>1.0865177334283678</v>
      </c>
      <c r="P20">
        <f>'Demand by Case'!P20/'Demand by Case'!$C20</f>
        <v>1.0793034782608695</v>
      </c>
      <c r="Q20">
        <f>'Demand by Case'!Q20/'Demand by Case'!$C20</f>
        <v>1.1208601924447612</v>
      </c>
      <c r="R20">
        <f>'Demand by Case'!R20/'Demand by Case'!$C20</f>
        <v>1.1204693300071276</v>
      </c>
      <c r="S20">
        <f>'Demand by Case'!S20/'Demand by Case'!$C20</f>
        <v>1.1451704775481113</v>
      </c>
      <c r="T20">
        <f>'Demand by Case'!T20/'Demand by Case'!$C20</f>
        <v>1.1836216179615111</v>
      </c>
      <c r="U20">
        <f>'Demand by Case'!U20/'Demand by Case'!$C20</f>
        <v>1.2151712259444047</v>
      </c>
      <c r="V20">
        <f>'Demand by Case'!V20/'Demand by Case'!$C20</f>
        <v>1.2496949536707056</v>
      </c>
      <c r="W20">
        <f>'Demand by Case'!W20/'Demand by Case'!$C20</f>
        <v>1.2852050748396293</v>
      </c>
      <c r="X20">
        <f>'Demand by Case'!X20/'Demand by Case'!$C20</f>
        <v>1.3205857305773343</v>
      </c>
      <c r="Y20">
        <f>'Demand by Case'!Y20/'Demand by Case'!$C20</f>
        <v>1.3623765359942979</v>
      </c>
      <c r="Z20">
        <f>'Demand by Case'!Z20/'Demand by Case'!$C20</f>
        <v>1.4073820527441196</v>
      </c>
      <c r="AA20">
        <f>'Demand by Case'!AA20/'Demand by Case'!$C20</f>
        <v>1.4558242694226655</v>
      </c>
      <c r="AB20">
        <f>'Demand by Case'!AB20/'Demand by Case'!$C20</f>
        <v>1.5258943549536708</v>
      </c>
      <c r="AC20">
        <f>'Demand by Case'!AC20/'Demand by Case'!$C20</f>
        <v>1.5721283749109052</v>
      </c>
      <c r="AD20">
        <f>'Demand by Case'!AD20/'Demand by Case'!$C20</f>
        <v>1.6154121026372059</v>
      </c>
      <c r="AE20">
        <f>'Demand by Case'!AE20/'Demand by Case'!$C20</f>
        <v>1.6478101211689236</v>
      </c>
      <c r="AF20">
        <f>'Demand by Case'!AF20/'Demand by Case'!$C20</f>
        <v>1.6807764433357091</v>
      </c>
      <c r="AG20">
        <f>'Demand by Case'!AG20/'Demand by Case'!$C20</f>
        <v>1.7216277476835351</v>
      </c>
      <c r="AH20">
        <f>'Demand by Case'!AH20/'Demand by Case'!$C20</f>
        <v>1.7599360085531004</v>
      </c>
      <c r="AI20">
        <f>'Demand by Case'!AI20/'Demand by Case'!$C20</f>
        <v>1.7982934925160372</v>
      </c>
      <c r="AJ20">
        <f>'Demand by Case'!AJ20/'Demand by Case'!$C20</f>
        <v>1.8348318389166069</v>
      </c>
      <c r="AK20">
        <f>'Demand by Case'!AK20/'Demand by Case'!$C20</f>
        <v>1.8689554312188166</v>
      </c>
      <c r="AL20">
        <f>'Demand by Case'!AL20/'Demand by Case'!$C20</f>
        <v>1.9045554668567355</v>
      </c>
      <c r="AM20">
        <f>'Demand by Case'!AM20/'Demand by Case'!$C20</f>
        <v>1.9393234782608695</v>
      </c>
      <c r="AN20">
        <f>'Demand by Case'!AN20/'Demand by Case'!$C20</f>
        <v>1.9748896863863148</v>
      </c>
      <c r="AO20">
        <f>'Demand by Case'!AO20/'Demand by Case'!$C20</f>
        <v>2.0089342480399148</v>
      </c>
      <c r="AP20">
        <f>'Demand by Case'!AP20/'Demand by Case'!$C20</f>
        <v>2.0444848681397003</v>
      </c>
      <c r="AQ20">
        <f>'Demand by Case'!AQ20/'Demand by Case'!$C20</f>
        <v>2.0821932145402711</v>
      </c>
    </row>
    <row r="21" spans="1:43" s="3" customFormat="1" x14ac:dyDescent="0.25">
      <c r="A21" s="3" t="s">
        <v>12</v>
      </c>
      <c r="B21" s="3" t="s">
        <v>10</v>
      </c>
      <c r="C21" s="3">
        <f>'Demand by Case'!C21/'Demand by Case'!$C21</f>
        <v>1</v>
      </c>
      <c r="D21" s="3">
        <f>'Demand by Case'!D21/'Demand by Case'!$C21</f>
        <v>0.99849258391881335</v>
      </c>
      <c r="E21" s="3">
        <f>'Demand by Case'!E21/'Demand by Case'!$C21</f>
        <v>0.9841836846213895</v>
      </c>
      <c r="F21" s="3">
        <f>'Demand by Case'!F21/'Demand by Case'!$C21</f>
        <v>0.98482262841530055</v>
      </c>
      <c r="G21" s="3">
        <f>'Demand by Case'!G21/'Demand by Case'!$C21</f>
        <v>1.0046947455113193</v>
      </c>
      <c r="H21" s="3">
        <f>'Demand by Case'!H21/'Demand by Case'!$C21</f>
        <v>0.99702483996877433</v>
      </c>
      <c r="I21" s="3">
        <f>'Demand by Case'!I21/'Demand by Case'!$C21</f>
        <v>0.99530471662763464</v>
      </c>
      <c r="J21" s="3">
        <f>'Demand by Case'!J21/'Demand by Case'!$C21</f>
        <v>0.98951929508196712</v>
      </c>
      <c r="K21" s="3">
        <f>'Demand by Case'!K21/'Demand by Case'!$C21</f>
        <v>1.0208092107728337</v>
      </c>
      <c r="L21" s="3">
        <f>'Demand by Case'!L21/'Demand by Case'!$C21</f>
        <v>1.0138515823575331</v>
      </c>
      <c r="M21" s="3">
        <f>'Demand by Case'!M21/'Demand by Case'!$C21</f>
        <v>0.98940083996877437</v>
      </c>
      <c r="N21" s="3">
        <f>'Demand by Case'!N21/'Demand by Case'!$C21</f>
        <v>1.0299690312256051</v>
      </c>
      <c r="O21" s="3">
        <f>'Demand by Case'!O21/'Demand by Case'!$C21</f>
        <v>1.0549933754879002</v>
      </c>
      <c r="P21" s="3">
        <f>'Demand by Case'!P21/'Demand by Case'!$C21</f>
        <v>1.0435344957064794</v>
      </c>
      <c r="Q21" s="3">
        <f>'Demand by Case'!Q21/'Demand by Case'!$C21</f>
        <v>1.0761688579234974</v>
      </c>
      <c r="R21" s="3">
        <f>'Demand by Case'!R21/'Demand by Case'!$C21</f>
        <v>1.0898130936768149</v>
      </c>
      <c r="S21" s="3">
        <f>'Demand by Case'!S21/'Demand by Case'!$C21</f>
        <v>1.1060900999219359</v>
      </c>
      <c r="T21" s="3">
        <f>'Demand by Case'!T21/'Demand by Case'!$C21</f>
        <v>1.126754555815769</v>
      </c>
      <c r="U21" s="3">
        <f>'Demand by Case'!U21/'Demand by Case'!$C21</f>
        <v>1.1430164082747853</v>
      </c>
      <c r="V21" s="3">
        <f>'Demand by Case'!V21/'Demand by Case'!$C21</f>
        <v>1.164378993754879</v>
      </c>
      <c r="W21" s="3">
        <f>'Demand by Case'!W21/'Demand by Case'!$C21</f>
        <v>1.1857879203747073</v>
      </c>
      <c r="X21" s="3">
        <f>'Demand by Case'!X21/'Demand by Case'!$C21</f>
        <v>1.2083202903981263</v>
      </c>
      <c r="Y21" s="3">
        <f>'Demand by Case'!Y21/'Demand by Case'!$C21</f>
        <v>1.2351856057767368</v>
      </c>
      <c r="Z21" s="3">
        <f>'Demand by Case'!Z21/'Demand by Case'!$C21</f>
        <v>1.2630336416861825</v>
      </c>
      <c r="AA21" s="3">
        <f>'Demand by Case'!AA21/'Demand by Case'!$C21</f>
        <v>1.2941610187353632</v>
      </c>
      <c r="AB21" s="3">
        <f>'Demand by Case'!AB21/'Demand by Case'!$C21</f>
        <v>1.3308798860265418</v>
      </c>
      <c r="AC21" s="3">
        <f>'Demand by Case'!AC21/'Demand by Case'!$C21</f>
        <v>1.3636362404371583</v>
      </c>
      <c r="AD21" s="3">
        <f>'Demand by Case'!AD21/'Demand by Case'!$C21</f>
        <v>1.3959979375487899</v>
      </c>
      <c r="AE21" s="3">
        <f>'Demand by Case'!AE21/'Demand by Case'!$C21</f>
        <v>1.4257482201405152</v>
      </c>
      <c r="AF21" s="3">
        <f>'Demand by Case'!AF21/'Demand by Case'!$C21</f>
        <v>1.4555049711163153</v>
      </c>
      <c r="AG21" s="3">
        <f>'Demand by Case'!AG21/'Demand by Case'!$C21</f>
        <v>1.4835642045277124</v>
      </c>
      <c r="AH21" s="3">
        <f>'Demand by Case'!AH21/'Demand by Case'!$C21</f>
        <v>1.5096131100702577</v>
      </c>
      <c r="AI21" s="3">
        <f>'Demand by Case'!AI21/'Demand by Case'!$C21</f>
        <v>1.5366906955503512</v>
      </c>
      <c r="AJ21" s="3">
        <f>'Demand by Case'!AJ21/'Demand by Case'!$C21</f>
        <v>1.5628823590944574</v>
      </c>
      <c r="AK21" s="3">
        <f>'Demand by Case'!AK21/'Demand by Case'!$C21</f>
        <v>1.5877624199843872</v>
      </c>
      <c r="AL21" s="3">
        <f>'Demand by Case'!AL21/'Demand by Case'!$C21</f>
        <v>1.6126907556596408</v>
      </c>
      <c r="AM21" s="3">
        <f>'Demand by Case'!AM21/'Demand by Case'!$C21</f>
        <v>1.6376007166276345</v>
      </c>
      <c r="AN21" s="3">
        <f>'Demand by Case'!AN21/'Demand by Case'!$C21</f>
        <v>1.6637865604996096</v>
      </c>
      <c r="AO21" s="3">
        <f>'Demand by Case'!AO21/'Demand by Case'!$C21</f>
        <v>1.6901471975019515</v>
      </c>
      <c r="AP21" s="3">
        <f>'Demand by Case'!AP21/'Demand by Case'!$C21</f>
        <v>1.7178489945355191</v>
      </c>
      <c r="AQ21" s="3">
        <f>'Demand by Case'!AQ21/'Demand by Case'!$C21</f>
        <v>1.7473800554254488</v>
      </c>
    </row>
    <row r="22" spans="1:43" s="4" customFormat="1" x14ac:dyDescent="0.25">
      <c r="A22" s="4" t="s">
        <v>13</v>
      </c>
      <c r="B22" t="s">
        <v>49</v>
      </c>
      <c r="C22">
        <f>'Demand by Case'!C22/'Demand by Case'!$C22</f>
        <v>1</v>
      </c>
      <c r="D22">
        <f>'Demand by Case'!D22/'Demand by Case'!$C22</f>
        <v>0.98033571428571442</v>
      </c>
      <c r="E22">
        <f>'Demand by Case'!E22/'Demand by Case'!$C22</f>
        <v>0.97660476190476186</v>
      </c>
      <c r="F22">
        <f>'Demand by Case'!F22/'Demand by Case'!$C22</f>
        <v>0.97862064285714279</v>
      </c>
      <c r="G22">
        <f>'Demand by Case'!G22/'Demand by Case'!$C22</f>
        <v>1.0477504047619048</v>
      </c>
      <c r="H22">
        <f>'Demand by Case'!H22/'Demand by Case'!$C22</f>
        <v>0.97920161904761904</v>
      </c>
      <c r="I22">
        <f>'Demand by Case'!I22/'Demand by Case'!$C22</f>
        <v>0.96889235714285715</v>
      </c>
      <c r="J22">
        <f>'Demand by Case'!J22/'Demand by Case'!$C22</f>
        <v>1.0263139523809524</v>
      </c>
      <c r="K22">
        <f>'Demand by Case'!K22/'Demand by Case'!$C22</f>
        <v>1.0146719047619048</v>
      </c>
      <c r="L22">
        <f>'Demand by Case'!L22/'Demand by Case'!$C22</f>
        <v>0.96095602380952383</v>
      </c>
      <c r="M22">
        <f>'Demand by Case'!M22/'Demand by Case'!$C22</f>
        <v>0.95464828571428573</v>
      </c>
      <c r="N22">
        <f>'Demand by Case'!N22/'Demand by Case'!$C22</f>
        <v>0.97226390476190483</v>
      </c>
      <c r="O22">
        <f>'Demand by Case'!O22/'Demand by Case'!$C22</f>
        <v>0.98696050000000013</v>
      </c>
      <c r="P22">
        <f>'Demand by Case'!P22/'Demand by Case'!$C22</f>
        <v>0.96746554761904768</v>
      </c>
      <c r="Q22">
        <f>'Demand by Case'!Q22/'Demand by Case'!$C22</f>
        <v>0.99390788095238103</v>
      </c>
      <c r="R22">
        <f>'Demand by Case'!R22/'Demand by Case'!$C22</f>
        <v>0.99014257142857154</v>
      </c>
      <c r="S22">
        <f>'Demand by Case'!S22/'Demand by Case'!$C22</f>
        <v>0.99561704761904768</v>
      </c>
      <c r="T22">
        <f>'Demand by Case'!T22/'Demand by Case'!$C22</f>
        <v>1.0135001190476192</v>
      </c>
      <c r="U22">
        <f>'Demand by Case'!U22/'Demand by Case'!$C22</f>
        <v>1.0297871190476191</v>
      </c>
      <c r="V22">
        <f>'Demand by Case'!V22/'Demand by Case'!$C22</f>
        <v>1.0489131904761904</v>
      </c>
      <c r="W22">
        <f>'Demand by Case'!W22/'Demand by Case'!$C22</f>
        <v>1.0662690714285714</v>
      </c>
      <c r="X22">
        <f>'Demand by Case'!X22/'Demand by Case'!$C22</f>
        <v>1.0847440238095238</v>
      </c>
      <c r="Y22">
        <f>'Demand by Case'!Y22/'Demand by Case'!$C22</f>
        <v>1.1049690000000001</v>
      </c>
      <c r="Z22">
        <f>'Demand by Case'!Z22/'Demand by Case'!$C22</f>
        <v>1.1255861666666667</v>
      </c>
      <c r="AA22">
        <f>'Demand by Case'!AA22/'Demand by Case'!$C22</f>
        <v>1.1480225714285714</v>
      </c>
      <c r="AB22">
        <f>'Demand by Case'!AB22/'Demand by Case'!$C22</f>
        <v>1.1699128571428572</v>
      </c>
      <c r="AC22">
        <f>'Demand by Case'!AC22/'Demand by Case'!$C22</f>
        <v>1.1934664047619048</v>
      </c>
      <c r="AD22">
        <f>'Demand by Case'!AD22/'Demand by Case'!$C22</f>
        <v>1.2157602619047621</v>
      </c>
      <c r="AE22">
        <f>'Demand by Case'!AE22/'Demand by Case'!$C22</f>
        <v>1.2384076666666668</v>
      </c>
      <c r="AF22">
        <f>'Demand by Case'!AF22/'Demand by Case'!$C22</f>
        <v>1.2619929999999999</v>
      </c>
      <c r="AG22">
        <f>'Demand by Case'!AG22/'Demand by Case'!$C22</f>
        <v>1.2840377380952381</v>
      </c>
      <c r="AH22">
        <f>'Demand by Case'!AH22/'Demand by Case'!$C22</f>
        <v>1.3040016428571428</v>
      </c>
      <c r="AI22">
        <f>'Demand by Case'!AI22/'Demand by Case'!$C22</f>
        <v>1.3227844285714287</v>
      </c>
      <c r="AJ22">
        <f>'Demand by Case'!AJ22/'Demand by Case'!$C22</f>
        <v>1.3401429047619049</v>
      </c>
      <c r="AK22">
        <f>'Demand by Case'!AK22/'Demand by Case'!$C22</f>
        <v>1.3560603333333334</v>
      </c>
      <c r="AL22">
        <f>'Demand by Case'!AL22/'Demand by Case'!$C22</f>
        <v>1.3711268809523809</v>
      </c>
      <c r="AM22">
        <f>'Demand by Case'!AM22/'Demand by Case'!$C22</f>
        <v>1.3857557380952383</v>
      </c>
      <c r="AN22">
        <f>'Demand by Case'!AN22/'Demand by Case'!$C22</f>
        <v>1.4012654047619046</v>
      </c>
      <c r="AO22">
        <f>'Demand by Case'!AO22/'Demand by Case'!$C22</f>
        <v>1.4163597857142856</v>
      </c>
      <c r="AP22">
        <f>'Demand by Case'!AP22/'Demand by Case'!$C22</f>
        <v>1.4311485714285712</v>
      </c>
      <c r="AQ22">
        <f>'Demand by Case'!AQ22/'Demand by Case'!$C22</f>
        <v>1.4465397142857144</v>
      </c>
    </row>
    <row r="23" spans="1:43" x14ac:dyDescent="0.25">
      <c r="A23" t="s">
        <v>13</v>
      </c>
      <c r="B23" t="s">
        <v>50</v>
      </c>
      <c r="C23">
        <f>'Demand by Case'!C23/'Demand by Case'!$C23</f>
        <v>1</v>
      </c>
      <c r="D23">
        <f>'Demand by Case'!D23/'Demand by Case'!$C23</f>
        <v>0.99147716535433073</v>
      </c>
      <c r="E23">
        <f>'Demand by Case'!E23/'Demand by Case'!$C23</f>
        <v>0.97477401574803146</v>
      </c>
      <c r="F23">
        <f>'Demand by Case'!F23/'Demand by Case'!$C23</f>
        <v>0.97483944881889761</v>
      </c>
      <c r="G23">
        <f>'Demand by Case'!G23/'Demand by Case'!$C23</f>
        <v>0.99805462204724416</v>
      </c>
      <c r="H23">
        <f>'Demand by Case'!H23/'Demand by Case'!$C23</f>
        <v>0.99752583464566913</v>
      </c>
      <c r="I23">
        <f>'Demand by Case'!I23/'Demand by Case'!$C23</f>
        <v>0.99184159055118126</v>
      </c>
      <c r="J23">
        <f>'Demand by Case'!J23/'Demand by Case'!$C23</f>
        <v>0.97399899212598418</v>
      </c>
      <c r="K23">
        <f>'Demand by Case'!K23/'Demand by Case'!$C23</f>
        <v>1.0047385984251969</v>
      </c>
      <c r="L23">
        <f>'Demand by Case'!L23/'Demand by Case'!$C23</f>
        <v>0.99160007086614177</v>
      </c>
      <c r="M23">
        <f>'Demand by Case'!M23/'Demand by Case'!$C23</f>
        <v>0.94862581889763775</v>
      </c>
      <c r="N23">
        <f>'Demand by Case'!N23/'Demand by Case'!$C23</f>
        <v>0.98288397637795277</v>
      </c>
      <c r="O23">
        <f>'Demand by Case'!O23/'Demand by Case'!$C23</f>
        <v>1.0043778976377953</v>
      </c>
      <c r="P23">
        <f>'Demand by Case'!P23/'Demand by Case'!$C23</f>
        <v>0.98260563779527543</v>
      </c>
      <c r="Q23">
        <f>'Demand by Case'!Q23/'Demand by Case'!$C23</f>
        <v>0.99495113385826772</v>
      </c>
      <c r="R23">
        <f>'Demand by Case'!R23/'Demand by Case'!$C23</f>
        <v>1.0035434881889764</v>
      </c>
      <c r="S23">
        <f>'Demand by Case'!S23/'Demand by Case'!$C23</f>
        <v>1.0094395984251967</v>
      </c>
      <c r="T23">
        <f>'Demand by Case'!T23/'Demand by Case'!$C23</f>
        <v>1.020613433070866</v>
      </c>
      <c r="U23">
        <f>'Demand by Case'!U23/'Demand by Case'!$C23</f>
        <v>1.0317895196850393</v>
      </c>
      <c r="V23">
        <f>'Demand by Case'!V23/'Demand by Case'!$C23</f>
        <v>1.0462940393700788</v>
      </c>
      <c r="W23">
        <f>'Demand by Case'!W23/'Demand by Case'!$C23</f>
        <v>1.0602270787401575</v>
      </c>
      <c r="X23">
        <f>'Demand by Case'!X23/'Demand by Case'!$C23</f>
        <v>1.0757158582677167</v>
      </c>
      <c r="Y23">
        <f>'Demand by Case'!Y23/'Demand by Case'!$C23</f>
        <v>1.0947872834645669</v>
      </c>
      <c r="Z23">
        <f>'Demand by Case'!Z23/'Demand by Case'!$C23</f>
        <v>1.1135638425196852</v>
      </c>
      <c r="AA23">
        <f>'Demand by Case'!AA23/'Demand by Case'!$C23</f>
        <v>1.1344810236220473</v>
      </c>
      <c r="AB23">
        <f>'Demand by Case'!AB23/'Demand by Case'!$C23</f>
        <v>1.1570671811023621</v>
      </c>
      <c r="AC23">
        <f>'Demand by Case'!AC23/'Demand by Case'!$C23</f>
        <v>1.180425598425197</v>
      </c>
      <c r="AD23">
        <f>'Demand by Case'!AD23/'Demand by Case'!$C23</f>
        <v>1.2025832283464566</v>
      </c>
      <c r="AE23">
        <f>'Demand by Case'!AE23/'Demand by Case'!$C23</f>
        <v>1.2244593464566929</v>
      </c>
      <c r="AF23">
        <f>'Demand by Case'!AF23/'Demand by Case'!$C23</f>
        <v>1.2473728582677166</v>
      </c>
      <c r="AG23">
        <f>'Demand by Case'!AG23/'Demand by Case'!$C23</f>
        <v>1.2682909763779526</v>
      </c>
      <c r="AH23">
        <f>'Demand by Case'!AH23/'Demand by Case'!$C23</f>
        <v>1.2869107559055117</v>
      </c>
      <c r="AI23">
        <f>'Demand by Case'!AI23/'Demand by Case'!$C23</f>
        <v>1.30430737007874</v>
      </c>
      <c r="AJ23">
        <f>'Demand by Case'!AJ23/'Demand by Case'!$C23</f>
        <v>1.3204123149606299</v>
      </c>
      <c r="AK23">
        <f>'Demand by Case'!AK23/'Demand by Case'!$C23</f>
        <v>1.3346853543307087</v>
      </c>
      <c r="AL23">
        <f>'Demand by Case'!AL23/'Demand by Case'!$C23</f>
        <v>1.3489037559055119</v>
      </c>
      <c r="AM23">
        <f>'Demand by Case'!AM23/'Demand by Case'!$C23</f>
        <v>1.363370968503937</v>
      </c>
      <c r="AN23">
        <f>'Demand by Case'!AN23/'Demand by Case'!$C23</f>
        <v>1.3790900787401574</v>
      </c>
      <c r="AO23">
        <f>'Demand by Case'!AO23/'Demand by Case'!$C23</f>
        <v>1.394878440944882</v>
      </c>
      <c r="AP23">
        <f>'Demand by Case'!AP23/'Demand by Case'!$C23</f>
        <v>1.4107491023622047</v>
      </c>
      <c r="AQ23">
        <f>'Demand by Case'!AQ23/'Demand by Case'!$C23</f>
        <v>1.4274695826771653</v>
      </c>
    </row>
    <row r="24" spans="1:43" x14ac:dyDescent="0.25">
      <c r="A24" t="s">
        <v>13</v>
      </c>
      <c r="B24" t="s">
        <v>51</v>
      </c>
      <c r="C24">
        <f>'Demand by Case'!C24/'Demand by Case'!$C24</f>
        <v>1</v>
      </c>
      <c r="D24">
        <f>'Demand by Case'!D24/'Demand by Case'!$C24</f>
        <v>0.99989949238578679</v>
      </c>
      <c r="E24">
        <f>'Demand by Case'!E24/'Demand by Case'!$C24</f>
        <v>0.99592791878172593</v>
      </c>
      <c r="F24">
        <f>'Demand by Case'!F24/'Demand by Case'!$C24</f>
        <v>0.97961287309644673</v>
      </c>
      <c r="G24">
        <f>'Demand by Case'!G24/'Demand by Case'!$C24</f>
        <v>0.98759181218274106</v>
      </c>
      <c r="H24">
        <f>'Demand by Case'!H24/'Demand by Case'!$C24</f>
        <v>0.9658102893401016</v>
      </c>
      <c r="I24">
        <f>'Demand by Case'!I24/'Demand by Case'!$C24</f>
        <v>0.96649623857868028</v>
      </c>
      <c r="J24">
        <f>'Demand by Case'!J24/'Demand by Case'!$C24</f>
        <v>0.95162858883248735</v>
      </c>
      <c r="K24">
        <f>'Demand by Case'!K24/'Demand by Case'!$C24</f>
        <v>0.98434028426395936</v>
      </c>
      <c r="L24">
        <f>'Demand by Case'!L24/'Demand by Case'!$C24</f>
        <v>0.95670281218274111</v>
      </c>
      <c r="M24">
        <f>'Demand by Case'!M24/'Demand by Case'!$C24</f>
        <v>0.93690438071065996</v>
      </c>
      <c r="N24">
        <f>'Demand by Case'!N24/'Demand by Case'!$C24</f>
        <v>0.9643200609137057</v>
      </c>
      <c r="O24">
        <f>'Demand by Case'!O24/'Demand by Case'!$C24</f>
        <v>0.96249843654822342</v>
      </c>
      <c r="P24">
        <f>'Demand by Case'!P24/'Demand by Case'!$C24</f>
        <v>0.94843373096446715</v>
      </c>
      <c r="Q24">
        <f>'Demand by Case'!Q24/'Demand by Case'!$C24</f>
        <v>0.96613764974619287</v>
      </c>
      <c r="R24">
        <f>'Demand by Case'!R24/'Demand by Case'!$C24</f>
        <v>0.97652703045685274</v>
      </c>
      <c r="S24">
        <f>'Demand by Case'!S24/'Demand by Case'!$C24</f>
        <v>0.98164493908629435</v>
      </c>
      <c r="T24">
        <f>'Demand by Case'!T24/'Demand by Case'!$C24</f>
        <v>0.9890054822335026</v>
      </c>
      <c r="U24">
        <f>'Demand by Case'!U24/'Demand by Case'!$C24</f>
        <v>0.9955927461928934</v>
      </c>
      <c r="V24">
        <f>'Demand by Case'!V24/'Demand by Case'!$C24</f>
        <v>1.0048519847715736</v>
      </c>
      <c r="W24">
        <f>'Demand by Case'!W24/'Demand by Case'!$C24</f>
        <v>1.014961035532995</v>
      </c>
      <c r="X24">
        <f>'Demand by Case'!X24/'Demand by Case'!$C24</f>
        <v>1.0252579340101524</v>
      </c>
      <c r="Y24">
        <f>'Demand by Case'!Y24/'Demand by Case'!$C24</f>
        <v>1.0404842182741119</v>
      </c>
      <c r="Z24">
        <f>'Demand by Case'!Z24/'Demand by Case'!$C24</f>
        <v>1.0568344416243654</v>
      </c>
      <c r="AA24">
        <f>'Demand by Case'!AA24/'Demand by Case'!$C24</f>
        <v>1.0767027360406092</v>
      </c>
      <c r="AB24">
        <f>'Demand by Case'!AB24/'Demand by Case'!$C24</f>
        <v>1.0972800913705583</v>
      </c>
      <c r="AC24">
        <f>'Demand by Case'!AC24/'Demand by Case'!$C24</f>
        <v>1.1180987461928935</v>
      </c>
      <c r="AD24">
        <f>'Demand by Case'!AD24/'Demand by Case'!$C24</f>
        <v>1.1349034720812181</v>
      </c>
      <c r="AE24">
        <f>'Demand by Case'!AE24/'Demand by Case'!$C24</f>
        <v>1.1540849340101522</v>
      </c>
      <c r="AF24">
        <f>'Demand by Case'!AF24/'Demand by Case'!$C24</f>
        <v>1.1731018629441627</v>
      </c>
      <c r="AG24">
        <f>'Demand by Case'!AG24/'Demand by Case'!$C24</f>
        <v>1.1913388781725889</v>
      </c>
      <c r="AH24">
        <f>'Demand by Case'!AH24/'Demand by Case'!$C24</f>
        <v>1.207405076142132</v>
      </c>
      <c r="AI24">
        <f>'Demand by Case'!AI24/'Demand by Case'!$C24</f>
        <v>1.2229056649746195</v>
      </c>
      <c r="AJ24">
        <f>'Demand by Case'!AJ24/'Demand by Case'!$C24</f>
        <v>1.2372231776649747</v>
      </c>
      <c r="AK24">
        <f>'Demand by Case'!AK24/'Demand by Case'!$C24</f>
        <v>1.2506871015228425</v>
      </c>
      <c r="AL24">
        <f>'Demand by Case'!AL24/'Demand by Case'!$C24</f>
        <v>1.2633195888324875</v>
      </c>
      <c r="AM24">
        <f>'Demand by Case'!AM24/'Demand by Case'!$C24</f>
        <v>1.2764869543147208</v>
      </c>
      <c r="AN24">
        <f>'Demand by Case'!AN24/'Demand by Case'!$C24</f>
        <v>1.28911569035533</v>
      </c>
      <c r="AO24">
        <f>'Demand by Case'!AO24/'Demand by Case'!$C24</f>
        <v>1.3006149238578679</v>
      </c>
      <c r="AP24">
        <f>'Demand by Case'!AP24/'Demand by Case'!$C24</f>
        <v>1.3124865177664975</v>
      </c>
      <c r="AQ24">
        <f>'Demand by Case'!AQ24/'Demand by Case'!$C24</f>
        <v>1.3253955685279188</v>
      </c>
    </row>
    <row r="25" spans="1:43" x14ac:dyDescent="0.25">
      <c r="A25" t="s">
        <v>13</v>
      </c>
      <c r="B25" t="s">
        <v>52</v>
      </c>
      <c r="C25">
        <f>'Demand by Case'!C25/'Demand by Case'!$C25</f>
        <v>1</v>
      </c>
      <c r="D25">
        <f>'Demand by Case'!D25/'Demand by Case'!$C25</f>
        <v>1.0012472582253242</v>
      </c>
      <c r="E25">
        <f>'Demand by Case'!E25/'Demand by Case'!$C25</f>
        <v>0.99929411764705889</v>
      </c>
      <c r="F25">
        <f>'Demand by Case'!F25/'Demand by Case'!$C25</f>
        <v>0.99940586241276186</v>
      </c>
      <c r="G25">
        <f>'Demand by Case'!G25/'Demand by Case'!$C25</f>
        <v>1.0313824626121637</v>
      </c>
      <c r="H25">
        <f>'Demand by Case'!H25/'Demand by Case'!$C25</f>
        <v>1.0114272881355932</v>
      </c>
      <c r="I25">
        <f>'Demand by Case'!I25/'Demand by Case'!$C25</f>
        <v>1.0067296709870388</v>
      </c>
      <c r="J25">
        <f>'Demand by Case'!J25/'Demand by Case'!$C25</f>
        <v>1.0016278065802593</v>
      </c>
      <c r="K25">
        <f>'Demand by Case'!K25/'Demand by Case'!$C25</f>
        <v>1.0378296610169493</v>
      </c>
      <c r="L25">
        <f>'Demand by Case'!L25/'Demand by Case'!$C25</f>
        <v>1.0280161016949152</v>
      </c>
      <c r="M25">
        <f>'Demand by Case'!M25/'Demand by Case'!$C25</f>
        <v>1.0004537686939183</v>
      </c>
      <c r="N25">
        <f>'Demand by Case'!N25/'Demand by Case'!$C25</f>
        <v>1.0473289631106681</v>
      </c>
      <c r="O25">
        <f>'Demand by Case'!O25/'Demand by Case'!$C25</f>
        <v>1.0695015154536391</v>
      </c>
      <c r="P25">
        <f>'Demand by Case'!P25/'Demand by Case'!$C25</f>
        <v>1.0510733998005981</v>
      </c>
      <c r="Q25">
        <f>'Demand by Case'!Q25/'Demand by Case'!$C25</f>
        <v>1.1036712562313062</v>
      </c>
      <c r="R25">
        <f>'Demand by Case'!R25/'Demand by Case'!$C25</f>
        <v>1.1119323728813562</v>
      </c>
      <c r="S25">
        <f>'Demand by Case'!S25/'Demand by Case'!$C25</f>
        <v>1.0975240378863411</v>
      </c>
      <c r="T25">
        <f>'Demand by Case'!T25/'Demand by Case'!$C25</f>
        <v>1.101001555333998</v>
      </c>
      <c r="U25">
        <f>'Demand by Case'!U25/'Demand by Case'!$C25</f>
        <v>1.1046490927218346</v>
      </c>
      <c r="V25">
        <f>'Demand by Case'!V25/'Demand by Case'!$C25</f>
        <v>1.1147817746759721</v>
      </c>
      <c r="W25">
        <f>'Demand by Case'!W25/'Demand by Case'!$C25</f>
        <v>1.126444197407777</v>
      </c>
      <c r="X25">
        <f>'Demand by Case'!X25/'Demand by Case'!$C25</f>
        <v>1.1399357926221338</v>
      </c>
      <c r="Y25">
        <f>'Demand by Case'!Y25/'Demand by Case'!$C25</f>
        <v>1.158384336989033</v>
      </c>
      <c r="Z25">
        <f>'Demand by Case'!Z25/'Demand by Case'!$C25</f>
        <v>1.178786231306082</v>
      </c>
      <c r="AA25">
        <f>'Demand by Case'!AA25/'Demand by Case'!$C25</f>
        <v>1.2024425922233299</v>
      </c>
      <c r="AB25">
        <f>'Demand by Case'!AB25/'Demand by Case'!$C25</f>
        <v>1.2274413958125625</v>
      </c>
      <c r="AC25">
        <f>'Demand by Case'!AC25/'Demand by Case'!$C25</f>
        <v>1.2519789132602193</v>
      </c>
      <c r="AD25">
        <f>'Demand by Case'!AD25/'Demand by Case'!$C25</f>
        <v>1.2734732801595217</v>
      </c>
      <c r="AE25">
        <f>'Demand by Case'!AE25/'Demand by Case'!$C25</f>
        <v>1.2965874376869393</v>
      </c>
      <c r="AF25">
        <f>'Demand by Case'!AF25/'Demand by Case'!$C25</f>
        <v>1.3181621934197409</v>
      </c>
      <c r="AG25">
        <f>'Demand by Case'!AG25/'Demand by Case'!$C25</f>
        <v>1.3388958125623132</v>
      </c>
      <c r="AH25">
        <f>'Demand by Case'!AH25/'Demand by Case'!$C25</f>
        <v>1.3583644666001997</v>
      </c>
      <c r="AI25">
        <f>'Demand by Case'!AI25/'Demand by Case'!$C25</f>
        <v>1.3781997308075773</v>
      </c>
      <c r="AJ25">
        <f>'Demand by Case'!AJ25/'Demand by Case'!$C25</f>
        <v>1.3973224725822533</v>
      </c>
      <c r="AK25">
        <f>'Demand by Case'!AK25/'Demand by Case'!$C25</f>
        <v>1.4154668793619145</v>
      </c>
      <c r="AL25">
        <f>'Demand by Case'!AL25/'Demand by Case'!$C25</f>
        <v>1.4312334097706882</v>
      </c>
      <c r="AM25">
        <f>'Demand by Case'!AM25/'Demand by Case'!$C25</f>
        <v>1.447645752741775</v>
      </c>
      <c r="AN25">
        <f>'Demand by Case'!AN25/'Demand by Case'!$C25</f>
        <v>1.4646438983050849</v>
      </c>
      <c r="AO25">
        <f>'Demand by Case'!AO25/'Demand by Case'!$C25</f>
        <v>1.4816618943170492</v>
      </c>
      <c r="AP25">
        <f>'Demand by Case'!AP25/'Demand by Case'!$C25</f>
        <v>1.4994380757726822</v>
      </c>
      <c r="AQ25">
        <f>'Demand by Case'!AQ25/'Demand by Case'!$C25</f>
        <v>1.5182996510468598</v>
      </c>
    </row>
    <row r="26" spans="1:43" x14ac:dyDescent="0.25">
      <c r="A26" t="s">
        <v>13</v>
      </c>
      <c r="B26" t="s">
        <v>53</v>
      </c>
      <c r="C26">
        <f>'Demand by Case'!C26/'Demand by Case'!$C26</f>
        <v>1</v>
      </c>
      <c r="D26">
        <f>'Demand by Case'!D26/'Demand by Case'!$C26</f>
        <v>0.97065293072824155</v>
      </c>
      <c r="E26">
        <f>'Demand by Case'!E26/'Demand by Case'!$C26</f>
        <v>0.94602912966252228</v>
      </c>
      <c r="F26">
        <f>'Demand by Case'!F26/'Demand by Case'!$C26</f>
        <v>0.95058492362344582</v>
      </c>
      <c r="G26">
        <f>'Demand by Case'!G26/'Demand by Case'!$C26</f>
        <v>0.96732873889875681</v>
      </c>
      <c r="H26">
        <f>'Demand by Case'!H26/'Demand by Case'!$C26</f>
        <v>0.9659685293072825</v>
      </c>
      <c r="I26">
        <f>'Demand by Case'!I26/'Demand by Case'!$C26</f>
        <v>0.96996002486678512</v>
      </c>
      <c r="J26">
        <f>'Demand by Case'!J26/'Demand by Case'!$C26</f>
        <v>0.95207675666074609</v>
      </c>
      <c r="K26">
        <f>'Demand by Case'!K26/'Demand by Case'!$C26</f>
        <v>0.98890766962699828</v>
      </c>
      <c r="L26">
        <f>'Demand by Case'!L26/'Demand by Case'!$C26</f>
        <v>0.99061843339253997</v>
      </c>
      <c r="M26">
        <f>'Demand by Case'!M26/'Demand by Case'!$C26</f>
        <v>0.96153328952042638</v>
      </c>
      <c r="N26">
        <f>'Demand by Case'!N26/'Demand by Case'!$C26</f>
        <v>1.0039437833037299</v>
      </c>
      <c r="O26">
        <f>'Demand by Case'!O26/'Demand by Case'!$C26</f>
        <v>1.0352651083481352</v>
      </c>
      <c r="P26">
        <f>'Demand by Case'!P26/'Demand by Case'!$C26</f>
        <v>1.0272901953818827</v>
      </c>
      <c r="Q26">
        <f>'Demand by Case'!Q26/'Demand by Case'!$C26</f>
        <v>1.0588239253996448</v>
      </c>
      <c r="R26">
        <f>'Demand by Case'!R26/'Demand by Case'!$C26</f>
        <v>1.0621853854351688</v>
      </c>
      <c r="S26">
        <f>'Demand by Case'!S26/'Demand by Case'!$C26</f>
        <v>1.0659459928952044</v>
      </c>
      <c r="T26">
        <f>'Demand by Case'!T26/'Demand by Case'!$C26</f>
        <v>1.0768484262877442</v>
      </c>
      <c r="U26">
        <f>'Demand by Case'!U26/'Demand by Case'!$C26</f>
        <v>1.0872052007104795</v>
      </c>
      <c r="V26">
        <f>'Demand by Case'!V26/'Demand by Case'!$C26</f>
        <v>1.1022829236234459</v>
      </c>
      <c r="W26">
        <f>'Demand by Case'!W26/'Demand by Case'!$C26</f>
        <v>1.1154370799289521</v>
      </c>
      <c r="X26">
        <f>'Demand by Case'!X26/'Demand by Case'!$C26</f>
        <v>1.1288576056838366</v>
      </c>
      <c r="Y26">
        <f>'Demand by Case'!Y26/'Demand by Case'!$C26</f>
        <v>1.1456671296625223</v>
      </c>
      <c r="Z26">
        <f>'Demand by Case'!Z26/'Demand by Case'!$C26</f>
        <v>1.1631236447602131</v>
      </c>
      <c r="AA26">
        <f>'Demand by Case'!AA26/'Demand by Case'!$C26</f>
        <v>1.1807410408525756</v>
      </c>
      <c r="AB26">
        <f>'Demand by Case'!AB26/'Demand by Case'!$C26</f>
        <v>1.1993557761989344</v>
      </c>
      <c r="AC26">
        <f>'Demand by Case'!AC26/'Demand by Case'!$C26</f>
        <v>1.2198223481349912</v>
      </c>
      <c r="AD26">
        <f>'Demand by Case'!AD26/'Demand by Case'!$C26</f>
        <v>1.2419270124333925</v>
      </c>
      <c r="AE26">
        <f>'Demand by Case'!AE26/'Demand by Case'!$C26</f>
        <v>1.2643786642984014</v>
      </c>
      <c r="AF26">
        <f>'Demand by Case'!AF26/'Demand by Case'!$C26</f>
        <v>1.2875759005328598</v>
      </c>
      <c r="AG26">
        <f>'Demand by Case'!AG26/'Demand by Case'!$C26</f>
        <v>1.3096452930728242</v>
      </c>
      <c r="AH26">
        <f>'Demand by Case'!AH26/'Demand by Case'!$C26</f>
        <v>1.3298494635879219</v>
      </c>
      <c r="AI26">
        <f>'Demand by Case'!AI26/'Demand by Case'!$C26</f>
        <v>1.3486736767317939</v>
      </c>
      <c r="AJ26">
        <f>'Demand by Case'!AJ26/'Demand by Case'!$C26</f>
        <v>1.3660889307282418</v>
      </c>
      <c r="AK26">
        <f>'Demand by Case'!AK26/'Demand by Case'!$C26</f>
        <v>1.3821535204262878</v>
      </c>
      <c r="AL26">
        <f>'Demand by Case'!AL26/'Demand by Case'!$C26</f>
        <v>1.3979804049733568</v>
      </c>
      <c r="AM26">
        <f>'Demand by Case'!AM26/'Demand by Case'!$C26</f>
        <v>1.4141983481349911</v>
      </c>
      <c r="AN26">
        <f>'Demand by Case'!AN26/'Demand by Case'!$C26</f>
        <v>1.4311341705150977</v>
      </c>
      <c r="AO26">
        <f>'Demand by Case'!AO26/'Demand by Case'!$C26</f>
        <v>1.4493787282415631</v>
      </c>
      <c r="AP26">
        <f>'Demand by Case'!AP26/'Demand by Case'!$C26</f>
        <v>1.4685754742451154</v>
      </c>
      <c r="AQ26">
        <f>'Demand by Case'!AQ26/'Demand by Case'!$C26</f>
        <v>1.4892680035523977</v>
      </c>
    </row>
    <row r="27" spans="1:43" x14ac:dyDescent="0.25">
      <c r="A27" t="s">
        <v>13</v>
      </c>
      <c r="B27" t="s">
        <v>54</v>
      </c>
      <c r="C27">
        <f>'Demand by Case'!C27/'Demand by Case'!$C27</f>
        <v>1</v>
      </c>
      <c r="D27">
        <f>'Demand by Case'!D27/'Demand by Case'!$C27</f>
        <v>0.97331423611111123</v>
      </c>
      <c r="E27">
        <f>'Demand by Case'!E27/'Demand by Case'!$C27</f>
        <v>0.94785850694444451</v>
      </c>
      <c r="F27">
        <f>'Demand by Case'!F27/'Demand by Case'!$C27</f>
        <v>0.97198305555555553</v>
      </c>
      <c r="G27">
        <f>'Demand by Case'!G27/'Demand by Case'!$C27</f>
        <v>0.94596574652777776</v>
      </c>
      <c r="H27">
        <f>'Demand by Case'!H27/'Demand by Case'!$C27</f>
        <v>0.91021555555555567</v>
      </c>
      <c r="I27">
        <f>'Demand by Case'!I27/'Demand by Case'!$C27</f>
        <v>0.90069445312500007</v>
      </c>
      <c r="J27">
        <f>'Demand by Case'!J27/'Demand by Case'!$C27</f>
        <v>0.87297773437500015</v>
      </c>
      <c r="K27">
        <f>'Demand by Case'!K27/'Demand by Case'!$C27</f>
        <v>0.91949192708333349</v>
      </c>
      <c r="L27">
        <f>'Demand by Case'!L27/'Demand by Case'!$C27</f>
        <v>0.91385724826388903</v>
      </c>
      <c r="M27">
        <f>'Demand by Case'!M27/'Demand by Case'!$C27</f>
        <v>0.86933614583333341</v>
      </c>
      <c r="N27">
        <f>'Demand by Case'!N27/'Demand by Case'!$C27</f>
        <v>0.90817804687499992</v>
      </c>
      <c r="O27">
        <f>'Demand by Case'!O27/'Demand by Case'!$C27</f>
        <v>0.92291172743055572</v>
      </c>
      <c r="P27">
        <f>'Demand by Case'!P27/'Demand by Case'!$C27</f>
        <v>0.9111943402777779</v>
      </c>
      <c r="Q27">
        <f>'Demand by Case'!Q27/'Demand by Case'!$C27</f>
        <v>0.92262241319444449</v>
      </c>
      <c r="R27">
        <f>'Demand by Case'!R27/'Demand by Case'!$C27</f>
        <v>0.91287653645833344</v>
      </c>
      <c r="S27">
        <f>'Demand by Case'!S27/'Demand by Case'!$C27</f>
        <v>0.92867190972222236</v>
      </c>
      <c r="T27">
        <f>'Demand by Case'!T27/'Demand by Case'!$C27</f>
        <v>0.93764151041666666</v>
      </c>
      <c r="U27">
        <f>'Demand by Case'!U27/'Demand by Case'!$C27</f>
        <v>0.94610874131944467</v>
      </c>
      <c r="V27">
        <f>'Demand by Case'!V27/'Demand by Case'!$C27</f>
        <v>0.95318994791666667</v>
      </c>
      <c r="W27">
        <f>'Demand by Case'!W27/'Demand by Case'!$C27</f>
        <v>0.95861206597222226</v>
      </c>
      <c r="X27">
        <f>'Demand by Case'!X27/'Demand by Case'!$C27</f>
        <v>0.96495517361111105</v>
      </c>
      <c r="Y27">
        <f>'Demand by Case'!Y27/'Demand by Case'!$C27</f>
        <v>0.9744718750000001</v>
      </c>
      <c r="Z27">
        <f>'Demand by Case'!Z27/'Demand by Case'!$C27</f>
        <v>0.98464691840277785</v>
      </c>
      <c r="AA27">
        <f>'Demand by Case'!AA27/'Demand by Case'!$C27</f>
        <v>0.99589844618055579</v>
      </c>
      <c r="AB27">
        <f>'Demand by Case'!AB27/'Demand by Case'!$C27</f>
        <v>1.0082652256944447</v>
      </c>
      <c r="AC27">
        <f>'Demand by Case'!AC27/'Demand by Case'!$C27</f>
        <v>1.0200923177083334</v>
      </c>
      <c r="AD27">
        <f>'Demand by Case'!AD27/'Demand by Case'!$C27</f>
        <v>1.0327986458333336</v>
      </c>
      <c r="AE27">
        <f>'Demand by Case'!AE27/'Demand by Case'!$C27</f>
        <v>1.0452910590277777</v>
      </c>
      <c r="AF27">
        <f>'Demand by Case'!AF27/'Demand by Case'!$C27</f>
        <v>1.05816578125</v>
      </c>
      <c r="AG27">
        <f>'Demand by Case'!AG27/'Demand by Case'!$C27</f>
        <v>1.0702083333333334</v>
      </c>
      <c r="AH27">
        <f>'Demand by Case'!AH27/'Demand by Case'!$C27</f>
        <v>1.081779470486111</v>
      </c>
      <c r="AI27">
        <f>'Demand by Case'!AI27/'Demand by Case'!$C27</f>
        <v>1.0933567447916668</v>
      </c>
      <c r="AJ27">
        <f>'Demand by Case'!AJ27/'Demand by Case'!$C27</f>
        <v>1.1035200347222225</v>
      </c>
      <c r="AK27">
        <f>'Demand by Case'!AK27/'Demand by Case'!$C27</f>
        <v>1.1117528298611112</v>
      </c>
      <c r="AL27">
        <f>'Demand by Case'!AL27/'Demand by Case'!$C27</f>
        <v>1.1195469097222224</v>
      </c>
      <c r="AM27">
        <f>'Demand by Case'!AM27/'Demand by Case'!$C27</f>
        <v>1.1274779774305554</v>
      </c>
      <c r="AN27">
        <f>'Demand by Case'!AN27/'Demand by Case'!$C27</f>
        <v>1.1352895833333334</v>
      </c>
      <c r="AO27">
        <f>'Demand by Case'!AO27/'Demand by Case'!$C27</f>
        <v>1.1441720833333333</v>
      </c>
      <c r="AP27">
        <f>'Demand by Case'!AP27/'Demand by Case'!$C27</f>
        <v>1.1544954687500002</v>
      </c>
      <c r="AQ27">
        <f>'Demand by Case'!AQ27/'Demand by Case'!$C27</f>
        <v>1.1661675520833334</v>
      </c>
    </row>
    <row r="28" spans="1:43" x14ac:dyDescent="0.25">
      <c r="A28" t="s">
        <v>13</v>
      </c>
      <c r="B28" t="s">
        <v>55</v>
      </c>
      <c r="C28">
        <f>'Demand by Case'!C28/'Demand by Case'!$C28</f>
        <v>1</v>
      </c>
      <c r="D28">
        <f>'Demand by Case'!D28/'Demand by Case'!$C28</f>
        <v>1.0376608</v>
      </c>
      <c r="E28">
        <f>'Demand by Case'!E28/'Demand by Case'!$C28</f>
        <v>1.0125743999999999</v>
      </c>
      <c r="F28">
        <f>'Demand by Case'!F28/'Demand by Case'!$C28</f>
        <v>1.0182481866666666</v>
      </c>
      <c r="G28">
        <f>'Demand by Case'!G28/'Demand by Case'!$C28</f>
        <v>1.08225824</v>
      </c>
      <c r="H28">
        <f>'Demand by Case'!H28/'Demand by Case'!$C28</f>
        <v>1.0904664693333332</v>
      </c>
      <c r="I28">
        <f>'Demand by Case'!I28/'Demand by Case'!$C28</f>
        <v>1.0822011733333334</v>
      </c>
      <c r="J28">
        <f>'Demand by Case'!J28/'Demand by Case'!$C28</f>
        <v>1.0790634346666665</v>
      </c>
      <c r="K28">
        <f>'Demand by Case'!K28/'Demand by Case'!$C28</f>
        <v>1.1318910666666666</v>
      </c>
      <c r="L28">
        <f>'Demand by Case'!L28/'Demand by Case'!$C28</f>
        <v>1.1523093760000001</v>
      </c>
      <c r="M28">
        <f>'Demand by Case'!M28/'Demand by Case'!$C28</f>
        <v>1.106938736</v>
      </c>
      <c r="N28">
        <f>'Demand by Case'!N28/'Demand by Case'!$C28</f>
        <v>1.177562832</v>
      </c>
      <c r="O28">
        <f>'Demand by Case'!O28/'Demand by Case'!$C28</f>
        <v>1.2292982346666668</v>
      </c>
      <c r="P28">
        <f>'Demand by Case'!P28/'Demand by Case'!$C28</f>
        <v>1.1897482986666668</v>
      </c>
      <c r="Q28">
        <f>'Demand by Case'!Q28/'Demand by Case'!$C28</f>
        <v>1.2657848266666667</v>
      </c>
      <c r="R28">
        <f>'Demand by Case'!R28/'Demand by Case'!$C28</f>
        <v>1.2821257333333336</v>
      </c>
      <c r="S28">
        <f>'Demand by Case'!S28/'Demand by Case'!$C28</f>
        <v>1.289307824</v>
      </c>
      <c r="T28">
        <f>'Demand by Case'!T28/'Demand by Case'!$C28</f>
        <v>1.2993556586666666</v>
      </c>
      <c r="U28">
        <f>'Demand by Case'!U28/'Demand by Case'!$C28</f>
        <v>1.3111777333333334</v>
      </c>
      <c r="V28">
        <f>'Demand by Case'!V28/'Demand by Case'!$C28</f>
        <v>1.3259529493333333</v>
      </c>
      <c r="W28">
        <f>'Demand by Case'!W28/'Demand by Case'!$C28</f>
        <v>1.3389230293333332</v>
      </c>
      <c r="X28">
        <f>'Demand by Case'!X28/'Demand by Case'!$C28</f>
        <v>1.3525370239999999</v>
      </c>
      <c r="Y28">
        <f>'Demand by Case'!Y28/'Demand by Case'!$C28</f>
        <v>1.3733553226666666</v>
      </c>
      <c r="Z28">
        <f>'Demand by Case'!Z28/'Demand by Case'!$C28</f>
        <v>1.3956877920000001</v>
      </c>
      <c r="AA28">
        <f>'Demand by Case'!AA28/'Demand by Case'!$C28</f>
        <v>1.4201609759999998</v>
      </c>
      <c r="AB28">
        <f>'Demand by Case'!AB28/'Demand by Case'!$C28</f>
        <v>1.4486275733333331</v>
      </c>
      <c r="AC28">
        <f>'Demand by Case'!AC28/'Demand by Case'!$C28</f>
        <v>1.478613312</v>
      </c>
      <c r="AD28">
        <f>'Demand by Case'!AD28/'Demand by Case'!$C28</f>
        <v>1.5085537386666668</v>
      </c>
      <c r="AE28">
        <f>'Demand by Case'!AE28/'Demand by Case'!$C28</f>
        <v>1.5345406613333334</v>
      </c>
      <c r="AF28">
        <f>'Demand by Case'!AF28/'Demand by Case'!$C28</f>
        <v>1.5598146933333332</v>
      </c>
      <c r="AG28">
        <f>'Demand by Case'!AG28/'Demand by Case'!$C28</f>
        <v>1.5802726559999998</v>
      </c>
      <c r="AH28">
        <f>'Demand by Case'!AH28/'Demand by Case'!$C28</f>
        <v>1.6001103306666666</v>
      </c>
      <c r="AI28">
        <f>'Demand by Case'!AI28/'Demand by Case'!$C28</f>
        <v>1.6205640693333334</v>
      </c>
      <c r="AJ28">
        <f>'Demand by Case'!AJ28/'Demand by Case'!$C28</f>
        <v>1.6405447360000001</v>
      </c>
      <c r="AK28">
        <f>'Demand by Case'!AK28/'Demand by Case'!$C28</f>
        <v>1.6588564639999999</v>
      </c>
      <c r="AL28">
        <f>'Demand by Case'!AL28/'Demand by Case'!$C28</f>
        <v>1.6773248000000001</v>
      </c>
      <c r="AM28">
        <f>'Demand by Case'!AM28/'Demand by Case'!$C28</f>
        <v>1.6964822879999999</v>
      </c>
      <c r="AN28">
        <f>'Demand by Case'!AN28/'Demand by Case'!$C28</f>
        <v>1.7142179466666667</v>
      </c>
      <c r="AO28">
        <f>'Demand by Case'!AO28/'Demand by Case'!$C28</f>
        <v>1.7315592053333335</v>
      </c>
      <c r="AP28">
        <f>'Demand by Case'!AP28/'Demand by Case'!$C28</f>
        <v>1.7498571093333333</v>
      </c>
      <c r="AQ28">
        <f>'Demand by Case'!AQ28/'Demand by Case'!$C28</f>
        <v>1.7698172746666667</v>
      </c>
    </row>
    <row r="29" spans="1:43" x14ac:dyDescent="0.25">
      <c r="A29" t="s">
        <v>13</v>
      </c>
      <c r="B29" t="s">
        <v>8</v>
      </c>
      <c r="C29">
        <f>'Demand by Case'!C29/'Demand by Case'!$C29</f>
        <v>1</v>
      </c>
      <c r="D29">
        <f>'Demand by Case'!D29/'Demand by Case'!$C29</f>
        <v>1.0208786191536749</v>
      </c>
      <c r="E29">
        <f>'Demand by Case'!E29/'Demand by Case'!$C29</f>
        <v>1.0312227171492205</v>
      </c>
      <c r="F29">
        <f>'Demand by Case'!F29/'Demand by Case'!$C29</f>
        <v>1.0271473942093541</v>
      </c>
      <c r="G29">
        <f>'Demand by Case'!G29/'Demand by Case'!$C29</f>
        <v>1.0275484743875278</v>
      </c>
      <c r="H29">
        <f>'Demand by Case'!H29/'Demand by Case'!$C29</f>
        <v>1.0358161247216033</v>
      </c>
      <c r="I29">
        <f>'Demand by Case'!I29/'Demand by Case'!$C29</f>
        <v>1.0485408129175946</v>
      </c>
      <c r="J29">
        <f>'Demand by Case'!J29/'Demand by Case'!$C29</f>
        <v>1.0640164142538975</v>
      </c>
      <c r="K29">
        <f>'Demand by Case'!K29/'Demand by Case'!$C29</f>
        <v>1.0769235634743874</v>
      </c>
      <c r="L29">
        <f>'Demand by Case'!L29/'Demand by Case'!$C29</f>
        <v>1.0765527616926502</v>
      </c>
      <c r="M29">
        <f>'Demand by Case'!M29/'Demand by Case'!$C29</f>
        <v>1.0910835077951002</v>
      </c>
      <c r="N29">
        <f>'Demand by Case'!N29/'Demand by Case'!$C29</f>
        <v>1.1412347661469933</v>
      </c>
      <c r="O29">
        <f>'Demand by Case'!O29/'Demand by Case'!$C29</f>
        <v>1.167889420935412</v>
      </c>
      <c r="P29">
        <f>'Demand by Case'!P29/'Demand by Case'!$C29</f>
        <v>1.1475206124721604</v>
      </c>
      <c r="Q29">
        <f>'Demand by Case'!Q29/'Demand by Case'!$C29</f>
        <v>1.2295173719376393</v>
      </c>
      <c r="R29">
        <f>'Demand by Case'!R29/'Demand by Case'!$C29</f>
        <v>1.2273470267260578</v>
      </c>
      <c r="S29">
        <f>'Demand by Case'!S29/'Demand by Case'!$C29</f>
        <v>1.235968118040089</v>
      </c>
      <c r="T29">
        <f>'Demand by Case'!T29/'Demand by Case'!$C29</f>
        <v>1.253726915367483</v>
      </c>
      <c r="U29">
        <f>'Demand by Case'!U29/'Demand by Case'!$C29</f>
        <v>1.2721777728285075</v>
      </c>
      <c r="V29">
        <f>'Demand by Case'!V29/'Demand by Case'!$C29</f>
        <v>1.2990698663697102</v>
      </c>
      <c r="W29">
        <f>'Demand by Case'!W29/'Demand by Case'!$C29</f>
        <v>1.328070289532294</v>
      </c>
      <c r="X29">
        <f>'Demand by Case'!X29/'Demand by Case'!$C29</f>
        <v>1.3604056013363031</v>
      </c>
      <c r="Y29">
        <f>'Demand by Case'!Y29/'Demand by Case'!$C29</f>
        <v>1.4001202672605788</v>
      </c>
      <c r="Z29">
        <f>'Demand by Case'!Z29/'Demand by Case'!$C29</f>
        <v>1.4434396547884187</v>
      </c>
      <c r="AA29">
        <f>'Demand by Case'!AA29/'Demand by Case'!$C29</f>
        <v>1.4913701670378618</v>
      </c>
      <c r="AB29">
        <f>'Demand by Case'!AB29/'Demand by Case'!$C29</f>
        <v>1.5397333296213809</v>
      </c>
      <c r="AC29">
        <f>'Demand by Case'!AC29/'Demand by Case'!$C29</f>
        <v>1.5846569933184855</v>
      </c>
      <c r="AD29">
        <f>'Demand by Case'!AD29/'Demand by Case'!$C29</f>
        <v>1.6275781514476615</v>
      </c>
      <c r="AE29">
        <f>'Demand by Case'!AE29/'Demand by Case'!$C29</f>
        <v>1.6710249109131403</v>
      </c>
      <c r="AF29">
        <f>'Demand by Case'!AF29/'Demand by Case'!$C29</f>
        <v>1.7138697327394208</v>
      </c>
      <c r="AG29">
        <f>'Demand by Case'!AG29/'Demand by Case'!$C29</f>
        <v>1.756121792873051</v>
      </c>
      <c r="AH29">
        <f>'Demand by Case'!AH29/'Demand by Case'!$C29</f>
        <v>1.7972968708240533</v>
      </c>
      <c r="AI29">
        <f>'Demand by Case'!AI29/'Demand by Case'!$C29</f>
        <v>1.8384545879732739</v>
      </c>
      <c r="AJ29">
        <f>'Demand by Case'!AJ29/'Demand by Case'!$C29</f>
        <v>1.8800213697104677</v>
      </c>
      <c r="AK29">
        <f>'Demand by Case'!AK29/'Demand by Case'!$C29</f>
        <v>1.9183121380846324</v>
      </c>
      <c r="AL29">
        <f>'Demand by Case'!AL29/'Demand by Case'!$C29</f>
        <v>1.9542669376391983</v>
      </c>
      <c r="AM29">
        <f>'Demand by Case'!AM29/'Demand by Case'!$C29</f>
        <v>1.9914576948775056</v>
      </c>
      <c r="AN29">
        <f>'Demand by Case'!AN29/'Demand by Case'!$C29</f>
        <v>2.02746710467706</v>
      </c>
      <c r="AO29">
        <f>'Demand by Case'!AO29/'Demand by Case'!$C29</f>
        <v>2.0646151002227171</v>
      </c>
      <c r="AP29">
        <f>'Demand by Case'!AP29/'Demand by Case'!$C29</f>
        <v>2.1034586636971042</v>
      </c>
      <c r="AQ29">
        <f>'Demand by Case'!AQ29/'Demand by Case'!$C29</f>
        <v>2.1444781291759463</v>
      </c>
    </row>
    <row r="30" spans="1:43" x14ac:dyDescent="0.25">
      <c r="A30" t="s">
        <v>13</v>
      </c>
      <c r="B30" t="s">
        <v>9</v>
      </c>
      <c r="C30">
        <f>'Demand by Case'!C30/'Demand by Case'!$C30</f>
        <v>1</v>
      </c>
      <c r="D30">
        <f>'Demand by Case'!D30/'Demand by Case'!$C30</f>
        <v>1.0190384889522452</v>
      </c>
      <c r="E30">
        <f>'Demand by Case'!E30/'Demand by Case'!$C30</f>
        <v>1.0088125445473985</v>
      </c>
      <c r="F30">
        <f>'Demand by Case'!F30/'Demand by Case'!$C30</f>
        <v>1.0028923093371347</v>
      </c>
      <c r="G30">
        <f>'Demand by Case'!G30/'Demand by Case'!$C30</f>
        <v>1.0105245901639344</v>
      </c>
      <c r="H30">
        <f>'Demand by Case'!H30/'Demand by Case'!$C30</f>
        <v>1.022168660014255</v>
      </c>
      <c r="I30">
        <f>'Demand by Case'!I30/'Demand by Case'!$C30</f>
        <v>1.0197997362794013</v>
      </c>
      <c r="J30">
        <f>'Demand by Case'!J30/'Demand by Case'!$C30</f>
        <v>1.0433873699215965</v>
      </c>
      <c r="K30">
        <f>'Demand by Case'!K30/'Demand by Case'!$C30</f>
        <v>1.0419745972915182</v>
      </c>
      <c r="L30">
        <f>'Demand by Case'!L30/'Demand by Case'!$C30</f>
        <v>1.0263881397006416</v>
      </c>
      <c r="M30">
        <f>'Demand by Case'!M30/'Demand by Case'!$C30</f>
        <v>1.0376809408410548</v>
      </c>
      <c r="N30">
        <f>'Demand by Case'!N30/'Demand by Case'!$C30</f>
        <v>1.0563281111903065</v>
      </c>
      <c r="O30">
        <f>'Demand by Case'!O30/'Demand by Case'!$C30</f>
        <v>1.0865177334283678</v>
      </c>
      <c r="P30">
        <f>'Demand by Case'!P30/'Demand by Case'!$C30</f>
        <v>1.0719813186029934</v>
      </c>
      <c r="Q30">
        <f>'Demand by Case'!Q30/'Demand by Case'!$C30</f>
        <v>1.1203670206699927</v>
      </c>
      <c r="R30">
        <f>'Demand by Case'!R30/'Demand by Case'!$C30</f>
        <v>1.1108053029223093</v>
      </c>
      <c r="S30">
        <f>'Demand by Case'!S30/'Demand by Case'!$C30</f>
        <v>1.1247731931575196</v>
      </c>
      <c r="T30">
        <f>'Demand by Case'!T30/'Demand by Case'!$C30</f>
        <v>1.1530131218816821</v>
      </c>
      <c r="U30">
        <f>'Demand by Case'!U30/'Demand by Case'!$C30</f>
        <v>1.1778864575908767</v>
      </c>
      <c r="V30">
        <f>'Demand by Case'!V30/'Demand by Case'!$C30</f>
        <v>1.204673406985032</v>
      </c>
      <c r="W30">
        <f>'Demand by Case'!W30/'Demand by Case'!$C30</f>
        <v>1.2325733499643621</v>
      </c>
      <c r="X30">
        <f>'Demand by Case'!X30/'Demand by Case'!$C30</f>
        <v>1.2612404205274412</v>
      </c>
      <c r="Y30">
        <f>'Demand by Case'!Y30/'Demand by Case'!$C30</f>
        <v>1.2970249964362082</v>
      </c>
      <c r="Z30">
        <f>'Demand by Case'!Z30/'Demand by Case'!$C30</f>
        <v>1.3355732929436921</v>
      </c>
      <c r="AA30">
        <f>'Demand by Case'!AA30/'Demand by Case'!$C30</f>
        <v>1.376329116179615</v>
      </c>
      <c r="AB30">
        <f>'Demand by Case'!AB30/'Demand by Case'!$C30</f>
        <v>1.4158157020669992</v>
      </c>
      <c r="AC30">
        <f>'Demand by Case'!AC30/'Demand by Case'!$C30</f>
        <v>1.4522645616535994</v>
      </c>
      <c r="AD30">
        <f>'Demand by Case'!AD30/'Demand by Case'!$C30</f>
        <v>1.4871501853171776</v>
      </c>
      <c r="AE30">
        <f>'Demand by Case'!AE30/'Demand by Case'!$C30</f>
        <v>1.5222743549536706</v>
      </c>
      <c r="AF30">
        <f>'Demand by Case'!AF30/'Demand by Case'!$C30</f>
        <v>1.5564909764789736</v>
      </c>
      <c r="AG30">
        <f>'Demand by Case'!AG30/'Demand by Case'!$C30</f>
        <v>1.5890744903777618</v>
      </c>
      <c r="AH30">
        <f>'Demand by Case'!AH30/'Demand by Case'!$C30</f>
        <v>1.6195404490377765</v>
      </c>
      <c r="AI30">
        <f>'Demand by Case'!AI30/'Demand by Case'!$C30</f>
        <v>1.6493241981468281</v>
      </c>
      <c r="AJ30">
        <f>'Demand by Case'!AJ30/'Demand by Case'!$C30</f>
        <v>1.678470420527441</v>
      </c>
      <c r="AK30">
        <f>'Demand by Case'!AK30/'Demand by Case'!$C30</f>
        <v>1.7055315538132572</v>
      </c>
      <c r="AL30">
        <f>'Demand by Case'!AL30/'Demand by Case'!$C30</f>
        <v>1.7308030363506772</v>
      </c>
      <c r="AM30">
        <f>'Demand by Case'!AM30/'Demand by Case'!$C30</f>
        <v>1.7567403349964361</v>
      </c>
      <c r="AN30">
        <f>'Demand by Case'!AN30/'Demand by Case'!$C30</f>
        <v>1.7818010762651462</v>
      </c>
      <c r="AO30">
        <f>'Demand by Case'!AO30/'Demand by Case'!$C30</f>
        <v>1.8064318246614397</v>
      </c>
      <c r="AP30">
        <f>'Demand by Case'!AP30/'Demand by Case'!$C30</f>
        <v>1.8316547184604417</v>
      </c>
      <c r="AQ30">
        <f>'Demand by Case'!AQ30/'Demand by Case'!$C30</f>
        <v>1.8583142979330005</v>
      </c>
    </row>
    <row r="31" spans="1:43" s="3" customFormat="1" x14ac:dyDescent="0.25">
      <c r="A31" s="3" t="s">
        <v>13</v>
      </c>
      <c r="B31" s="3" t="s">
        <v>10</v>
      </c>
      <c r="C31" s="3">
        <f>'Demand by Case'!C31/'Demand by Case'!$C31</f>
        <v>1</v>
      </c>
      <c r="D31" s="3">
        <f>'Demand by Case'!D31/'Demand by Case'!$C31</f>
        <v>0.99849258391881335</v>
      </c>
      <c r="E31" s="3">
        <f>'Demand by Case'!E31/'Demand by Case'!$C31</f>
        <v>0.9841836846213895</v>
      </c>
      <c r="F31" s="3">
        <f>'Demand by Case'!F31/'Demand by Case'!$C31</f>
        <v>0.98482262841530055</v>
      </c>
      <c r="G31" s="3">
        <f>'Demand by Case'!G31/'Demand by Case'!$C31</f>
        <v>1.0046947455113193</v>
      </c>
      <c r="H31" s="3">
        <f>'Demand by Case'!H31/'Demand by Case'!$C31</f>
        <v>0.99702483996877433</v>
      </c>
      <c r="I31" s="3">
        <f>'Demand by Case'!I31/'Demand by Case'!$C31</f>
        <v>0.99530471662763464</v>
      </c>
      <c r="J31" s="3">
        <f>'Demand by Case'!J31/'Demand by Case'!$C31</f>
        <v>0.98951929508196712</v>
      </c>
      <c r="K31" s="3">
        <f>'Demand by Case'!K31/'Demand by Case'!$C31</f>
        <v>1.0208092107728337</v>
      </c>
      <c r="L31" s="3">
        <f>'Demand by Case'!L31/'Demand by Case'!$C31</f>
        <v>1.0138515823575331</v>
      </c>
      <c r="M31" s="3">
        <f>'Demand by Case'!M31/'Demand by Case'!$C31</f>
        <v>0.98940083996877437</v>
      </c>
      <c r="N31" s="3">
        <f>'Demand by Case'!N31/'Demand by Case'!$C31</f>
        <v>1.0299690312256051</v>
      </c>
      <c r="O31" s="3">
        <f>'Demand by Case'!O31/'Demand by Case'!$C31</f>
        <v>1.0549933754879002</v>
      </c>
      <c r="P31" s="3">
        <f>'Demand by Case'!P31/'Demand by Case'!$C31</f>
        <v>1.0369746213895394</v>
      </c>
      <c r="Q31" s="3">
        <f>'Demand by Case'!Q31/'Demand by Case'!$C31</f>
        <v>1.0760407603434816</v>
      </c>
      <c r="R31" s="3">
        <f>'Demand by Case'!R31/'Demand by Case'!$C31</f>
        <v>1.0800682576112413</v>
      </c>
      <c r="S31" s="3">
        <f>'Demand by Case'!S31/'Demand by Case'!$C31</f>
        <v>1.0859236479313035</v>
      </c>
      <c r="T31" s="3">
        <f>'Demand by Case'!T31/'Demand by Case'!$C31</f>
        <v>1.098032931303669</v>
      </c>
      <c r="U31" s="3">
        <f>'Demand by Case'!U31/'Demand by Case'!$C31</f>
        <v>1.1097590577673693</v>
      </c>
      <c r="V31" s="3">
        <f>'Demand by Case'!V31/'Demand by Case'!$C31</f>
        <v>1.1249730725995315</v>
      </c>
      <c r="W31" s="3">
        <f>'Demand by Case'!W31/'Demand by Case'!$C31</f>
        <v>1.1397565854800937</v>
      </c>
      <c r="X31" s="3">
        <f>'Demand by Case'!X31/'Demand by Case'!$C31</f>
        <v>1.155456544886807</v>
      </c>
      <c r="Y31" s="3">
        <f>'Demand by Case'!Y31/'Demand by Case'!$C31</f>
        <v>1.1760966510538642</v>
      </c>
      <c r="Z31" s="3">
        <f>'Demand by Case'!Z31/'Demand by Case'!$C31</f>
        <v>1.1980248064012491</v>
      </c>
      <c r="AA31" s="3">
        <f>'Demand by Case'!AA31/'Demand by Case'!$C31</f>
        <v>1.2220308914910225</v>
      </c>
      <c r="AB31" s="3">
        <f>'Demand by Case'!AB31/'Demand by Case'!$C31</f>
        <v>1.2471941397345823</v>
      </c>
      <c r="AC31" s="3">
        <f>'Demand by Case'!AC31/'Demand by Case'!$C31</f>
        <v>1.2724967338017175</v>
      </c>
      <c r="AD31" s="3">
        <f>'Demand by Case'!AD31/'Demand by Case'!$C31</f>
        <v>1.2969036908665106</v>
      </c>
      <c r="AE31" s="3">
        <f>'Demand by Case'!AE31/'Demand by Case'!$C31</f>
        <v>1.3213282888368463</v>
      </c>
      <c r="AF31" s="3">
        <f>'Demand by Case'!AF31/'Demand by Case'!$C31</f>
        <v>1.3456928563622168</v>
      </c>
      <c r="AG31" s="3">
        <f>'Demand by Case'!AG31/'Demand by Case'!$C31</f>
        <v>1.3683752607338018</v>
      </c>
      <c r="AH31" s="3">
        <f>'Demand by Case'!AH31/'Demand by Case'!$C31</f>
        <v>1.3894782053083528</v>
      </c>
      <c r="AI31" s="3">
        <f>'Demand by Case'!AI31/'Demand by Case'!$C31</f>
        <v>1.4100743466042154</v>
      </c>
      <c r="AJ31" s="3">
        <f>'Demand by Case'!AJ31/'Demand by Case'!$C31</f>
        <v>1.4297110655737704</v>
      </c>
      <c r="AK31" s="3">
        <f>'Demand by Case'!AK31/'Demand by Case'!$C31</f>
        <v>1.4477380928961749</v>
      </c>
      <c r="AL31" s="3">
        <f>'Demand by Case'!AL31/'Demand by Case'!$C31</f>
        <v>1.4649894621389539</v>
      </c>
      <c r="AM31" s="3">
        <f>'Demand by Case'!AM31/'Demand by Case'!$C31</f>
        <v>1.4827422716627634</v>
      </c>
      <c r="AN31" s="3">
        <f>'Demand by Case'!AN31/'Demand by Case'!$C31</f>
        <v>1.5003712661982824</v>
      </c>
      <c r="AO31" s="3">
        <f>'Demand by Case'!AO31/'Demand by Case'!$C31</f>
        <v>1.5181806471506636</v>
      </c>
      <c r="AP31" s="3">
        <f>'Demand by Case'!AP31/'Demand by Case'!$C31</f>
        <v>1.5367669679937546</v>
      </c>
      <c r="AQ31" s="3">
        <f>'Demand by Case'!AQ31/'Demand by Case'!$C31</f>
        <v>1.5567053887587821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Adding DGPV to Demand</vt:lpstr>
      <vt:lpstr>Demand by Case</vt:lpstr>
      <vt:lpstr>Demand Ratios</vt:lpstr>
    </vt:vector>
  </TitlesOfParts>
  <Company>NREL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NREL</dc:creator>
  <cp:lastModifiedBy>Cole, Wesley</cp:lastModifiedBy>
  <dcterms:created xsi:type="dcterms:W3CDTF">2014-05-22T22:48:06Z</dcterms:created>
  <dcterms:modified xsi:type="dcterms:W3CDTF">2025-10-16T23:24:07Z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{C90651AE-F8D6-4A29-A85E-9076264D2E76}</vt:lpwstr>
  </property>
</Properties>
</file>