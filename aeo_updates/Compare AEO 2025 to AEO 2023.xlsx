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ml.chartshapes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theme/themeOverride7.xml" ContentType="application/vnd.openxmlformats-officedocument.themeOverride+xml"/>
  <Override PartName="/xl/charts/chart13.xml" ContentType="application/vnd.openxmlformats-officedocument.drawingml.chart+xml"/>
  <Override PartName="/xl/theme/themeOverride8.xml" ContentType="application/vnd.openxmlformats-officedocument.themeOverride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https://nrel-my.sharepoint.com/personal/wcole_nrel_gov/Documents/Documents/FY25/General ReEDS Work/AEO 2025 Updates/"/>
    </mc:Choice>
  </mc:AlternateContent>
  <xr:revisionPtr revIDLastSave="160" documentId="13_ncr:1_{6EEC2D67-C86E-4050-810A-3664A63B4CBB}" xr6:coauthVersionLast="47" xr6:coauthVersionMax="47" xr10:uidLastSave="{892E7293-B4BF-4D46-B707-9FA8510FE43C}"/>
  <bookViews>
    <workbookView xWindow="28680" yWindow="-120" windowWidth="29040" windowHeight="15720" xr2:uid="{00000000-000D-0000-FFFF-FFFF00000000}"/>
  </bookViews>
  <sheets>
    <sheet name="Demand Growth" sheetId="1" r:id="rId1"/>
    <sheet name="Coal Prices" sheetId="4" r:id="rId2"/>
    <sheet name="NG Prices" sheetId="5" r:id="rId3"/>
    <sheet name="Capital Costs" sheetId="6" r:id="rId4"/>
    <sheet name="RE Tech Costs" sheetId="7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5" l="1"/>
  <c r="O4" i="5"/>
  <c r="O2" i="5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M12" i="1"/>
  <c r="M11" i="1"/>
  <c r="M13" i="1"/>
  <c r="M10" i="1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C7" i="4"/>
  <c r="J20" i="7" l="1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C47" i="6"/>
  <c r="D47" i="6"/>
  <c r="E47" i="6"/>
  <c r="F47" i="6"/>
  <c r="G47" i="6"/>
  <c r="H47" i="6"/>
  <c r="I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C58" i="6"/>
  <c r="D58" i="6"/>
  <c r="E58" i="6"/>
  <c r="F58" i="6"/>
  <c r="G58" i="6"/>
  <c r="H58" i="6"/>
  <c r="I58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B48" i="6"/>
  <c r="B49" i="6"/>
  <c r="B50" i="6"/>
  <c r="B53" i="6"/>
  <c r="B55" i="6"/>
  <c r="B56" i="6"/>
  <c r="B57" i="6"/>
  <c r="B58" i="6"/>
  <c r="B59" i="6"/>
  <c r="B61" i="6"/>
  <c r="B62" i="6"/>
  <c r="B4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wcole</author>
  </authors>
  <commentList>
    <comment ref="A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These are UPV, not DPV values.</t>
        </r>
      </text>
    </comment>
    <comment ref="A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These are UPV, not DPV values.</t>
        </r>
      </text>
    </comment>
    <comment ref="A11" authorId="0" shapeId="0" xr:uid="{21CFEFB1-E20F-4B85-B0B4-1B68CDE1AE31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These are UPV, not DPV values.</t>
        </r>
      </text>
    </comment>
    <comment ref="A12" authorId="0" shapeId="0" xr:uid="{374B5BD2-04D9-4F53-B296-EFE0FF67CD12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These are UPV, not DPV values.</t>
        </r>
      </text>
    </comment>
  </commentList>
</comments>
</file>

<file path=xl/sharedStrings.xml><?xml version="1.0" encoding="utf-8"?>
<sst xmlns="http://schemas.openxmlformats.org/spreadsheetml/2006/main" count="107" uniqueCount="66">
  <si>
    <t>Scenario</t>
  </si>
  <si>
    <t xml:space="preserve"> Technology</t>
  </si>
  <si>
    <t>Hydro</t>
  </si>
  <si>
    <t>Gas-CT</t>
  </si>
  <si>
    <t>Gas-CC</t>
  </si>
  <si>
    <t>Gas-CC-CCS</t>
  </si>
  <si>
    <t>CoalOldScr</t>
  </si>
  <si>
    <t>CoalOldUns</t>
  </si>
  <si>
    <t>Coal-new</t>
  </si>
  <si>
    <t>Coal-IGCC</t>
  </si>
  <si>
    <t>coal-CCS</t>
  </si>
  <si>
    <t>o-g-s</t>
  </si>
  <si>
    <t>Nuclear</t>
  </si>
  <si>
    <t>geothermal</t>
  </si>
  <si>
    <t>biopower</t>
  </si>
  <si>
    <t>CofireOld</t>
  </si>
  <si>
    <t>CofireNew</t>
  </si>
  <si>
    <t>lfill-gas</t>
  </si>
  <si>
    <t>Technology</t>
  </si>
  <si>
    <t xml:space="preserve">    Solar Thermal - AEO18</t>
  </si>
  <si>
    <t xml:space="preserve">    Solar PV Tracking- AEO18</t>
  </si>
  <si>
    <t xml:space="preserve">    Solar PV Fixed - AEO18</t>
  </si>
  <si>
    <t xml:space="preserve">    Wind - AEO18</t>
  </si>
  <si>
    <t xml:space="preserve">    Offshore Wind - AEO18</t>
  </si>
  <si>
    <t>All numbers are in 2017$/kW</t>
  </si>
  <si>
    <t>Percent Change</t>
  </si>
  <si>
    <t>Percent Difference</t>
  </si>
  <si>
    <t>Reference</t>
  </si>
  <si>
    <t>High Resource</t>
  </si>
  <si>
    <t>Low Resource</t>
  </si>
  <si>
    <t>Uranium</t>
  </si>
  <si>
    <t>Coal</t>
  </si>
  <si>
    <t>AEO 2020</t>
  </si>
  <si>
    <t>`</t>
  </si>
  <si>
    <t xml:space="preserve">    Solar Thermal - AEO20</t>
  </si>
  <si>
    <t xml:space="preserve">    Solar PV Tracking- AEO20</t>
  </si>
  <si>
    <t xml:space="preserve">    Solar PV Fixed - AEO20</t>
  </si>
  <si>
    <t xml:space="preserve">    Wind - AEO20</t>
  </si>
  <si>
    <t xml:space="preserve">    Offshore Wind - AEO20</t>
  </si>
  <si>
    <t>Electrification</t>
  </si>
  <si>
    <t>Electrification is from EFS-High</t>
  </si>
  <si>
    <t>AEO 2021</t>
  </si>
  <si>
    <t xml:space="preserve">    Solar Thermal - AEO21</t>
  </si>
  <si>
    <t xml:space="preserve">    Solar PV Tracking- AEO21</t>
  </si>
  <si>
    <t xml:space="preserve">    Solar PV Fixed - AEO21</t>
  </si>
  <si>
    <t xml:space="preserve">    Wind - AEO21</t>
  </si>
  <si>
    <t xml:space="preserve">    Offshore Wind - AEO21</t>
  </si>
  <si>
    <t>High Demand</t>
  </si>
  <si>
    <t>Low Demand</t>
  </si>
  <si>
    <t>2021$</t>
  </si>
  <si>
    <t>AEO 2022</t>
  </si>
  <si>
    <t>Nuclear SMR</t>
  </si>
  <si>
    <t>Reference - 2023</t>
  </si>
  <si>
    <t>High O&amp;G Resource - 2023</t>
  </si>
  <si>
    <t>Low O&amp;G Resource - 2023</t>
  </si>
  <si>
    <t>High Growth - 2023</t>
  </si>
  <si>
    <t>Low Growth - 2023</t>
  </si>
  <si>
    <t>Reference - 2025</t>
  </si>
  <si>
    <t>Inflate 2022$ to 2024$</t>
  </si>
  <si>
    <t>Total</t>
  </si>
  <si>
    <t>High O&amp;G Resource - 2025</t>
  </si>
  <si>
    <t>Low O&amp;G Resource - 2025</t>
  </si>
  <si>
    <t>Note: 2023 year in the 2025 projected was adjusted based on the ratio between 2020 NG Henry Hub prices and the 2023 NG Henry Hub prices</t>
  </si>
  <si>
    <t>Uranium - old</t>
  </si>
  <si>
    <t>High Growth - 2025</t>
  </si>
  <si>
    <t>Low Growth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</si>
</sst>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9" fontId="0" fillId="0" borderId="0" xfId="1" applyFont="1" applyFill="1"/>
    <xf numFmtId="9" fontId="0" fillId="0" borderId="0" xfId="1" applyFont="1"/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6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'Demand Growth'!$A$2</c:f>
              <c:strCache>
                <c:ptCount val="1"/>
                <c:pt idx="0">
                  <c:v>Reference - 2025</c:v>
                </c:pt>
              </c:strCache>
            </c:strRef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Growth'!$B$2:$AP$2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1.0470268516783763</c:v>
                </c:pt>
                <c:pt idx="14">
                  <c:v>1.0761188782201405</c:v>
                </c:pt>
                <c:pt idx="15">
                  <c:v>1.0910677892271663</c:v>
                </c:pt>
                <c:pt idx="16">
                  <c:v>1.1006374301327089</c:v>
                </c:pt>
                <c:pt idx="17">
                  <c:v>1.1166932989851679</c:v>
                </c:pt>
                <c:pt idx="18">
                  <c:v>1.1308581061670571</c:v>
                </c:pt>
                <c:pt idx="19">
                  <c:v>1.1475120281030444</c:v>
                </c:pt>
                <c:pt idx="20">
                  <c:v>1.1643147853239657</c:v>
                </c:pt>
                <c:pt idx="21">
                  <c:v>1.1821905277127243</c:v>
                </c:pt>
                <c:pt idx="22">
                  <c:v>1.2053452131147542</c:v>
                </c:pt>
                <c:pt idx="23">
                  <c:v>1.2297044738485556</c:v>
                </c:pt>
                <c:pt idx="24">
                  <c:v>1.2572416057767368</c:v>
                </c:pt>
                <c:pt idx="25">
                  <c:v>1.2855879422326306</c:v>
                </c:pt>
                <c:pt idx="26">
                  <c:v>1.3148456057767368</c:v>
                </c:pt>
                <c:pt idx="27">
                  <c:v>1.3438168337236531</c:v>
                </c:pt>
                <c:pt idx="28">
                  <c:v>1.3719158594847776</c:v>
                </c:pt>
                <c:pt idx="29">
                  <c:v>1.399901351288056</c:v>
                </c:pt>
                <c:pt idx="30">
                  <c:v>1.4267206096799374</c:v>
                </c:pt>
                <c:pt idx="31">
                  <c:v>1.4520816471506632</c:v>
                </c:pt>
                <c:pt idx="32">
                  <c:v>1.4760840725995314</c:v>
                </c:pt>
                <c:pt idx="33">
                  <c:v>1.4988091530054646</c:v>
                </c:pt>
                <c:pt idx="34">
                  <c:v>1.519899362997658</c:v>
                </c:pt>
                <c:pt idx="35">
                  <c:v>1.5403434676034347</c:v>
                </c:pt>
                <c:pt idx="36">
                  <c:v>1.5602183497267761</c:v>
                </c:pt>
                <c:pt idx="37">
                  <c:v>1.5806704402810305</c:v>
                </c:pt>
                <c:pt idx="38">
                  <c:v>1.6020320304449649</c:v>
                </c:pt>
                <c:pt idx="39">
                  <c:v>1.6240689211553474</c:v>
                </c:pt>
                <c:pt idx="40">
                  <c:v>1.6470536557377047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13-4AEB-862C-E0396DB3F02B}"/>
            </c:ext>
          </c:extLst>
        </c:ser>
        <c:ser>
          <c:idx val="4"/>
          <c:order val="4"/>
          <c:tx>
            <c:strRef>
              <c:f>'Demand Growth'!$A$3</c:f>
              <c:strCache>
                <c:ptCount val="1"/>
                <c:pt idx="0">
                  <c:v>High Growth - 2025</c:v>
                </c:pt>
              </c:strCache>
            </c:strRef>
          </c:tx>
          <c:spPr>
            <a:ln>
              <a:solidFill>
                <a:schemeClr val="accent2"/>
              </a:solidFill>
              <a:prstDash val="solid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Growth'!$B$3:$AP$3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1.0435344957064794</c:v>
                </c:pt>
                <c:pt idx="14">
                  <c:v>1.0761688579234974</c:v>
                </c:pt>
                <c:pt idx="15">
                  <c:v>1.0898130936768149</c:v>
                </c:pt>
                <c:pt idx="16">
                  <c:v>1.1060900999219359</c:v>
                </c:pt>
                <c:pt idx="17">
                  <c:v>1.126754555815769</c:v>
                </c:pt>
                <c:pt idx="18">
                  <c:v>1.1430164082747853</c:v>
                </c:pt>
                <c:pt idx="19">
                  <c:v>1.164378993754879</c:v>
                </c:pt>
                <c:pt idx="20">
                  <c:v>1.1857879203747073</c:v>
                </c:pt>
                <c:pt idx="21">
                  <c:v>1.2083202903981263</c:v>
                </c:pt>
                <c:pt idx="22">
                  <c:v>1.2351856057767368</c:v>
                </c:pt>
                <c:pt idx="23">
                  <c:v>1.2630336416861825</c:v>
                </c:pt>
                <c:pt idx="24">
                  <c:v>1.2941610187353632</c:v>
                </c:pt>
                <c:pt idx="25">
                  <c:v>1.3308798860265418</c:v>
                </c:pt>
                <c:pt idx="26">
                  <c:v>1.3636362404371583</c:v>
                </c:pt>
                <c:pt idx="27">
                  <c:v>1.3959979375487899</c:v>
                </c:pt>
                <c:pt idx="28">
                  <c:v>1.4257482201405152</c:v>
                </c:pt>
                <c:pt idx="29">
                  <c:v>1.4555049711163153</c:v>
                </c:pt>
                <c:pt idx="30">
                  <c:v>1.4835642045277124</c:v>
                </c:pt>
                <c:pt idx="31">
                  <c:v>1.5096131100702577</c:v>
                </c:pt>
                <c:pt idx="32">
                  <c:v>1.5366906955503512</c:v>
                </c:pt>
                <c:pt idx="33">
                  <c:v>1.5628823590944574</c:v>
                </c:pt>
                <c:pt idx="34">
                  <c:v>1.5877624199843872</c:v>
                </c:pt>
                <c:pt idx="35">
                  <c:v>1.6126907556596408</c:v>
                </c:pt>
                <c:pt idx="36">
                  <c:v>1.6376007166276345</c:v>
                </c:pt>
                <c:pt idx="37">
                  <c:v>1.6637865604996096</c:v>
                </c:pt>
                <c:pt idx="38">
                  <c:v>1.6901471975019515</c:v>
                </c:pt>
                <c:pt idx="39">
                  <c:v>1.7178489945355191</c:v>
                </c:pt>
                <c:pt idx="40">
                  <c:v>1.7473800554254488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13-4AEB-862C-E0396DB3F02B}"/>
            </c:ext>
          </c:extLst>
        </c:ser>
        <c:ser>
          <c:idx val="5"/>
          <c:order val="5"/>
          <c:tx>
            <c:strRef>
              <c:f>'Demand Growth'!$A$4</c:f>
              <c:strCache>
                <c:ptCount val="1"/>
                <c:pt idx="0">
                  <c:v>Low Growth - 2025</c:v>
                </c:pt>
              </c:strCache>
            </c:strRef>
          </c:tx>
          <c:spPr>
            <a:ln>
              <a:solidFill>
                <a:schemeClr val="accent3"/>
              </a:solidFill>
              <a:prstDash val="solid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Growth'!$B$4:$AP$4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1.0369746213895394</c:v>
                </c:pt>
                <c:pt idx="14">
                  <c:v>1.0760407603434816</c:v>
                </c:pt>
                <c:pt idx="15">
                  <c:v>1.0800682576112413</c:v>
                </c:pt>
                <c:pt idx="16">
                  <c:v>1.0859236479313035</c:v>
                </c:pt>
                <c:pt idx="17">
                  <c:v>1.098032931303669</c:v>
                </c:pt>
                <c:pt idx="18">
                  <c:v>1.1097590577673693</c:v>
                </c:pt>
                <c:pt idx="19">
                  <c:v>1.1249730725995315</c:v>
                </c:pt>
                <c:pt idx="20">
                  <c:v>1.1397565854800937</c:v>
                </c:pt>
                <c:pt idx="21">
                  <c:v>1.155456544886807</c:v>
                </c:pt>
                <c:pt idx="22">
                  <c:v>1.1760966510538642</c:v>
                </c:pt>
                <c:pt idx="23">
                  <c:v>1.1980248064012491</c:v>
                </c:pt>
                <c:pt idx="24">
                  <c:v>1.2220308914910225</c:v>
                </c:pt>
                <c:pt idx="25">
                  <c:v>1.2471941397345823</c:v>
                </c:pt>
                <c:pt idx="26">
                  <c:v>1.2724967338017175</c:v>
                </c:pt>
                <c:pt idx="27">
                  <c:v>1.2969036908665106</c:v>
                </c:pt>
                <c:pt idx="28">
                  <c:v>1.3213282888368463</c:v>
                </c:pt>
                <c:pt idx="29">
                  <c:v>1.3456928563622168</c:v>
                </c:pt>
                <c:pt idx="30">
                  <c:v>1.3683752607338018</c:v>
                </c:pt>
                <c:pt idx="31">
                  <c:v>1.3894782053083528</c:v>
                </c:pt>
                <c:pt idx="32">
                  <c:v>1.4100743466042154</c:v>
                </c:pt>
                <c:pt idx="33">
                  <c:v>1.4297110655737704</c:v>
                </c:pt>
                <c:pt idx="34">
                  <c:v>1.4477380928961749</c:v>
                </c:pt>
                <c:pt idx="35">
                  <c:v>1.4649894621389539</c:v>
                </c:pt>
                <c:pt idx="36">
                  <c:v>1.4827422716627634</c:v>
                </c:pt>
                <c:pt idx="37">
                  <c:v>1.5003712661982824</c:v>
                </c:pt>
                <c:pt idx="38">
                  <c:v>1.5181806471506636</c:v>
                </c:pt>
                <c:pt idx="39">
                  <c:v>1.5367669679937546</c:v>
                </c:pt>
                <c:pt idx="40">
                  <c:v>1.5567053887587821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13-4AEB-862C-E0396DB3F02B}"/>
            </c:ext>
          </c:extLst>
        </c:ser>
        <c:ser>
          <c:idx val="0"/>
          <c:order val="0"/>
          <c:tx>
            <c:strRef>
              <c:f>'Demand Growth'!$A$5</c:f>
              <c:strCache>
                <c:ptCount val="1"/>
                <c:pt idx="0">
                  <c:v>Reference - 2023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Growth'!$B$5:$AP$5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0.98870358391881341</c:v>
                </c:pt>
                <c:pt idx="11">
                  <c:v>1.0292882240437158</c:v>
                </c:pt>
                <c:pt idx="12">
                  <c:v>1.0539426736924278</c:v>
                </c:pt>
                <c:pt idx="13">
                  <c:v>1.0447302217017955</c:v>
                </c:pt>
                <c:pt idx="14">
                  <c:v>1.0540864777517565</c:v>
                </c:pt>
                <c:pt idx="15">
                  <c:v>1.0622304379391101</c:v>
                </c:pt>
                <c:pt idx="16">
                  <c:v>1.0726637931303669</c:v>
                </c:pt>
                <c:pt idx="17">
                  <c:v>1.0827499180327869</c:v>
                </c:pt>
                <c:pt idx="18">
                  <c:v>1.0939845472287275</c:v>
                </c:pt>
                <c:pt idx="19">
                  <c:v>1.1044000679156909</c:v>
                </c:pt>
                <c:pt idx="20">
                  <c:v>1.1132752521467604</c:v>
                </c:pt>
                <c:pt idx="21">
                  <c:v>1.1219232498048399</c:v>
                </c:pt>
                <c:pt idx="22">
                  <c:v>1.1319729164715064</c:v>
                </c:pt>
                <c:pt idx="23">
                  <c:v>1.140905157689305</c:v>
                </c:pt>
                <c:pt idx="24">
                  <c:v>1.1504197892271661</c:v>
                </c:pt>
                <c:pt idx="25">
                  <c:v>1.1611145925058548</c:v>
                </c:pt>
                <c:pt idx="26">
                  <c:v>1.1716153645589384</c:v>
                </c:pt>
                <c:pt idx="27">
                  <c:v>1.1824606658860264</c:v>
                </c:pt>
                <c:pt idx="28">
                  <c:v>1.1929372201405151</c:v>
                </c:pt>
                <c:pt idx="29">
                  <c:v>1.2029088696330992</c:v>
                </c:pt>
                <c:pt idx="30">
                  <c:v>1.2135477540983606</c:v>
                </c:pt>
                <c:pt idx="31">
                  <c:v>1.2249601857923496</c:v>
                </c:pt>
                <c:pt idx="32">
                  <c:v>1.2367174793130367</c:v>
                </c:pt>
                <c:pt idx="33">
                  <c:v>1.2485335870413738</c:v>
                </c:pt>
                <c:pt idx="34">
                  <c:v>1.2602757868852459</c:v>
                </c:pt>
                <c:pt idx="35">
                  <c:v>1.2724844176424668</c:v>
                </c:pt>
                <c:pt idx="36">
                  <c:v>1.2869562732240436</c:v>
                </c:pt>
                <c:pt idx="37">
                  <c:v>1.3011325823575333</c:v>
                </c:pt>
                <c:pt idx="38">
                  <c:v>1.31496050039032</c:v>
                </c:pt>
                <c:pt idx="39">
                  <c:v>1.3292126854020296</c:v>
                </c:pt>
                <c:pt idx="40">
                  <c:v>1.3455924160811865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13-4AEB-862C-E0396DB3F02B}"/>
            </c:ext>
          </c:extLst>
        </c:ser>
        <c:ser>
          <c:idx val="1"/>
          <c:order val="1"/>
          <c:tx>
            <c:strRef>
              <c:f>'Demand Growth'!$A$6</c:f>
              <c:strCache>
                <c:ptCount val="1"/>
                <c:pt idx="0">
                  <c:v>High Growth - 2023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Growth'!$B$6:$AP$6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0.98870358391881341</c:v>
                </c:pt>
                <c:pt idx="11">
                  <c:v>1.0292882240437158</c:v>
                </c:pt>
                <c:pt idx="12">
                  <c:v>1.0539426736924278</c:v>
                </c:pt>
                <c:pt idx="13">
                  <c:v>1.041260074941452</c:v>
                </c:pt>
                <c:pt idx="14">
                  <c:v>1.0565273341139736</c:v>
                </c:pt>
                <c:pt idx="15">
                  <c:v>1.0685432708821232</c:v>
                </c:pt>
                <c:pt idx="16">
                  <c:v>1.0832380624512099</c:v>
                </c:pt>
                <c:pt idx="17">
                  <c:v>1.0969937540983608</c:v>
                </c:pt>
                <c:pt idx="18">
                  <c:v>1.1112961545667446</c:v>
                </c:pt>
                <c:pt idx="19">
                  <c:v>1.1248584004683839</c:v>
                </c:pt>
                <c:pt idx="20">
                  <c:v>1.1368524551131927</c:v>
                </c:pt>
                <c:pt idx="21">
                  <c:v>1.1477849352068696</c:v>
                </c:pt>
                <c:pt idx="22">
                  <c:v>1.1597827923497268</c:v>
                </c:pt>
                <c:pt idx="23">
                  <c:v>1.1706082435597189</c:v>
                </c:pt>
                <c:pt idx="24">
                  <c:v>1.1823762974238874</c:v>
                </c:pt>
                <c:pt idx="25">
                  <c:v>1.1953343965651835</c:v>
                </c:pt>
                <c:pt idx="26">
                  <c:v>1.2087556221701794</c:v>
                </c:pt>
                <c:pt idx="27">
                  <c:v>1.2228534051522246</c:v>
                </c:pt>
                <c:pt idx="28">
                  <c:v>1.2359303302107727</c:v>
                </c:pt>
                <c:pt idx="29">
                  <c:v>1.2481873497267759</c:v>
                </c:pt>
                <c:pt idx="30">
                  <c:v>1.2618314754098359</c:v>
                </c:pt>
                <c:pt idx="31">
                  <c:v>1.2759369734582355</c:v>
                </c:pt>
                <c:pt idx="32">
                  <c:v>1.2909689867291179</c:v>
                </c:pt>
                <c:pt idx="33">
                  <c:v>1.3065156401249023</c:v>
                </c:pt>
                <c:pt idx="34">
                  <c:v>1.3222801967213116</c:v>
                </c:pt>
                <c:pt idx="35">
                  <c:v>1.338576782201405</c:v>
                </c:pt>
                <c:pt idx="36">
                  <c:v>1.3545812755659641</c:v>
                </c:pt>
                <c:pt idx="37">
                  <c:v>1.3706495690866509</c:v>
                </c:pt>
                <c:pt idx="38">
                  <c:v>1.3870948134270102</c:v>
                </c:pt>
                <c:pt idx="39">
                  <c:v>1.4037908376268537</c:v>
                </c:pt>
                <c:pt idx="40">
                  <c:v>1.4218971233411395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13-4AEB-862C-E0396DB3F02B}"/>
            </c:ext>
          </c:extLst>
        </c:ser>
        <c:ser>
          <c:idx val="2"/>
          <c:order val="2"/>
          <c:tx>
            <c:strRef>
              <c:f>'Demand Growth'!$A$7</c:f>
              <c:strCache>
                <c:ptCount val="1"/>
                <c:pt idx="0">
                  <c:v>Low Growth - 2023</c:v>
                </c:pt>
              </c:strCache>
            </c:strRef>
          </c:tx>
          <c:spPr>
            <a:ln>
              <a:solidFill>
                <a:schemeClr val="accent3"/>
              </a:solidFill>
              <a:prstDash val="sysDash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Growth'!$B$7:$AP$7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0.98870358391881341</c:v>
                </c:pt>
                <c:pt idx="11">
                  <c:v>1.0292882240437158</c:v>
                </c:pt>
                <c:pt idx="12">
                  <c:v>1.0539426736924278</c:v>
                </c:pt>
                <c:pt idx="13">
                  <c:v>1.0345058110850898</c:v>
                </c:pt>
                <c:pt idx="14">
                  <c:v>1.0393464020296643</c:v>
                </c:pt>
                <c:pt idx="15">
                  <c:v>1.0446468852459017</c:v>
                </c:pt>
                <c:pt idx="16">
                  <c:v>1.0525780007806402</c:v>
                </c:pt>
                <c:pt idx="17">
                  <c:v>1.0601979594067135</c:v>
                </c:pt>
                <c:pt idx="18">
                  <c:v>1.0687606424668228</c:v>
                </c:pt>
                <c:pt idx="19">
                  <c:v>1.0772994519906323</c:v>
                </c:pt>
                <c:pt idx="20">
                  <c:v>1.0850831639344263</c:v>
                </c:pt>
                <c:pt idx="21">
                  <c:v>1.0933879960967994</c:v>
                </c:pt>
                <c:pt idx="22">
                  <c:v>1.1025234746291961</c:v>
                </c:pt>
                <c:pt idx="23">
                  <c:v>1.1095072209211552</c:v>
                </c:pt>
                <c:pt idx="24">
                  <c:v>1.1162232115534738</c:v>
                </c:pt>
                <c:pt idx="25">
                  <c:v>1.1236490663544105</c:v>
                </c:pt>
                <c:pt idx="26">
                  <c:v>1.1315115331772052</c:v>
                </c:pt>
                <c:pt idx="27">
                  <c:v>1.1399690725995315</c:v>
                </c:pt>
                <c:pt idx="28">
                  <c:v>1.1484517509758001</c:v>
                </c:pt>
                <c:pt idx="29">
                  <c:v>1.1565840850897735</c:v>
                </c:pt>
                <c:pt idx="30">
                  <c:v>1.1648694355971896</c:v>
                </c:pt>
                <c:pt idx="31">
                  <c:v>1.1736451280249804</c:v>
                </c:pt>
                <c:pt idx="32">
                  <c:v>1.1832602209211553</c:v>
                </c:pt>
                <c:pt idx="33">
                  <c:v>1.1933461225604995</c:v>
                </c:pt>
                <c:pt idx="34">
                  <c:v>1.2031192107728337</c:v>
                </c:pt>
                <c:pt idx="35">
                  <c:v>1.2130963239656518</c:v>
                </c:pt>
                <c:pt idx="36">
                  <c:v>1.2235700491803279</c:v>
                </c:pt>
                <c:pt idx="37">
                  <c:v>1.2343561686182669</c:v>
                </c:pt>
                <c:pt idx="38">
                  <c:v>1.2460120593286494</c:v>
                </c:pt>
                <c:pt idx="39">
                  <c:v>1.2580475136612022</c:v>
                </c:pt>
                <c:pt idx="40">
                  <c:v>1.271015906323185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13-4AEB-862C-E0396DB3F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17088"/>
        <c:axId val="383214736"/>
      </c:scatterChart>
      <c:valAx>
        <c:axId val="383217088"/>
        <c:scaling>
          <c:orientation val="minMax"/>
          <c:max val="2050"/>
          <c:min val="2010"/>
        </c:scaling>
        <c:delete val="0"/>
        <c:axPos val="b"/>
        <c:numFmt formatCode="General" sourceLinked="1"/>
        <c:majorTickMark val="out"/>
        <c:minorTickMark val="none"/>
        <c:tickLblPos val="nextTo"/>
        <c:crossAx val="383214736"/>
        <c:crosses val="autoZero"/>
        <c:crossBetween val="midCat"/>
      </c:valAx>
      <c:valAx>
        <c:axId val="3832147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Demand Growth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3217088"/>
        <c:crosses val="autoZero"/>
        <c:crossBetween val="midCat"/>
      </c:valAx>
      <c:spPr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56963823272090985"/>
          <c:y val="0.47107064741907262"/>
          <c:w val="0.32480621172353458"/>
          <c:h val="0.3448957421988918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High Economic Growth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Growth'!$B$3:$AP$3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1.0435344957064794</c:v>
                </c:pt>
                <c:pt idx="14">
                  <c:v>1.0761688579234974</c:v>
                </c:pt>
                <c:pt idx="15">
                  <c:v>1.0898130936768149</c:v>
                </c:pt>
                <c:pt idx="16">
                  <c:v>1.1060900999219359</c:v>
                </c:pt>
                <c:pt idx="17">
                  <c:v>1.126754555815769</c:v>
                </c:pt>
                <c:pt idx="18">
                  <c:v>1.1430164082747853</c:v>
                </c:pt>
                <c:pt idx="19">
                  <c:v>1.164378993754879</c:v>
                </c:pt>
                <c:pt idx="20">
                  <c:v>1.1857879203747073</c:v>
                </c:pt>
                <c:pt idx="21">
                  <c:v>1.2083202903981263</c:v>
                </c:pt>
                <c:pt idx="22">
                  <c:v>1.2351856057767368</c:v>
                </c:pt>
                <c:pt idx="23">
                  <c:v>1.2630336416861825</c:v>
                </c:pt>
                <c:pt idx="24">
                  <c:v>1.2941610187353632</c:v>
                </c:pt>
                <c:pt idx="25">
                  <c:v>1.3308798860265418</c:v>
                </c:pt>
                <c:pt idx="26">
                  <c:v>1.3636362404371583</c:v>
                </c:pt>
                <c:pt idx="27">
                  <c:v>1.3959979375487899</c:v>
                </c:pt>
                <c:pt idx="28">
                  <c:v>1.4257482201405152</c:v>
                </c:pt>
                <c:pt idx="29">
                  <c:v>1.4555049711163153</c:v>
                </c:pt>
                <c:pt idx="30">
                  <c:v>1.4835642045277124</c:v>
                </c:pt>
                <c:pt idx="31">
                  <c:v>1.5096131100702577</c:v>
                </c:pt>
                <c:pt idx="32">
                  <c:v>1.5366906955503512</c:v>
                </c:pt>
                <c:pt idx="33">
                  <c:v>1.5628823590944574</c:v>
                </c:pt>
                <c:pt idx="34">
                  <c:v>1.5877624199843872</c:v>
                </c:pt>
                <c:pt idx="35">
                  <c:v>1.6126907556596408</c:v>
                </c:pt>
                <c:pt idx="36">
                  <c:v>1.6376007166276345</c:v>
                </c:pt>
                <c:pt idx="37">
                  <c:v>1.6637865604996096</c:v>
                </c:pt>
                <c:pt idx="38">
                  <c:v>1.6901471975019515</c:v>
                </c:pt>
                <c:pt idx="39">
                  <c:v>1.7178489945355191</c:v>
                </c:pt>
                <c:pt idx="40">
                  <c:v>1.7473800554254488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CD-47B6-ADF0-E6B70349165F}"/>
            </c:ext>
          </c:extLst>
        </c:ser>
        <c:ser>
          <c:idx val="1"/>
          <c:order val="1"/>
          <c:tx>
            <c:v>Reference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Growth'!$B$2:$AP$2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1.0470268516783763</c:v>
                </c:pt>
                <c:pt idx="14">
                  <c:v>1.0761188782201405</c:v>
                </c:pt>
                <c:pt idx="15">
                  <c:v>1.0910677892271663</c:v>
                </c:pt>
                <c:pt idx="16">
                  <c:v>1.1006374301327089</c:v>
                </c:pt>
                <c:pt idx="17">
                  <c:v>1.1166932989851679</c:v>
                </c:pt>
                <c:pt idx="18">
                  <c:v>1.1308581061670571</c:v>
                </c:pt>
                <c:pt idx="19">
                  <c:v>1.1475120281030444</c:v>
                </c:pt>
                <c:pt idx="20">
                  <c:v>1.1643147853239657</c:v>
                </c:pt>
                <c:pt idx="21">
                  <c:v>1.1821905277127243</c:v>
                </c:pt>
                <c:pt idx="22">
                  <c:v>1.2053452131147542</c:v>
                </c:pt>
                <c:pt idx="23">
                  <c:v>1.2297044738485556</c:v>
                </c:pt>
                <c:pt idx="24">
                  <c:v>1.2572416057767368</c:v>
                </c:pt>
                <c:pt idx="25">
                  <c:v>1.2855879422326306</c:v>
                </c:pt>
                <c:pt idx="26">
                  <c:v>1.3148456057767368</c:v>
                </c:pt>
                <c:pt idx="27">
                  <c:v>1.3438168337236531</c:v>
                </c:pt>
                <c:pt idx="28">
                  <c:v>1.3719158594847776</c:v>
                </c:pt>
                <c:pt idx="29">
                  <c:v>1.399901351288056</c:v>
                </c:pt>
                <c:pt idx="30">
                  <c:v>1.4267206096799374</c:v>
                </c:pt>
                <c:pt idx="31">
                  <c:v>1.4520816471506632</c:v>
                </c:pt>
                <c:pt idx="32">
                  <c:v>1.4760840725995314</c:v>
                </c:pt>
                <c:pt idx="33">
                  <c:v>1.4988091530054646</c:v>
                </c:pt>
                <c:pt idx="34">
                  <c:v>1.519899362997658</c:v>
                </c:pt>
                <c:pt idx="35">
                  <c:v>1.5403434676034347</c:v>
                </c:pt>
                <c:pt idx="36">
                  <c:v>1.5602183497267761</c:v>
                </c:pt>
                <c:pt idx="37">
                  <c:v>1.5806704402810305</c:v>
                </c:pt>
                <c:pt idx="38">
                  <c:v>1.6020320304449649</c:v>
                </c:pt>
                <c:pt idx="39">
                  <c:v>1.6240689211553474</c:v>
                </c:pt>
                <c:pt idx="40">
                  <c:v>1.6470536557377047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CD-47B6-ADF0-E6B70349165F}"/>
            </c:ext>
          </c:extLst>
        </c:ser>
        <c:ser>
          <c:idx val="2"/>
          <c:order val="2"/>
          <c:tx>
            <c:v>Low Economic Growth</c:v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Growth'!$B$4:$AP$4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1.0369746213895394</c:v>
                </c:pt>
                <c:pt idx="14">
                  <c:v>1.0760407603434816</c:v>
                </c:pt>
                <c:pt idx="15">
                  <c:v>1.0800682576112413</c:v>
                </c:pt>
                <c:pt idx="16">
                  <c:v>1.0859236479313035</c:v>
                </c:pt>
                <c:pt idx="17">
                  <c:v>1.098032931303669</c:v>
                </c:pt>
                <c:pt idx="18">
                  <c:v>1.1097590577673693</c:v>
                </c:pt>
                <c:pt idx="19">
                  <c:v>1.1249730725995315</c:v>
                </c:pt>
                <c:pt idx="20">
                  <c:v>1.1397565854800937</c:v>
                </c:pt>
                <c:pt idx="21">
                  <c:v>1.155456544886807</c:v>
                </c:pt>
                <c:pt idx="22">
                  <c:v>1.1760966510538642</c:v>
                </c:pt>
                <c:pt idx="23">
                  <c:v>1.1980248064012491</c:v>
                </c:pt>
                <c:pt idx="24">
                  <c:v>1.2220308914910225</c:v>
                </c:pt>
                <c:pt idx="25">
                  <c:v>1.2471941397345823</c:v>
                </c:pt>
                <c:pt idx="26">
                  <c:v>1.2724967338017175</c:v>
                </c:pt>
                <c:pt idx="27">
                  <c:v>1.2969036908665106</c:v>
                </c:pt>
                <c:pt idx="28">
                  <c:v>1.3213282888368463</c:v>
                </c:pt>
                <c:pt idx="29">
                  <c:v>1.3456928563622168</c:v>
                </c:pt>
                <c:pt idx="30">
                  <c:v>1.3683752607338018</c:v>
                </c:pt>
                <c:pt idx="31">
                  <c:v>1.3894782053083528</c:v>
                </c:pt>
                <c:pt idx="32">
                  <c:v>1.4100743466042154</c:v>
                </c:pt>
                <c:pt idx="33">
                  <c:v>1.4297110655737704</c:v>
                </c:pt>
                <c:pt idx="34">
                  <c:v>1.4477380928961749</c:v>
                </c:pt>
                <c:pt idx="35">
                  <c:v>1.4649894621389539</c:v>
                </c:pt>
                <c:pt idx="36">
                  <c:v>1.4827422716627634</c:v>
                </c:pt>
                <c:pt idx="37">
                  <c:v>1.5003712661982824</c:v>
                </c:pt>
                <c:pt idx="38">
                  <c:v>1.5181806471506636</c:v>
                </c:pt>
                <c:pt idx="39">
                  <c:v>1.5367669679937546</c:v>
                </c:pt>
                <c:pt idx="40">
                  <c:v>1.5567053887587821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CD-47B6-ADF0-E6B703491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13952"/>
        <c:axId val="383215520"/>
      </c:scatterChart>
      <c:valAx>
        <c:axId val="383213952"/>
        <c:scaling>
          <c:orientation val="minMax"/>
          <c:max val="2050"/>
          <c:min val="201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5520"/>
        <c:crosses val="autoZero"/>
        <c:crossBetween val="midCat"/>
      </c:valAx>
      <c:valAx>
        <c:axId val="38321552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000">
                    <a:latin typeface="Arial" panose="020B0604020202020204" pitchFamily="34" charset="0"/>
                    <a:cs typeface="Arial" panose="020B0604020202020204" pitchFamily="34" charset="0"/>
                  </a:rPr>
                  <a:t>Demand Growth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3952"/>
        <c:crosses val="autoZero"/>
        <c:crossBetween val="midCat"/>
      </c:valAx>
      <c:spPr>
        <a:ln w="9525" cap="flat" cmpd="sng" algn="ctr">
          <a:noFill/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36776293950776168"/>
          <c:y val="0.66181146106736655"/>
          <c:w val="0.48285300686098442"/>
          <c:h val="0.17960629921259844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9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Reference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Growth'!$B$2:$AP$2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1.0470268516783763</c:v>
                </c:pt>
                <c:pt idx="14">
                  <c:v>1.0761188782201405</c:v>
                </c:pt>
                <c:pt idx="15">
                  <c:v>1.0910677892271663</c:v>
                </c:pt>
                <c:pt idx="16">
                  <c:v>1.1006374301327089</c:v>
                </c:pt>
                <c:pt idx="17">
                  <c:v>1.1166932989851679</c:v>
                </c:pt>
                <c:pt idx="18">
                  <c:v>1.1308581061670571</c:v>
                </c:pt>
                <c:pt idx="19">
                  <c:v>1.1475120281030444</c:v>
                </c:pt>
                <c:pt idx="20">
                  <c:v>1.1643147853239657</c:v>
                </c:pt>
                <c:pt idx="21">
                  <c:v>1.1821905277127243</c:v>
                </c:pt>
                <c:pt idx="22">
                  <c:v>1.2053452131147542</c:v>
                </c:pt>
                <c:pt idx="23">
                  <c:v>1.2297044738485556</c:v>
                </c:pt>
                <c:pt idx="24">
                  <c:v>1.2572416057767368</c:v>
                </c:pt>
                <c:pt idx="25">
                  <c:v>1.2855879422326306</c:v>
                </c:pt>
                <c:pt idx="26">
                  <c:v>1.3148456057767368</c:v>
                </c:pt>
                <c:pt idx="27">
                  <c:v>1.3438168337236531</c:v>
                </c:pt>
                <c:pt idx="28">
                  <c:v>1.3719158594847776</c:v>
                </c:pt>
                <c:pt idx="29">
                  <c:v>1.399901351288056</c:v>
                </c:pt>
                <c:pt idx="30">
                  <c:v>1.4267206096799374</c:v>
                </c:pt>
                <c:pt idx="31">
                  <c:v>1.4520816471506632</c:v>
                </c:pt>
                <c:pt idx="32">
                  <c:v>1.4760840725995314</c:v>
                </c:pt>
                <c:pt idx="33">
                  <c:v>1.4988091530054646</c:v>
                </c:pt>
                <c:pt idx="34">
                  <c:v>1.519899362997658</c:v>
                </c:pt>
                <c:pt idx="35">
                  <c:v>1.5403434676034347</c:v>
                </c:pt>
                <c:pt idx="36">
                  <c:v>1.5602183497267761</c:v>
                </c:pt>
                <c:pt idx="37">
                  <c:v>1.5806704402810305</c:v>
                </c:pt>
                <c:pt idx="38">
                  <c:v>1.6020320304449649</c:v>
                </c:pt>
                <c:pt idx="39">
                  <c:v>1.6240689211553474</c:v>
                </c:pt>
                <c:pt idx="40">
                  <c:v>1.6470536557377047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00-422E-B586-8CAFE54C1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15128"/>
        <c:axId val="383218264"/>
      </c:scatterChart>
      <c:valAx>
        <c:axId val="383215128"/>
        <c:scaling>
          <c:orientation val="minMax"/>
          <c:max val="2050"/>
          <c:min val="2018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8264"/>
        <c:crosses val="autoZero"/>
        <c:crossBetween val="midCat"/>
      </c:valAx>
      <c:valAx>
        <c:axId val="383218264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000">
                    <a:latin typeface="Arial" panose="020B0604020202020204" pitchFamily="34" charset="0"/>
                    <a:cs typeface="Arial" panose="020B0604020202020204" pitchFamily="34" charset="0"/>
                  </a:rPr>
                  <a:t>Demand Growth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5128"/>
        <c:crosses val="autoZero"/>
        <c:crossBetween val="midCat"/>
      </c:valAx>
      <c:spPr>
        <a:ln w="9525" cap="flat" cmpd="sng" algn="ctr">
          <a:noFill/>
          <a:prstDash val="solid"/>
          <a:round/>
          <a:headEnd type="none" w="med" len="med"/>
          <a:tailEnd type="none" w="med" len="med"/>
        </a:ln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'Demand Growth'!$A$8</c:f>
              <c:strCache>
                <c:ptCount val="1"/>
                <c:pt idx="0">
                  <c:v>Electrification</c:v>
                </c:pt>
              </c:strCache>
            </c:strRef>
          </c:tx>
          <c:spPr>
            <a:ln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Growth'!$B$8:$AP$8</c:f>
              <c:numCache>
                <c:formatCode>General</c:formatCode>
                <c:ptCount val="41"/>
                <c:pt idx="0">
                  <c:v>1</c:v>
                </c:pt>
                <c:pt idx="1">
                  <c:v>0.99126369591424113</c:v>
                </c:pt>
                <c:pt idx="2">
                  <c:v>0.98252739182848958</c:v>
                </c:pt>
                <c:pt idx="3">
                  <c:v>0.99001503243923517</c:v>
                </c:pt>
                <c:pt idx="4">
                  <c:v>0.99750267304997642</c:v>
                </c:pt>
                <c:pt idx="5">
                  <c:v>0.99258584736101985</c:v>
                </c:pt>
                <c:pt idx="6">
                  <c:v>0.98766902167205861</c:v>
                </c:pt>
                <c:pt idx="7">
                  <c:v>0.98997388736118697</c:v>
                </c:pt>
                <c:pt idx="8">
                  <c:v>0.99227876403321735</c:v>
                </c:pt>
                <c:pt idx="9">
                  <c:v>1.0058802563226996</c:v>
                </c:pt>
                <c:pt idx="10">
                  <c:v>1.0194817692415241</c:v>
                </c:pt>
                <c:pt idx="11">
                  <c:v>1.0263586529082938</c:v>
                </c:pt>
                <c:pt idx="12">
                  <c:v>1.0332355932150001</c:v>
                </c:pt>
                <c:pt idx="13">
                  <c:v>1.0446446323330045</c:v>
                </c:pt>
                <c:pt idx="14">
                  <c:v>1.0560538076532606</c:v>
                </c:pt>
                <c:pt idx="15">
                  <c:v>1.0693015265373058</c:v>
                </c:pt>
                <c:pt idx="16">
                  <c:v>1.0825496727527291</c:v>
                </c:pt>
                <c:pt idx="17">
                  <c:v>1.1034848071787757</c:v>
                </c:pt>
                <c:pt idx="18">
                  <c:v>1.1244215994286992</c:v>
                </c:pt>
                <c:pt idx="19">
                  <c:v>1.1466021978949881</c:v>
                </c:pt>
                <c:pt idx="20">
                  <c:v>1.1687844725289913</c:v>
                </c:pt>
                <c:pt idx="21">
                  <c:v>1.1942890642102597</c:v>
                </c:pt>
                <c:pt idx="22">
                  <c:v>1.2197954087845229</c:v>
                </c:pt>
                <c:pt idx="23">
                  <c:v>1.2501638268559254</c:v>
                </c:pt>
                <c:pt idx="24">
                  <c:v>1.2805341266836907</c:v>
                </c:pt>
                <c:pt idx="25">
                  <c:v>1.3137947749807195</c:v>
                </c:pt>
                <c:pt idx="26">
                  <c:v>1.347056856243507</c:v>
                </c:pt>
                <c:pt idx="27">
                  <c:v>1.3812830925375548</c:v>
                </c:pt>
                <c:pt idx="28">
                  <c:v>1.4155102736245073</c:v>
                </c:pt>
                <c:pt idx="29">
                  <c:v>1.4476434118984913</c:v>
                </c:pt>
                <c:pt idx="30">
                  <c:v>1.4797772415019252</c:v>
                </c:pt>
                <c:pt idx="31">
                  <c:v>1.5115136176458588</c:v>
                </c:pt>
                <c:pt idx="32">
                  <c:v>1.5432505257503517</c:v>
                </c:pt>
                <c:pt idx="33">
                  <c:v>1.5745673323163014</c:v>
                </c:pt>
                <c:pt idx="34">
                  <c:v>1.6058845088774913</c:v>
                </c:pt>
                <c:pt idx="35">
                  <c:v>1.6373077525181059</c:v>
                </c:pt>
                <c:pt idx="36">
                  <c:v>1.6687313347300243</c:v>
                </c:pt>
                <c:pt idx="37">
                  <c:v>1.6998424249272186</c:v>
                </c:pt>
                <c:pt idx="38">
                  <c:v>1.7309537593042548</c:v>
                </c:pt>
                <c:pt idx="39">
                  <c:v>1.7619567767257913</c:v>
                </c:pt>
                <c:pt idx="40">
                  <c:v>1.7929601508750175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0C-42AD-A8FF-5C37C8E08460}"/>
            </c:ext>
          </c:extLst>
        </c:ser>
        <c:ser>
          <c:idx val="0"/>
          <c:order val="1"/>
          <c:tx>
            <c:v>High Economic Growth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Growth'!$B$3:$AP$3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1.0435344957064794</c:v>
                </c:pt>
                <c:pt idx="14">
                  <c:v>1.0761688579234974</c:v>
                </c:pt>
                <c:pt idx="15">
                  <c:v>1.0898130936768149</c:v>
                </c:pt>
                <c:pt idx="16">
                  <c:v>1.1060900999219359</c:v>
                </c:pt>
                <c:pt idx="17">
                  <c:v>1.126754555815769</c:v>
                </c:pt>
                <c:pt idx="18">
                  <c:v>1.1430164082747853</c:v>
                </c:pt>
                <c:pt idx="19">
                  <c:v>1.164378993754879</c:v>
                </c:pt>
                <c:pt idx="20">
                  <c:v>1.1857879203747073</c:v>
                </c:pt>
                <c:pt idx="21">
                  <c:v>1.2083202903981263</c:v>
                </c:pt>
                <c:pt idx="22">
                  <c:v>1.2351856057767368</c:v>
                </c:pt>
                <c:pt idx="23">
                  <c:v>1.2630336416861825</c:v>
                </c:pt>
                <c:pt idx="24">
                  <c:v>1.2941610187353632</c:v>
                </c:pt>
                <c:pt idx="25">
                  <c:v>1.3308798860265418</c:v>
                </c:pt>
                <c:pt idx="26">
                  <c:v>1.3636362404371583</c:v>
                </c:pt>
                <c:pt idx="27">
                  <c:v>1.3959979375487899</c:v>
                </c:pt>
                <c:pt idx="28">
                  <c:v>1.4257482201405152</c:v>
                </c:pt>
                <c:pt idx="29">
                  <c:v>1.4555049711163153</c:v>
                </c:pt>
                <c:pt idx="30">
                  <c:v>1.4835642045277124</c:v>
                </c:pt>
                <c:pt idx="31">
                  <c:v>1.5096131100702577</c:v>
                </c:pt>
                <c:pt idx="32">
                  <c:v>1.5366906955503512</c:v>
                </c:pt>
                <c:pt idx="33">
                  <c:v>1.5628823590944574</c:v>
                </c:pt>
                <c:pt idx="34">
                  <c:v>1.5877624199843872</c:v>
                </c:pt>
                <c:pt idx="35">
                  <c:v>1.6126907556596408</c:v>
                </c:pt>
                <c:pt idx="36">
                  <c:v>1.6376007166276345</c:v>
                </c:pt>
                <c:pt idx="37">
                  <c:v>1.6637865604996096</c:v>
                </c:pt>
                <c:pt idx="38">
                  <c:v>1.6901471975019515</c:v>
                </c:pt>
                <c:pt idx="39">
                  <c:v>1.7178489945355191</c:v>
                </c:pt>
                <c:pt idx="40">
                  <c:v>1.7473800554254488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9-453A-900A-0B7345016C94}"/>
            </c:ext>
          </c:extLst>
        </c:ser>
        <c:ser>
          <c:idx val="1"/>
          <c:order val="2"/>
          <c:tx>
            <c:v>Reference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Growth'!$B$2:$AP$2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1.0470268516783763</c:v>
                </c:pt>
                <c:pt idx="14">
                  <c:v>1.0761188782201405</c:v>
                </c:pt>
                <c:pt idx="15">
                  <c:v>1.0910677892271663</c:v>
                </c:pt>
                <c:pt idx="16">
                  <c:v>1.1006374301327089</c:v>
                </c:pt>
                <c:pt idx="17">
                  <c:v>1.1166932989851679</c:v>
                </c:pt>
                <c:pt idx="18">
                  <c:v>1.1308581061670571</c:v>
                </c:pt>
                <c:pt idx="19">
                  <c:v>1.1475120281030444</c:v>
                </c:pt>
                <c:pt idx="20">
                  <c:v>1.1643147853239657</c:v>
                </c:pt>
                <c:pt idx="21">
                  <c:v>1.1821905277127243</c:v>
                </c:pt>
                <c:pt idx="22">
                  <c:v>1.2053452131147542</c:v>
                </c:pt>
                <c:pt idx="23">
                  <c:v>1.2297044738485556</c:v>
                </c:pt>
                <c:pt idx="24">
                  <c:v>1.2572416057767368</c:v>
                </c:pt>
                <c:pt idx="25">
                  <c:v>1.2855879422326306</c:v>
                </c:pt>
                <c:pt idx="26">
                  <c:v>1.3148456057767368</c:v>
                </c:pt>
                <c:pt idx="27">
                  <c:v>1.3438168337236531</c:v>
                </c:pt>
                <c:pt idx="28">
                  <c:v>1.3719158594847776</c:v>
                </c:pt>
                <c:pt idx="29">
                  <c:v>1.399901351288056</c:v>
                </c:pt>
                <c:pt idx="30">
                  <c:v>1.4267206096799374</c:v>
                </c:pt>
                <c:pt idx="31">
                  <c:v>1.4520816471506632</c:v>
                </c:pt>
                <c:pt idx="32">
                  <c:v>1.4760840725995314</c:v>
                </c:pt>
                <c:pt idx="33">
                  <c:v>1.4988091530054646</c:v>
                </c:pt>
                <c:pt idx="34">
                  <c:v>1.519899362997658</c:v>
                </c:pt>
                <c:pt idx="35">
                  <c:v>1.5403434676034347</c:v>
                </c:pt>
                <c:pt idx="36">
                  <c:v>1.5602183497267761</c:v>
                </c:pt>
                <c:pt idx="37">
                  <c:v>1.5806704402810305</c:v>
                </c:pt>
                <c:pt idx="38">
                  <c:v>1.6020320304449649</c:v>
                </c:pt>
                <c:pt idx="39">
                  <c:v>1.6240689211553474</c:v>
                </c:pt>
                <c:pt idx="40">
                  <c:v>1.6470536557377047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39-453A-900A-0B7345016C94}"/>
            </c:ext>
          </c:extLst>
        </c:ser>
        <c:ser>
          <c:idx val="2"/>
          <c:order val="3"/>
          <c:tx>
            <c:v>Low Economic Growth</c:v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Growth'!$B$4:$AP$4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1.0369746213895394</c:v>
                </c:pt>
                <c:pt idx="14">
                  <c:v>1.0760407603434816</c:v>
                </c:pt>
                <c:pt idx="15">
                  <c:v>1.0800682576112413</c:v>
                </c:pt>
                <c:pt idx="16">
                  <c:v>1.0859236479313035</c:v>
                </c:pt>
                <c:pt idx="17">
                  <c:v>1.098032931303669</c:v>
                </c:pt>
                <c:pt idx="18">
                  <c:v>1.1097590577673693</c:v>
                </c:pt>
                <c:pt idx="19">
                  <c:v>1.1249730725995315</c:v>
                </c:pt>
                <c:pt idx="20">
                  <c:v>1.1397565854800937</c:v>
                </c:pt>
                <c:pt idx="21">
                  <c:v>1.155456544886807</c:v>
                </c:pt>
                <c:pt idx="22">
                  <c:v>1.1760966510538642</c:v>
                </c:pt>
                <c:pt idx="23">
                  <c:v>1.1980248064012491</c:v>
                </c:pt>
                <c:pt idx="24">
                  <c:v>1.2220308914910225</c:v>
                </c:pt>
                <c:pt idx="25">
                  <c:v>1.2471941397345823</c:v>
                </c:pt>
                <c:pt idx="26">
                  <c:v>1.2724967338017175</c:v>
                </c:pt>
                <c:pt idx="27">
                  <c:v>1.2969036908665106</c:v>
                </c:pt>
                <c:pt idx="28">
                  <c:v>1.3213282888368463</c:v>
                </c:pt>
                <c:pt idx="29">
                  <c:v>1.3456928563622168</c:v>
                </c:pt>
                <c:pt idx="30">
                  <c:v>1.3683752607338018</c:v>
                </c:pt>
                <c:pt idx="31">
                  <c:v>1.3894782053083528</c:v>
                </c:pt>
                <c:pt idx="32">
                  <c:v>1.4100743466042154</c:v>
                </c:pt>
                <c:pt idx="33">
                  <c:v>1.4297110655737704</c:v>
                </c:pt>
                <c:pt idx="34">
                  <c:v>1.4477380928961749</c:v>
                </c:pt>
                <c:pt idx="35">
                  <c:v>1.4649894621389539</c:v>
                </c:pt>
                <c:pt idx="36">
                  <c:v>1.4827422716627634</c:v>
                </c:pt>
                <c:pt idx="37">
                  <c:v>1.5003712661982824</c:v>
                </c:pt>
                <c:pt idx="38">
                  <c:v>1.5181806471506636</c:v>
                </c:pt>
                <c:pt idx="39">
                  <c:v>1.5367669679937546</c:v>
                </c:pt>
                <c:pt idx="40">
                  <c:v>1.5567053887587821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39-453A-900A-0B7345016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13952"/>
        <c:axId val="383215520"/>
      </c:scatterChart>
      <c:valAx>
        <c:axId val="383213952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5520"/>
        <c:crosses val="autoZero"/>
        <c:crossBetween val="midCat"/>
      </c:valAx>
      <c:valAx>
        <c:axId val="383215520"/>
        <c:scaling>
          <c:orientation val="minMax"/>
        </c:scaling>
        <c:delete val="0"/>
        <c:axPos val="l"/>
        <c:majorGridlines>
          <c:spPr>
            <a:ln>
              <a:solidFill>
                <a:srgbClr val="E7E6E6">
                  <a:lumMod val="90000"/>
                </a:srgbClr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000">
                    <a:latin typeface="Arial" panose="020B0604020202020204" pitchFamily="34" charset="0"/>
                    <a:cs typeface="Arial" panose="020B0604020202020204" pitchFamily="34" charset="0"/>
                  </a:rPr>
                  <a:t>Demand Growth (relative to 2010)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3952"/>
        <c:crosses val="autoZero"/>
        <c:crossBetween val="midCat"/>
      </c:valAx>
      <c:spPr>
        <a:ln w="9525" cap="flat" cmpd="sng" algn="ctr">
          <a:noFill/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32390322097895652"/>
          <c:y val="0.53403368328958878"/>
          <c:w val="0.4332064166321315"/>
          <c:h val="0.26596631671041121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9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'Demand Growth'!$A$13</c:f>
              <c:strCache>
                <c:ptCount val="1"/>
                <c:pt idx="0">
                  <c:v>Electrification</c:v>
                </c:pt>
              </c:strCache>
            </c:strRef>
          </c:tx>
          <c:spPr>
            <a:ln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'Demand Growth'!$M$1:$AP$1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'Demand Growth'!$M$13:$AP$13</c:f>
              <c:numCache>
                <c:formatCode>General</c:formatCode>
                <c:ptCount val="30"/>
                <c:pt idx="0">
                  <c:v>1</c:v>
                </c:pt>
                <c:pt idx="1">
                  <c:v>1.00670032866895</c:v>
                </c:pt>
                <c:pt idx="2">
                  <c:v>1.0178163640681506</c:v>
                </c:pt>
                <c:pt idx="3">
                  <c:v>1.0289325321716951</c:v>
                </c:pt>
                <c:pt idx="4">
                  <c:v>1.0418400268827364</c:v>
                </c:pt>
                <c:pt idx="5">
                  <c:v>1.054747937950552</c:v>
                </c:pt>
                <c:pt idx="6">
                  <c:v>1.0751454221698595</c:v>
                </c:pt>
                <c:pt idx="7">
                  <c:v>1.0955445216372794</c:v>
                </c:pt>
                <c:pt idx="8">
                  <c:v>1.1171554842412754</c:v>
                </c:pt>
                <c:pt idx="9">
                  <c:v>1.1387680799661202</c:v>
                </c:pt>
                <c:pt idx="10">
                  <c:v>1.1636176699306016</c:v>
                </c:pt>
                <c:pt idx="11">
                  <c:v>1.1884689677707749</c:v>
                </c:pt>
                <c:pt idx="12">
                  <c:v>1.2180574727103985</c:v>
                </c:pt>
                <c:pt idx="13">
                  <c:v>1.2476478110796498</c:v>
                </c:pt>
                <c:pt idx="14">
                  <c:v>1.2800542688054957</c:v>
                </c:pt>
                <c:pt idx="15">
                  <c:v>1.3124621226960786</c:v>
                </c:pt>
                <c:pt idx="16">
                  <c:v>1.345809370460848</c:v>
                </c:pt>
                <c:pt idx="17">
                  <c:v>1.3791575387546176</c:v>
                </c:pt>
                <c:pt idx="18">
                  <c:v>1.4104654428512329</c:v>
                </c:pt>
                <c:pt idx="19">
                  <c:v>1.4417740205227703</c:v>
                </c:pt>
                <c:pt idx="20">
                  <c:v>1.472695352022247</c:v>
                </c:pt>
                <c:pt idx="21">
                  <c:v>1.503617201820622</c:v>
                </c:pt>
                <c:pt idx="22">
                  <c:v>1.5341297390094597</c:v>
                </c:pt>
                <c:pt idx="23">
                  <c:v>1.5646426366914246</c:v>
                </c:pt>
                <c:pt idx="24">
                  <c:v>1.5952588774680512</c:v>
                </c:pt>
                <c:pt idx="25">
                  <c:v>1.6258754481208892</c:v>
                </c:pt>
                <c:pt idx="26">
                  <c:v>1.6561875520906251</c:v>
                </c:pt>
                <c:pt idx="27">
                  <c:v>1.6864998939692453</c:v>
                </c:pt>
                <c:pt idx="28">
                  <c:v>1.7167067006578101</c:v>
                </c:pt>
                <c:pt idx="29">
                  <c:v>1.7469138549126846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F-40A6-AF5F-727BC384296E}"/>
            </c:ext>
          </c:extLst>
        </c:ser>
        <c:ser>
          <c:idx val="0"/>
          <c:order val="1"/>
          <c:tx>
            <c:strRef>
              <c:f>'Demand Growth'!$A$12</c:f>
              <c:strCache>
                <c:ptCount val="1"/>
                <c:pt idx="0">
                  <c:v>High Demand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'Demand Growth'!$M$1:$AP$1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'Demand Growth'!$M$12:$AQ$12</c:f>
              <c:numCache>
                <c:formatCode>General</c:formatCode>
                <c:ptCount val="31"/>
                <c:pt idx="0">
                  <c:v>1</c:v>
                </c:pt>
                <c:pt idx="1">
                  <c:v>1.0242962103749056</c:v>
                </c:pt>
                <c:pt idx="2">
                  <c:v>1.0131707498668501</c:v>
                </c:pt>
                <c:pt idx="3">
                  <c:v>1.044855549339107</c:v>
                </c:pt>
                <c:pt idx="4">
                  <c:v>1.0581027784689785</c:v>
                </c:pt>
                <c:pt idx="5">
                  <c:v>1.0739061723105898</c:v>
                </c:pt>
                <c:pt idx="6">
                  <c:v>1.0939693540833888</c:v>
                </c:pt>
                <c:pt idx="7">
                  <c:v>1.1097580350689382</c:v>
                </c:pt>
                <c:pt idx="8">
                  <c:v>1.1304990329362947</c:v>
                </c:pt>
                <c:pt idx="9">
                  <c:v>1.1512850235542387</c:v>
                </c:pt>
                <c:pt idx="10">
                  <c:v>1.173161768718709</c:v>
                </c:pt>
                <c:pt idx="11">
                  <c:v>1.1992453834334567</c:v>
                </c:pt>
                <c:pt idx="12">
                  <c:v>1.2262831244384538</c:v>
                </c:pt>
                <c:pt idx="13">
                  <c:v>1.2565047875229651</c:v>
                </c:pt>
                <c:pt idx="14">
                  <c:v>1.2921552451367104</c:v>
                </c:pt>
                <c:pt idx="15">
                  <c:v>1.3239584871930643</c:v>
                </c:pt>
                <c:pt idx="16">
                  <c:v>1.3553785553024162</c:v>
                </c:pt>
                <c:pt idx="17">
                  <c:v>1.3842631932767484</c:v>
                </c:pt>
                <c:pt idx="18">
                  <c:v>1.4131541114244439</c:v>
                </c:pt>
                <c:pt idx="19">
                  <c:v>1.4403969047131004</c:v>
                </c:pt>
                <c:pt idx="20">
                  <c:v>1.4656878646864782</c:v>
                </c:pt>
                <c:pt idx="21">
                  <c:v>1.4919775730749649</c:v>
                </c:pt>
                <c:pt idx="22">
                  <c:v>1.517407137217238</c:v>
                </c:pt>
                <c:pt idx="23">
                  <c:v>1.5415632624361912</c:v>
                </c:pt>
                <c:pt idx="24">
                  <c:v>1.5657662577879936</c:v>
                </c:pt>
                <c:pt idx="25">
                  <c:v>1.5899514130817913</c:v>
                </c:pt>
                <c:pt idx="26">
                  <c:v>1.6153753268870592</c:v>
                </c:pt>
                <c:pt idx="27">
                  <c:v>1.6409689478631913</c:v>
                </c:pt>
                <c:pt idx="28">
                  <c:v>1.6678647051080513</c:v>
                </c:pt>
                <c:pt idx="29">
                  <c:v>1.6965365000791965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0F-40A6-AF5F-727BC384296E}"/>
            </c:ext>
          </c:extLst>
        </c:ser>
        <c:ser>
          <c:idx val="1"/>
          <c:order val="2"/>
          <c:tx>
            <c:strRef>
              <c:f>'Demand Growth'!$A$11</c:f>
              <c:strCache>
                <c:ptCount val="1"/>
                <c:pt idx="0">
                  <c:v>Reference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'Demand Growth'!$M$1:$AP$1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'Demand Growth'!$M$11:$AP$11</c:f>
              <c:numCache>
                <c:formatCode>General</c:formatCode>
                <c:ptCount val="30"/>
                <c:pt idx="0">
                  <c:v>1</c:v>
                </c:pt>
                <c:pt idx="1">
                  <c:v>1.0242962103749056</c:v>
                </c:pt>
                <c:pt idx="2">
                  <c:v>1.0165614886813377</c:v>
                </c:pt>
                <c:pt idx="3">
                  <c:v>1.0448070238962619</c:v>
                </c:pt>
                <c:pt idx="4">
                  <c:v>1.0593209661157066</c:v>
                </c:pt>
                <c:pt idx="5">
                  <c:v>1.0686121589724036</c:v>
                </c:pt>
                <c:pt idx="6">
                  <c:v>1.0842008498608602</c:v>
                </c:pt>
                <c:pt idx="7">
                  <c:v>1.0979535033411632</c:v>
                </c:pt>
                <c:pt idx="8">
                  <c:v>1.1141228457496142</c:v>
                </c:pt>
                <c:pt idx="9">
                  <c:v>1.1304366927794876</c:v>
                </c:pt>
                <c:pt idx="10">
                  <c:v>1.1477923043045131</c:v>
                </c:pt>
                <c:pt idx="11">
                  <c:v>1.1702732573235346</c:v>
                </c:pt>
                <c:pt idx="12">
                  <c:v>1.1939237361197905</c:v>
                </c:pt>
                <c:pt idx="13">
                  <c:v>1.2206596195234047</c:v>
                </c:pt>
                <c:pt idx="14">
                  <c:v>1.2481811620130494</c:v>
                </c:pt>
                <c:pt idx="15">
                  <c:v>1.2765875146868684</c:v>
                </c:pt>
                <c:pt idx="16">
                  <c:v>1.3047157661862772</c:v>
                </c:pt>
                <c:pt idx="17">
                  <c:v>1.3319971939857989</c:v>
                </c:pt>
                <c:pt idx="18">
                  <c:v>1.3591683913275066</c:v>
                </c:pt>
                <c:pt idx="19">
                  <c:v>1.385207289176666</c:v>
                </c:pt>
                <c:pt idx="20">
                  <c:v>1.409830395990419</c:v>
                </c:pt>
                <c:pt idx="21">
                  <c:v>1.4331344223457618</c:v>
                </c:pt>
                <c:pt idx="22">
                  <c:v>1.4551982705945694</c:v>
                </c:pt>
                <c:pt idx="23">
                  <c:v>1.4756748182895008</c:v>
                </c:pt>
                <c:pt idx="24">
                  <c:v>1.495524060340448</c:v>
                </c:pt>
                <c:pt idx="25">
                  <c:v>1.514820642587869</c:v>
                </c:pt>
                <c:pt idx="26">
                  <c:v>1.534677638219978</c:v>
                </c:pt>
                <c:pt idx="27">
                  <c:v>1.5554176697319113</c:v>
                </c:pt>
                <c:pt idx="28">
                  <c:v>1.5768133525556558</c:v>
                </c:pt>
                <c:pt idx="29">
                  <c:v>1.5991292998176883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0F-40A6-AF5F-727BC384296E}"/>
            </c:ext>
          </c:extLst>
        </c:ser>
        <c:ser>
          <c:idx val="2"/>
          <c:order val="3"/>
          <c:tx>
            <c:strRef>
              <c:f>'Demand Growth'!$A$10</c:f>
              <c:strCache>
                <c:ptCount val="1"/>
                <c:pt idx="0">
                  <c:v>Low Demand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'Demand Growth'!$M$1:$AP$1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'Demand Growth'!$M$10:$AP$10</c:f>
              <c:numCache>
                <c:formatCode>General</c:formatCode>
                <c:ptCount val="30"/>
                <c:pt idx="0">
                  <c:v>1</c:v>
                </c:pt>
                <c:pt idx="1">
                  <c:v>1.0242962103749056</c:v>
                </c:pt>
                <c:pt idx="2">
                  <c:v>1.006801748355092</c:v>
                </c:pt>
                <c:pt idx="3">
                  <c:v>1.0447311790171534</c:v>
                </c:pt>
                <c:pt idx="4">
                  <c:v>1.0486414881096191</c:v>
                </c:pt>
                <c:pt idx="5">
                  <c:v>1.054326504010626</c:v>
                </c:pt>
                <c:pt idx="6">
                  <c:v>1.0660834433022435</c:v>
                </c:pt>
                <c:pt idx="7">
                  <c:v>1.0774683744100719</c:v>
                </c:pt>
                <c:pt idx="8">
                  <c:v>1.0922397067229068</c:v>
                </c:pt>
                <c:pt idx="9">
                  <c:v>1.1065930634087586</c:v>
                </c:pt>
                <c:pt idx="10">
                  <c:v>1.1218362007563265</c:v>
                </c:pt>
                <c:pt idx="11">
                  <c:v>1.1418757413068774</c:v>
                </c:pt>
                <c:pt idx="12">
                  <c:v>1.1631658526428383</c:v>
                </c:pt>
                <c:pt idx="13">
                  <c:v>1.1864734321544355</c:v>
                </c:pt>
                <c:pt idx="14">
                  <c:v>1.2109045048184521</c:v>
                </c:pt>
                <c:pt idx="15">
                  <c:v>1.2354708687575955</c:v>
                </c:pt>
                <c:pt idx="16">
                  <c:v>1.2591676560636667</c:v>
                </c:pt>
                <c:pt idx="17">
                  <c:v>1.2828815709774692</c:v>
                </c:pt>
                <c:pt idx="18">
                  <c:v>1.3065372021534649</c:v>
                </c:pt>
                <c:pt idx="19">
                  <c:v>1.3285596161134208</c:v>
                </c:pt>
                <c:pt idx="20">
                  <c:v>1.3490485278522908</c:v>
                </c:pt>
                <c:pt idx="21">
                  <c:v>1.3690453827784572</c:v>
                </c:pt>
                <c:pt idx="22">
                  <c:v>1.3881107317105397</c:v>
                </c:pt>
                <c:pt idx="23">
                  <c:v>1.4056132262282179</c:v>
                </c:pt>
                <c:pt idx="24">
                  <c:v>1.4223626320062255</c:v>
                </c:pt>
                <c:pt idx="25">
                  <c:v>1.439598887646538</c:v>
                </c:pt>
                <c:pt idx="26">
                  <c:v>1.4567149309459577</c:v>
                </c:pt>
                <c:pt idx="27">
                  <c:v>1.4740061119547587</c:v>
                </c:pt>
                <c:pt idx="28">
                  <c:v>1.4920516262174295</c:v>
                </c:pt>
                <c:pt idx="29">
                  <c:v>1.5114098983213022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0F-40A6-AF5F-727BC384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13952"/>
        <c:axId val="383215520"/>
      </c:scatterChart>
      <c:valAx>
        <c:axId val="383213952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5520"/>
        <c:crosses val="autoZero"/>
        <c:crossBetween val="midCat"/>
      </c:valAx>
      <c:valAx>
        <c:axId val="383215520"/>
        <c:scaling>
          <c:orientation val="minMax"/>
        </c:scaling>
        <c:delete val="0"/>
        <c:axPos val="l"/>
        <c:majorGridlines>
          <c:spPr>
            <a:ln>
              <a:solidFill>
                <a:srgbClr val="E7E6E6">
                  <a:lumMod val="90000"/>
                </a:srgbClr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000">
                    <a:latin typeface="Arial" panose="020B0604020202020204" pitchFamily="34" charset="0"/>
                    <a:cs typeface="Arial" panose="020B0604020202020204" pitchFamily="34" charset="0"/>
                  </a:rPr>
                  <a:t>Demand Growth (relative to 2021)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3952"/>
        <c:crosses val="autoZero"/>
        <c:crossBetween val="midCat"/>
      </c:valAx>
      <c:spPr>
        <a:ln w="9525" cap="flat" cmpd="sng" algn="ctr">
          <a:noFill/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32390322097895652"/>
          <c:y val="0.53403368328958878"/>
          <c:w val="0.4332064166321315"/>
          <c:h val="0.26596631671041121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9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'Demand Growth'!$A$6</c:f>
              <c:strCache>
                <c:ptCount val="1"/>
                <c:pt idx="0">
                  <c:v>High Growth - 2023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Growth'!$B$6:$AP$6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0.98870358391881341</c:v>
                </c:pt>
                <c:pt idx="11">
                  <c:v>1.0292882240437158</c:v>
                </c:pt>
                <c:pt idx="12">
                  <c:v>1.0539426736924278</c:v>
                </c:pt>
                <c:pt idx="13">
                  <c:v>1.041260074941452</c:v>
                </c:pt>
                <c:pt idx="14">
                  <c:v>1.0565273341139736</c:v>
                </c:pt>
                <c:pt idx="15">
                  <c:v>1.0685432708821232</c:v>
                </c:pt>
                <c:pt idx="16">
                  <c:v>1.0832380624512099</c:v>
                </c:pt>
                <c:pt idx="17">
                  <c:v>1.0969937540983608</c:v>
                </c:pt>
                <c:pt idx="18">
                  <c:v>1.1112961545667446</c:v>
                </c:pt>
                <c:pt idx="19">
                  <c:v>1.1248584004683839</c:v>
                </c:pt>
                <c:pt idx="20">
                  <c:v>1.1368524551131927</c:v>
                </c:pt>
                <c:pt idx="21">
                  <c:v>1.1477849352068696</c:v>
                </c:pt>
                <c:pt idx="22">
                  <c:v>1.1597827923497268</c:v>
                </c:pt>
                <c:pt idx="23">
                  <c:v>1.1706082435597189</c:v>
                </c:pt>
                <c:pt idx="24">
                  <c:v>1.1823762974238874</c:v>
                </c:pt>
                <c:pt idx="25">
                  <c:v>1.1953343965651835</c:v>
                </c:pt>
                <c:pt idx="26">
                  <c:v>1.2087556221701794</c:v>
                </c:pt>
                <c:pt idx="27">
                  <c:v>1.2228534051522246</c:v>
                </c:pt>
                <c:pt idx="28">
                  <c:v>1.2359303302107727</c:v>
                </c:pt>
                <c:pt idx="29">
                  <c:v>1.2481873497267759</c:v>
                </c:pt>
                <c:pt idx="30">
                  <c:v>1.2618314754098359</c:v>
                </c:pt>
                <c:pt idx="31">
                  <c:v>1.2759369734582355</c:v>
                </c:pt>
                <c:pt idx="32">
                  <c:v>1.2909689867291179</c:v>
                </c:pt>
                <c:pt idx="33">
                  <c:v>1.3065156401249023</c:v>
                </c:pt>
                <c:pt idx="34">
                  <c:v>1.3222801967213116</c:v>
                </c:pt>
                <c:pt idx="35">
                  <c:v>1.338576782201405</c:v>
                </c:pt>
                <c:pt idx="36">
                  <c:v>1.3545812755659641</c:v>
                </c:pt>
                <c:pt idx="37">
                  <c:v>1.3706495690866509</c:v>
                </c:pt>
                <c:pt idx="38">
                  <c:v>1.3870948134270102</c:v>
                </c:pt>
                <c:pt idx="39">
                  <c:v>1.4037908376268537</c:v>
                </c:pt>
                <c:pt idx="40">
                  <c:v>1.4218971233411395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4A-482C-AA39-A4AF6D80EA42}"/>
            </c:ext>
          </c:extLst>
        </c:ser>
        <c:ser>
          <c:idx val="0"/>
          <c:order val="1"/>
          <c:tx>
            <c:strRef>
              <c:f>'Demand Growth'!$A$5</c:f>
              <c:strCache>
                <c:ptCount val="1"/>
                <c:pt idx="0">
                  <c:v>Reference - 2023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Growth'!$B$5:$AP$5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0.98870358391881341</c:v>
                </c:pt>
                <c:pt idx="11">
                  <c:v>1.0292882240437158</c:v>
                </c:pt>
                <c:pt idx="12">
                  <c:v>1.0539426736924278</c:v>
                </c:pt>
                <c:pt idx="13">
                  <c:v>1.0447302217017955</c:v>
                </c:pt>
                <c:pt idx="14">
                  <c:v>1.0540864777517565</c:v>
                </c:pt>
                <c:pt idx="15">
                  <c:v>1.0622304379391101</c:v>
                </c:pt>
                <c:pt idx="16">
                  <c:v>1.0726637931303669</c:v>
                </c:pt>
                <c:pt idx="17">
                  <c:v>1.0827499180327869</c:v>
                </c:pt>
                <c:pt idx="18">
                  <c:v>1.0939845472287275</c:v>
                </c:pt>
                <c:pt idx="19">
                  <c:v>1.1044000679156909</c:v>
                </c:pt>
                <c:pt idx="20">
                  <c:v>1.1132752521467604</c:v>
                </c:pt>
                <c:pt idx="21">
                  <c:v>1.1219232498048399</c:v>
                </c:pt>
                <c:pt idx="22">
                  <c:v>1.1319729164715064</c:v>
                </c:pt>
                <c:pt idx="23">
                  <c:v>1.140905157689305</c:v>
                </c:pt>
                <c:pt idx="24">
                  <c:v>1.1504197892271661</c:v>
                </c:pt>
                <c:pt idx="25">
                  <c:v>1.1611145925058548</c:v>
                </c:pt>
                <c:pt idx="26">
                  <c:v>1.1716153645589384</c:v>
                </c:pt>
                <c:pt idx="27">
                  <c:v>1.1824606658860264</c:v>
                </c:pt>
                <c:pt idx="28">
                  <c:v>1.1929372201405151</c:v>
                </c:pt>
                <c:pt idx="29">
                  <c:v>1.2029088696330992</c:v>
                </c:pt>
                <c:pt idx="30">
                  <c:v>1.2135477540983606</c:v>
                </c:pt>
                <c:pt idx="31">
                  <c:v>1.2249601857923496</c:v>
                </c:pt>
                <c:pt idx="32">
                  <c:v>1.2367174793130367</c:v>
                </c:pt>
                <c:pt idx="33">
                  <c:v>1.2485335870413738</c:v>
                </c:pt>
                <c:pt idx="34">
                  <c:v>1.2602757868852459</c:v>
                </c:pt>
                <c:pt idx="35">
                  <c:v>1.2724844176424668</c:v>
                </c:pt>
                <c:pt idx="36">
                  <c:v>1.2869562732240436</c:v>
                </c:pt>
                <c:pt idx="37">
                  <c:v>1.3011325823575333</c:v>
                </c:pt>
                <c:pt idx="38">
                  <c:v>1.31496050039032</c:v>
                </c:pt>
                <c:pt idx="39">
                  <c:v>1.3292126854020296</c:v>
                </c:pt>
                <c:pt idx="40">
                  <c:v>1.3455924160811865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4A-482C-AA39-A4AF6D80EA42}"/>
            </c:ext>
          </c:extLst>
        </c:ser>
        <c:ser>
          <c:idx val="2"/>
          <c:order val="2"/>
          <c:tx>
            <c:strRef>
              <c:f>'Demand Growth'!$A$7</c:f>
              <c:strCache>
                <c:ptCount val="1"/>
                <c:pt idx="0">
                  <c:v>Low Growth - 2023</c:v>
                </c:pt>
              </c:strCache>
            </c:strRef>
          </c:tx>
          <c:spPr>
            <a:ln>
              <a:solidFill>
                <a:schemeClr val="accent3"/>
              </a:solidFill>
              <a:prstDash val="sysDash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Growth'!$B$7:$AP$7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0.98870358391881341</c:v>
                </c:pt>
                <c:pt idx="11">
                  <c:v>1.0292882240437158</c:v>
                </c:pt>
                <c:pt idx="12">
                  <c:v>1.0539426736924278</c:v>
                </c:pt>
                <c:pt idx="13">
                  <c:v>1.0345058110850898</c:v>
                </c:pt>
                <c:pt idx="14">
                  <c:v>1.0393464020296643</c:v>
                </c:pt>
                <c:pt idx="15">
                  <c:v>1.0446468852459017</c:v>
                </c:pt>
                <c:pt idx="16">
                  <c:v>1.0525780007806402</c:v>
                </c:pt>
                <c:pt idx="17">
                  <c:v>1.0601979594067135</c:v>
                </c:pt>
                <c:pt idx="18">
                  <c:v>1.0687606424668228</c:v>
                </c:pt>
                <c:pt idx="19">
                  <c:v>1.0772994519906323</c:v>
                </c:pt>
                <c:pt idx="20">
                  <c:v>1.0850831639344263</c:v>
                </c:pt>
                <c:pt idx="21">
                  <c:v>1.0933879960967994</c:v>
                </c:pt>
                <c:pt idx="22">
                  <c:v>1.1025234746291961</c:v>
                </c:pt>
                <c:pt idx="23">
                  <c:v>1.1095072209211552</c:v>
                </c:pt>
                <c:pt idx="24">
                  <c:v>1.1162232115534738</c:v>
                </c:pt>
                <c:pt idx="25">
                  <c:v>1.1236490663544105</c:v>
                </c:pt>
                <c:pt idx="26">
                  <c:v>1.1315115331772052</c:v>
                </c:pt>
                <c:pt idx="27">
                  <c:v>1.1399690725995315</c:v>
                </c:pt>
                <c:pt idx="28">
                  <c:v>1.1484517509758001</c:v>
                </c:pt>
                <c:pt idx="29">
                  <c:v>1.1565840850897735</c:v>
                </c:pt>
                <c:pt idx="30">
                  <c:v>1.1648694355971896</c:v>
                </c:pt>
                <c:pt idx="31">
                  <c:v>1.1736451280249804</c:v>
                </c:pt>
                <c:pt idx="32">
                  <c:v>1.1832602209211553</c:v>
                </c:pt>
                <c:pt idx="33">
                  <c:v>1.1933461225604995</c:v>
                </c:pt>
                <c:pt idx="34">
                  <c:v>1.2031192107728337</c:v>
                </c:pt>
                <c:pt idx="35">
                  <c:v>1.2130963239656518</c:v>
                </c:pt>
                <c:pt idx="36">
                  <c:v>1.2235700491803279</c:v>
                </c:pt>
                <c:pt idx="37">
                  <c:v>1.2343561686182669</c:v>
                </c:pt>
                <c:pt idx="38">
                  <c:v>1.2460120593286494</c:v>
                </c:pt>
                <c:pt idx="39">
                  <c:v>1.2580475136612022</c:v>
                </c:pt>
                <c:pt idx="40">
                  <c:v>1.271015906323185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4A-482C-AA39-A4AF6D80EA42}"/>
            </c:ext>
          </c:extLst>
        </c:ser>
        <c:ser>
          <c:idx val="4"/>
          <c:order val="3"/>
          <c:tx>
            <c:strRef>
              <c:f>'Demand Growth'!$A$3</c:f>
              <c:strCache>
                <c:ptCount val="1"/>
                <c:pt idx="0">
                  <c:v>High Growth - 2025</c:v>
                </c:pt>
              </c:strCache>
            </c:strRef>
          </c:tx>
          <c:spPr>
            <a:ln>
              <a:solidFill>
                <a:schemeClr val="accent2"/>
              </a:solidFill>
              <a:prstDash val="solid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Growth'!$B$3:$AP$3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1.0435344957064794</c:v>
                </c:pt>
                <c:pt idx="14">
                  <c:v>1.0761688579234974</c:v>
                </c:pt>
                <c:pt idx="15">
                  <c:v>1.0898130936768149</c:v>
                </c:pt>
                <c:pt idx="16">
                  <c:v>1.1060900999219359</c:v>
                </c:pt>
                <c:pt idx="17">
                  <c:v>1.126754555815769</c:v>
                </c:pt>
                <c:pt idx="18">
                  <c:v>1.1430164082747853</c:v>
                </c:pt>
                <c:pt idx="19">
                  <c:v>1.164378993754879</c:v>
                </c:pt>
                <c:pt idx="20">
                  <c:v>1.1857879203747073</c:v>
                </c:pt>
                <c:pt idx="21">
                  <c:v>1.2083202903981263</c:v>
                </c:pt>
                <c:pt idx="22">
                  <c:v>1.2351856057767368</c:v>
                </c:pt>
                <c:pt idx="23">
                  <c:v>1.2630336416861825</c:v>
                </c:pt>
                <c:pt idx="24">
                  <c:v>1.2941610187353632</c:v>
                </c:pt>
                <c:pt idx="25">
                  <c:v>1.3308798860265418</c:v>
                </c:pt>
                <c:pt idx="26">
                  <c:v>1.3636362404371583</c:v>
                </c:pt>
                <c:pt idx="27">
                  <c:v>1.3959979375487899</c:v>
                </c:pt>
                <c:pt idx="28">
                  <c:v>1.4257482201405152</c:v>
                </c:pt>
                <c:pt idx="29">
                  <c:v>1.4555049711163153</c:v>
                </c:pt>
                <c:pt idx="30">
                  <c:v>1.4835642045277124</c:v>
                </c:pt>
                <c:pt idx="31">
                  <c:v>1.5096131100702577</c:v>
                </c:pt>
                <c:pt idx="32">
                  <c:v>1.5366906955503512</c:v>
                </c:pt>
                <c:pt idx="33">
                  <c:v>1.5628823590944574</c:v>
                </c:pt>
                <c:pt idx="34">
                  <c:v>1.5877624199843872</c:v>
                </c:pt>
                <c:pt idx="35">
                  <c:v>1.6126907556596408</c:v>
                </c:pt>
                <c:pt idx="36">
                  <c:v>1.6376007166276345</c:v>
                </c:pt>
                <c:pt idx="37">
                  <c:v>1.6637865604996096</c:v>
                </c:pt>
                <c:pt idx="38">
                  <c:v>1.6901471975019515</c:v>
                </c:pt>
                <c:pt idx="39">
                  <c:v>1.7178489945355191</c:v>
                </c:pt>
                <c:pt idx="40">
                  <c:v>1.7473800554254488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4A-482C-AA39-A4AF6D80EA42}"/>
            </c:ext>
          </c:extLst>
        </c:ser>
        <c:ser>
          <c:idx val="3"/>
          <c:order val="4"/>
          <c:tx>
            <c:strRef>
              <c:f>'Demand Growth'!$A$2</c:f>
              <c:strCache>
                <c:ptCount val="1"/>
                <c:pt idx="0">
                  <c:v>Reference - 2025</c:v>
                </c:pt>
              </c:strCache>
            </c:strRef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Growth'!$B$2:$AP$2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1.0470268516783763</c:v>
                </c:pt>
                <c:pt idx="14">
                  <c:v>1.0761188782201405</c:v>
                </c:pt>
                <c:pt idx="15">
                  <c:v>1.0910677892271663</c:v>
                </c:pt>
                <c:pt idx="16">
                  <c:v>1.1006374301327089</c:v>
                </c:pt>
                <c:pt idx="17">
                  <c:v>1.1166932989851679</c:v>
                </c:pt>
                <c:pt idx="18">
                  <c:v>1.1308581061670571</c:v>
                </c:pt>
                <c:pt idx="19">
                  <c:v>1.1475120281030444</c:v>
                </c:pt>
                <c:pt idx="20">
                  <c:v>1.1643147853239657</c:v>
                </c:pt>
                <c:pt idx="21">
                  <c:v>1.1821905277127243</c:v>
                </c:pt>
                <c:pt idx="22">
                  <c:v>1.2053452131147542</c:v>
                </c:pt>
                <c:pt idx="23">
                  <c:v>1.2297044738485556</c:v>
                </c:pt>
                <c:pt idx="24">
                  <c:v>1.2572416057767368</c:v>
                </c:pt>
                <c:pt idx="25">
                  <c:v>1.2855879422326306</c:v>
                </c:pt>
                <c:pt idx="26">
                  <c:v>1.3148456057767368</c:v>
                </c:pt>
                <c:pt idx="27">
                  <c:v>1.3438168337236531</c:v>
                </c:pt>
                <c:pt idx="28">
                  <c:v>1.3719158594847776</c:v>
                </c:pt>
                <c:pt idx="29">
                  <c:v>1.399901351288056</c:v>
                </c:pt>
                <c:pt idx="30">
                  <c:v>1.4267206096799374</c:v>
                </c:pt>
                <c:pt idx="31">
                  <c:v>1.4520816471506632</c:v>
                </c:pt>
                <c:pt idx="32">
                  <c:v>1.4760840725995314</c:v>
                </c:pt>
                <c:pt idx="33">
                  <c:v>1.4988091530054646</c:v>
                </c:pt>
                <c:pt idx="34">
                  <c:v>1.519899362997658</c:v>
                </c:pt>
                <c:pt idx="35">
                  <c:v>1.5403434676034347</c:v>
                </c:pt>
                <c:pt idx="36">
                  <c:v>1.5602183497267761</c:v>
                </c:pt>
                <c:pt idx="37">
                  <c:v>1.5806704402810305</c:v>
                </c:pt>
                <c:pt idx="38">
                  <c:v>1.6020320304449649</c:v>
                </c:pt>
                <c:pt idx="39">
                  <c:v>1.6240689211553474</c:v>
                </c:pt>
                <c:pt idx="40">
                  <c:v>1.6470536557377047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A-482C-AA39-A4AF6D80EA42}"/>
            </c:ext>
          </c:extLst>
        </c:ser>
        <c:ser>
          <c:idx val="5"/>
          <c:order val="5"/>
          <c:tx>
            <c:strRef>
              <c:f>'Demand Growth'!$A$4</c:f>
              <c:strCache>
                <c:ptCount val="1"/>
                <c:pt idx="0">
                  <c:v>Low Growth - 2025</c:v>
                </c:pt>
              </c:strCache>
            </c:strRef>
          </c:tx>
          <c:spPr>
            <a:ln>
              <a:solidFill>
                <a:schemeClr val="accent3"/>
              </a:solidFill>
              <a:prstDash val="solid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Growth'!$B$4:$AP$4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1.0369746213895394</c:v>
                </c:pt>
                <c:pt idx="14">
                  <c:v>1.0760407603434816</c:v>
                </c:pt>
                <c:pt idx="15">
                  <c:v>1.0800682576112413</c:v>
                </c:pt>
                <c:pt idx="16">
                  <c:v>1.0859236479313035</c:v>
                </c:pt>
                <c:pt idx="17">
                  <c:v>1.098032931303669</c:v>
                </c:pt>
                <c:pt idx="18">
                  <c:v>1.1097590577673693</c:v>
                </c:pt>
                <c:pt idx="19">
                  <c:v>1.1249730725995315</c:v>
                </c:pt>
                <c:pt idx="20">
                  <c:v>1.1397565854800937</c:v>
                </c:pt>
                <c:pt idx="21">
                  <c:v>1.155456544886807</c:v>
                </c:pt>
                <c:pt idx="22">
                  <c:v>1.1760966510538642</c:v>
                </c:pt>
                <c:pt idx="23">
                  <c:v>1.1980248064012491</c:v>
                </c:pt>
                <c:pt idx="24">
                  <c:v>1.2220308914910225</c:v>
                </c:pt>
                <c:pt idx="25">
                  <c:v>1.2471941397345823</c:v>
                </c:pt>
                <c:pt idx="26">
                  <c:v>1.2724967338017175</c:v>
                </c:pt>
                <c:pt idx="27">
                  <c:v>1.2969036908665106</c:v>
                </c:pt>
                <c:pt idx="28">
                  <c:v>1.3213282888368463</c:v>
                </c:pt>
                <c:pt idx="29">
                  <c:v>1.3456928563622168</c:v>
                </c:pt>
                <c:pt idx="30">
                  <c:v>1.3683752607338018</c:v>
                </c:pt>
                <c:pt idx="31">
                  <c:v>1.3894782053083528</c:v>
                </c:pt>
                <c:pt idx="32">
                  <c:v>1.4100743466042154</c:v>
                </c:pt>
                <c:pt idx="33">
                  <c:v>1.4297110655737704</c:v>
                </c:pt>
                <c:pt idx="34">
                  <c:v>1.4477380928961749</c:v>
                </c:pt>
                <c:pt idx="35">
                  <c:v>1.4649894621389539</c:v>
                </c:pt>
                <c:pt idx="36">
                  <c:v>1.4827422716627634</c:v>
                </c:pt>
                <c:pt idx="37">
                  <c:v>1.5003712661982824</c:v>
                </c:pt>
                <c:pt idx="38">
                  <c:v>1.5181806471506636</c:v>
                </c:pt>
                <c:pt idx="39">
                  <c:v>1.5367669679937546</c:v>
                </c:pt>
                <c:pt idx="40">
                  <c:v>1.5567053887587821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4A-482C-AA39-A4AF6D80E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17088"/>
        <c:axId val="383214736"/>
      </c:scatterChart>
      <c:valAx>
        <c:axId val="383217088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crossAx val="383214736"/>
        <c:crosses val="autoZero"/>
        <c:crossBetween val="midCat"/>
      </c:valAx>
      <c:valAx>
        <c:axId val="383214736"/>
        <c:scaling>
          <c:orientation val="minMax"/>
          <c:min val="0.9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Demand Growth (Relative to 2010)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3217088"/>
        <c:crosses val="autoZero"/>
        <c:crossBetween val="midCat"/>
      </c:valAx>
      <c:spPr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16963823272090989"/>
          <c:y val="0.1099595363079615"/>
          <c:w val="0.32480621172353458"/>
          <c:h val="0.31711796442111401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1"/>
          <c:tx>
            <c:strRef>
              <c:f>'Coal Prices'!$A$3</c:f>
              <c:strCache>
                <c:ptCount val="1"/>
                <c:pt idx="0">
                  <c:v>Reference - 2023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xVal>
            <c:numRef>
              <c:f>'Coal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'Coal Prices'!$B$3:$AP$3</c:f>
              <c:numCache>
                <c:formatCode>General</c:formatCode>
                <c:ptCount val="41"/>
                <c:pt idx="1">
                  <c:v>3.3507873656262626</c:v>
                </c:pt>
                <c:pt idx="2">
                  <c:v>3.327143211256832</c:v>
                </c:pt>
                <c:pt idx="3">
                  <c:v>3.1890057967132486</c:v>
                </c:pt>
                <c:pt idx="4">
                  <c:v>3.1677956657633817</c:v>
                </c:pt>
                <c:pt idx="5">
                  <c:v>2.9682727874648496</c:v>
                </c:pt>
                <c:pt idx="6">
                  <c:v>2.8090153937293492</c:v>
                </c:pt>
                <c:pt idx="7">
                  <c:v>2.6119257488731158</c:v>
                </c:pt>
                <c:pt idx="8">
                  <c:v>2.6267752475956456</c:v>
                </c:pt>
                <c:pt idx="9">
                  <c:v>2.5108391279496769</c:v>
                </c:pt>
                <c:pt idx="10">
                  <c:v>2.3780149516081392</c:v>
                </c:pt>
                <c:pt idx="11">
                  <c:v>2.3800114247111992</c:v>
                </c:pt>
                <c:pt idx="12">
                  <c:v>2.2867335720179991</c:v>
                </c:pt>
                <c:pt idx="13">
                  <c:v>2.2035718140029994</c:v>
                </c:pt>
                <c:pt idx="14">
                  <c:v>2.2000722395399994</c:v>
                </c:pt>
                <c:pt idx="15">
                  <c:v>2.1821523187589995</c:v>
                </c:pt>
                <c:pt idx="16">
                  <c:v>2.1511231869959992</c:v>
                </c:pt>
                <c:pt idx="17">
                  <c:v>2.1302778490559993</c:v>
                </c:pt>
                <c:pt idx="18">
                  <c:v>2.1040112235869994</c:v>
                </c:pt>
                <c:pt idx="19">
                  <c:v>2.0917632485609996</c:v>
                </c:pt>
                <c:pt idx="20">
                  <c:v>2.0932179232229995</c:v>
                </c:pt>
                <c:pt idx="21">
                  <c:v>2.0858235055559993</c:v>
                </c:pt>
                <c:pt idx="22">
                  <c:v>2.0540798907299993</c:v>
                </c:pt>
                <c:pt idx="23">
                  <c:v>2.0417622884189996</c:v>
                </c:pt>
                <c:pt idx="24">
                  <c:v>2.0402251322039993</c:v>
                </c:pt>
                <c:pt idx="25">
                  <c:v>2.0329378334369994</c:v>
                </c:pt>
                <c:pt idx="26">
                  <c:v>2.0261668477679997</c:v>
                </c:pt>
                <c:pt idx="27">
                  <c:v>2.0237823810539997</c:v>
                </c:pt>
                <c:pt idx="28">
                  <c:v>2.0510184325679996</c:v>
                </c:pt>
                <c:pt idx="29">
                  <c:v>2.0463459061499996</c:v>
                </c:pt>
                <c:pt idx="30">
                  <c:v>2.0485911182939995</c:v>
                </c:pt>
                <c:pt idx="31">
                  <c:v>2.0471535826559992</c:v>
                </c:pt>
                <c:pt idx="32">
                  <c:v>2.0453411308679996</c:v>
                </c:pt>
                <c:pt idx="33">
                  <c:v>2.0449255095359997</c:v>
                </c:pt>
                <c:pt idx="34">
                  <c:v>2.0393221198769997</c:v>
                </c:pt>
                <c:pt idx="35">
                  <c:v>2.0350277231759994</c:v>
                </c:pt>
                <c:pt idx="36">
                  <c:v>2.0357936233109992</c:v>
                </c:pt>
                <c:pt idx="37">
                  <c:v>2.0302941389849996</c:v>
                </c:pt>
                <c:pt idx="38">
                  <c:v>2.0210433507809995</c:v>
                </c:pt>
                <c:pt idx="39">
                  <c:v>2.0247785868239996</c:v>
                </c:pt>
                <c:pt idx="40">
                  <c:v>2.0216335759199997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E-4835-A9C9-430AEBE29CA3}"/>
            </c:ext>
          </c:extLst>
        </c:ser>
        <c:ser>
          <c:idx val="0"/>
          <c:order val="0"/>
          <c:tx>
            <c:strRef>
              <c:f>'Coal Prices'!$A$2</c:f>
              <c:strCache>
                <c:ptCount val="1"/>
                <c:pt idx="0">
                  <c:v>Reference - 2025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'Coal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'Coal Prices'!$B$2:$AP$2</c:f>
              <c:numCache>
                <c:formatCode>General</c:formatCode>
                <c:ptCount val="41"/>
                <c:pt idx="1">
                  <c:v>3.3507873656262626</c:v>
                </c:pt>
                <c:pt idx="2">
                  <c:v>3.327143211256832</c:v>
                </c:pt>
                <c:pt idx="3">
                  <c:v>3.1890057967132486</c:v>
                </c:pt>
                <c:pt idx="4">
                  <c:v>3.1677956657633817</c:v>
                </c:pt>
                <c:pt idx="5">
                  <c:v>2.9682727874648496</c:v>
                </c:pt>
                <c:pt idx="6">
                  <c:v>2.8090153937293492</c:v>
                </c:pt>
                <c:pt idx="7">
                  <c:v>2.6119257488731158</c:v>
                </c:pt>
                <c:pt idx="8">
                  <c:v>2.6267752475956456</c:v>
                </c:pt>
                <c:pt idx="9">
                  <c:v>2.5108391279496769</c:v>
                </c:pt>
                <c:pt idx="10">
                  <c:v>2.3780149516081392</c:v>
                </c:pt>
                <c:pt idx="11">
                  <c:v>2.3800114247111992</c:v>
                </c:pt>
                <c:pt idx="12">
                  <c:v>2.2867335720179991</c:v>
                </c:pt>
                <c:pt idx="13">
                  <c:v>2.2035718140029994</c:v>
                </c:pt>
                <c:pt idx="14">
                  <c:v>2.488794</c:v>
                </c:pt>
                <c:pt idx="15">
                  <c:v>2.4308079999999999</c:v>
                </c:pt>
                <c:pt idx="16">
                  <c:v>2.3847939999999999</c:v>
                </c:pt>
                <c:pt idx="17">
                  <c:v>2.326921</c:v>
                </c:pt>
                <c:pt idx="18">
                  <c:v>2.2379560000000001</c:v>
                </c:pt>
                <c:pt idx="19">
                  <c:v>2.2037680000000002</c:v>
                </c:pt>
                <c:pt idx="20">
                  <c:v>2.1956859999999998</c:v>
                </c:pt>
                <c:pt idx="21">
                  <c:v>2.1831230000000001</c:v>
                </c:pt>
                <c:pt idx="22">
                  <c:v>2.1631179999999999</c:v>
                </c:pt>
                <c:pt idx="23">
                  <c:v>2.1573820000000001</c:v>
                </c:pt>
                <c:pt idx="24">
                  <c:v>2.1684130000000001</c:v>
                </c:pt>
                <c:pt idx="25">
                  <c:v>2.160901</c:v>
                </c:pt>
                <c:pt idx="26">
                  <c:v>2.1475849999999999</c:v>
                </c:pt>
                <c:pt idx="27">
                  <c:v>2.1557439999999999</c:v>
                </c:pt>
                <c:pt idx="28">
                  <c:v>2.1208109999999998</c:v>
                </c:pt>
                <c:pt idx="29">
                  <c:v>2.11497</c:v>
                </c:pt>
                <c:pt idx="30">
                  <c:v>2.120485</c:v>
                </c:pt>
                <c:pt idx="31">
                  <c:v>2.1159569999999999</c:v>
                </c:pt>
                <c:pt idx="32">
                  <c:v>2.1090740000000001</c:v>
                </c:pt>
                <c:pt idx="33">
                  <c:v>2.1063499999999999</c:v>
                </c:pt>
                <c:pt idx="34">
                  <c:v>2.0970939999999998</c:v>
                </c:pt>
                <c:pt idx="35">
                  <c:v>2.102223</c:v>
                </c:pt>
                <c:pt idx="36">
                  <c:v>2.0948739999999999</c:v>
                </c:pt>
                <c:pt idx="37">
                  <c:v>2.1010049999999998</c:v>
                </c:pt>
                <c:pt idx="38">
                  <c:v>2.1035409999999999</c:v>
                </c:pt>
                <c:pt idx="39">
                  <c:v>2.107148</c:v>
                </c:pt>
                <c:pt idx="40">
                  <c:v>2.10446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FE-4835-A9C9-430AEBE29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062416"/>
        <c:axId val="377062808"/>
      </c:scatterChart>
      <c:valAx>
        <c:axId val="377062416"/>
        <c:scaling>
          <c:orientation val="minMax"/>
          <c:max val="2050"/>
          <c:min val="2010"/>
        </c:scaling>
        <c:delete val="0"/>
        <c:axPos val="b"/>
        <c:numFmt formatCode="General" sourceLinked="1"/>
        <c:majorTickMark val="out"/>
        <c:minorTickMark val="none"/>
        <c:tickLblPos val="nextTo"/>
        <c:crossAx val="377062808"/>
        <c:crosses val="autoZero"/>
        <c:crossBetween val="midCat"/>
      </c:valAx>
      <c:valAx>
        <c:axId val="37706280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Coal</a:t>
                </a:r>
                <a:r>
                  <a:rPr lang="en-US" baseline="0"/>
                  <a:t> Price (2024$/MMBtu)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7062416"/>
        <c:crosses val="autoZero"/>
        <c:crossBetween val="midCat"/>
      </c:valAx>
      <c:spPr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15297156605424322"/>
          <c:y val="0.6640335958005249"/>
          <c:w val="0.32480621172353458"/>
          <c:h val="0.18045144356955378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'Coal Prices'!$A$7</c:f>
              <c:strCache>
                <c:ptCount val="1"/>
                <c:pt idx="0">
                  <c:v>Coal</c:v>
                </c:pt>
              </c:strCache>
            </c:strRef>
          </c:tx>
          <c:spPr>
            <a:ln>
              <a:solidFill>
                <a:srgbClr val="A5A5A5"/>
              </a:solidFill>
            </a:ln>
          </c:spPr>
          <c:marker>
            <c:symbol val="none"/>
          </c:marker>
          <c:xVal>
            <c:numRef>
              <c:f>'Coal Prices'!$M$1:$AP$1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'Coal Prices'!$M$7:$AP$7</c:f>
              <c:numCache>
                <c:formatCode>General</c:formatCode>
                <c:ptCount val="30"/>
                <c:pt idx="0">
                  <c:v>2.3800114247111992</c:v>
                </c:pt>
                <c:pt idx="1">
                  <c:v>2.2867335720179991</c:v>
                </c:pt>
                <c:pt idx="2">
                  <c:v>2.2035718140029994</c:v>
                </c:pt>
                <c:pt idx="3">
                  <c:v>2.488794</c:v>
                </c:pt>
                <c:pt idx="4">
                  <c:v>2.4308079999999999</c:v>
                </c:pt>
                <c:pt idx="5">
                  <c:v>2.3847939999999999</c:v>
                </c:pt>
                <c:pt idx="6">
                  <c:v>2.326921</c:v>
                </c:pt>
                <c:pt idx="7">
                  <c:v>2.2379560000000001</c:v>
                </c:pt>
                <c:pt idx="8">
                  <c:v>2.2037680000000002</c:v>
                </c:pt>
                <c:pt idx="9">
                  <c:v>2.1956859999999998</c:v>
                </c:pt>
                <c:pt idx="10">
                  <c:v>2.1831230000000001</c:v>
                </c:pt>
                <c:pt idx="11">
                  <c:v>2.1631179999999999</c:v>
                </c:pt>
                <c:pt idx="12">
                  <c:v>2.1573820000000001</c:v>
                </c:pt>
                <c:pt idx="13">
                  <c:v>2.1684130000000001</c:v>
                </c:pt>
                <c:pt idx="14">
                  <c:v>2.160901</c:v>
                </c:pt>
                <c:pt idx="15">
                  <c:v>2.1475849999999999</c:v>
                </c:pt>
                <c:pt idx="16">
                  <c:v>2.1557439999999999</c:v>
                </c:pt>
                <c:pt idx="17">
                  <c:v>2.1208109999999998</c:v>
                </c:pt>
                <c:pt idx="18">
                  <c:v>2.11497</c:v>
                </c:pt>
                <c:pt idx="19">
                  <c:v>2.120485</c:v>
                </c:pt>
                <c:pt idx="20">
                  <c:v>2.1159569999999999</c:v>
                </c:pt>
                <c:pt idx="21">
                  <c:v>2.1090740000000001</c:v>
                </c:pt>
                <c:pt idx="22">
                  <c:v>2.1063499999999999</c:v>
                </c:pt>
                <c:pt idx="23">
                  <c:v>2.0970939999999998</c:v>
                </c:pt>
                <c:pt idx="24">
                  <c:v>2.102223</c:v>
                </c:pt>
                <c:pt idx="25">
                  <c:v>2.0948739999999999</c:v>
                </c:pt>
                <c:pt idx="26">
                  <c:v>2.1010049999999998</c:v>
                </c:pt>
                <c:pt idx="27">
                  <c:v>2.1035409999999999</c:v>
                </c:pt>
                <c:pt idx="28">
                  <c:v>2.107148</c:v>
                </c:pt>
                <c:pt idx="29">
                  <c:v>2.10446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CD-494A-AF27-7809184584A7}"/>
            </c:ext>
          </c:extLst>
        </c:ser>
        <c:ser>
          <c:idx val="4"/>
          <c:order val="1"/>
          <c:tx>
            <c:strRef>
              <c:f>'Coal Prices'!$A$8</c:f>
              <c:strCache>
                <c:ptCount val="1"/>
                <c:pt idx="0">
                  <c:v>Uranium</c:v>
                </c:pt>
              </c:strCache>
            </c:strRef>
          </c:tx>
          <c:marker>
            <c:symbol val="none"/>
          </c:marker>
          <c:xVal>
            <c:numRef>
              <c:f>'Coal Prices'!$M$1:$AP$1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'Coal Prices'!$M$8:$AP$8</c:f>
              <c:numCache>
                <c:formatCode>General</c:formatCode>
                <c:ptCount val="30"/>
                <c:pt idx="0">
                  <c:v>0.82909720097567974</c:v>
                </c:pt>
                <c:pt idx="1">
                  <c:v>0.76147826680799979</c:v>
                </c:pt>
                <c:pt idx="2">
                  <c:v>0.7614011411999998</c:v>
                </c:pt>
                <c:pt idx="3">
                  <c:v>0.753328</c:v>
                </c:pt>
                <c:pt idx="4">
                  <c:v>0.75326199999999999</c:v>
                </c:pt>
                <c:pt idx="5">
                  <c:v>0.75318600000000002</c:v>
                </c:pt>
                <c:pt idx="6">
                  <c:v>0.75312100000000004</c:v>
                </c:pt>
                <c:pt idx="7">
                  <c:v>0.75305599999999995</c:v>
                </c:pt>
                <c:pt idx="8">
                  <c:v>0.75297999999999998</c:v>
                </c:pt>
                <c:pt idx="9">
                  <c:v>0.75291399999999997</c:v>
                </c:pt>
                <c:pt idx="10">
                  <c:v>0.75283800000000001</c:v>
                </c:pt>
                <c:pt idx="11">
                  <c:v>0.75277300000000003</c:v>
                </c:pt>
                <c:pt idx="12">
                  <c:v>0.75270800000000004</c:v>
                </c:pt>
                <c:pt idx="13">
                  <c:v>0.75263199999999997</c:v>
                </c:pt>
                <c:pt idx="14">
                  <c:v>0.75256699999999999</c:v>
                </c:pt>
                <c:pt idx="15">
                  <c:v>0.75249100000000002</c:v>
                </c:pt>
                <c:pt idx="16">
                  <c:v>0.75242500000000001</c:v>
                </c:pt>
                <c:pt idx="17">
                  <c:v>0.75236000000000003</c:v>
                </c:pt>
                <c:pt idx="18">
                  <c:v>0.75228399999999995</c:v>
                </c:pt>
                <c:pt idx="19">
                  <c:v>0.75221899999999997</c:v>
                </c:pt>
                <c:pt idx="20">
                  <c:v>0.75215399999999999</c:v>
                </c:pt>
                <c:pt idx="21">
                  <c:v>0.75207800000000002</c:v>
                </c:pt>
                <c:pt idx="22">
                  <c:v>0.75201200000000001</c:v>
                </c:pt>
                <c:pt idx="23">
                  <c:v>0.75193600000000005</c:v>
                </c:pt>
                <c:pt idx="24">
                  <c:v>0.75187099999999996</c:v>
                </c:pt>
                <c:pt idx="25">
                  <c:v>0.75180599999999997</c:v>
                </c:pt>
                <c:pt idx="26">
                  <c:v>0.75173000000000001</c:v>
                </c:pt>
                <c:pt idx="27">
                  <c:v>0.75166500000000003</c:v>
                </c:pt>
                <c:pt idx="28">
                  <c:v>0.75160000000000005</c:v>
                </c:pt>
                <c:pt idx="29">
                  <c:v>0.75152300000000005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CD-494A-AF27-780918458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3152"/>
        <c:axId val="381745112"/>
      </c:scatterChart>
      <c:valAx>
        <c:axId val="381743152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81745112"/>
        <c:crosses val="autoZero"/>
        <c:crossBetween val="midCat"/>
      </c:valAx>
      <c:valAx>
        <c:axId val="381745112"/>
        <c:scaling>
          <c:orientation val="minMax"/>
        </c:scaling>
        <c:delete val="0"/>
        <c:axPos val="l"/>
        <c:majorGridlines>
          <c:spPr>
            <a:ln>
              <a:solidFill>
                <a:srgbClr val="E7E6E6">
                  <a:lumMod val="90000"/>
                </a:srgbClr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n-US" sz="900"/>
                  <a:t>Fuel Prices (2024$/MMBtu)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3817431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0245802285550221"/>
          <c:y val="0.39608180227471568"/>
          <c:w val="0.27522014469553535"/>
          <c:h val="0.21055030621172355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'Coal Prices'!$A$7</c:f>
              <c:strCache>
                <c:ptCount val="1"/>
                <c:pt idx="0">
                  <c:v>Coal</c:v>
                </c:pt>
              </c:strCache>
            </c:strRef>
          </c:tx>
          <c:spPr>
            <a:ln>
              <a:solidFill>
                <a:srgbClr val="A5A5A5"/>
              </a:solidFill>
            </a:ln>
          </c:spPr>
          <c:marker>
            <c:symbol val="none"/>
          </c:marker>
          <c:xVal>
            <c:numRef>
              <c:f>'Coal Prices'!$O$1:$AP$1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xVal>
          <c:yVal>
            <c:numRef>
              <c:f>'Coal Prices'!$O$7:$AP$7</c:f>
              <c:numCache>
                <c:formatCode>General</c:formatCode>
                <c:ptCount val="28"/>
                <c:pt idx="0">
                  <c:v>2.2035718140029994</c:v>
                </c:pt>
                <c:pt idx="1">
                  <c:v>2.488794</c:v>
                </c:pt>
                <c:pt idx="2">
                  <c:v>2.4308079999999999</c:v>
                </c:pt>
                <c:pt idx="3">
                  <c:v>2.3847939999999999</c:v>
                </c:pt>
                <c:pt idx="4">
                  <c:v>2.326921</c:v>
                </c:pt>
                <c:pt idx="5">
                  <c:v>2.2379560000000001</c:v>
                </c:pt>
                <c:pt idx="6">
                  <c:v>2.2037680000000002</c:v>
                </c:pt>
                <c:pt idx="7">
                  <c:v>2.1956859999999998</c:v>
                </c:pt>
                <c:pt idx="8">
                  <c:v>2.1831230000000001</c:v>
                </c:pt>
                <c:pt idx="9">
                  <c:v>2.1631179999999999</c:v>
                </c:pt>
                <c:pt idx="10">
                  <c:v>2.1573820000000001</c:v>
                </c:pt>
                <c:pt idx="11">
                  <c:v>2.1684130000000001</c:v>
                </c:pt>
                <c:pt idx="12">
                  <c:v>2.160901</c:v>
                </c:pt>
                <c:pt idx="13">
                  <c:v>2.1475849999999999</c:v>
                </c:pt>
                <c:pt idx="14">
                  <c:v>2.1557439999999999</c:v>
                </c:pt>
                <c:pt idx="15">
                  <c:v>2.1208109999999998</c:v>
                </c:pt>
                <c:pt idx="16">
                  <c:v>2.11497</c:v>
                </c:pt>
                <c:pt idx="17">
                  <c:v>2.120485</c:v>
                </c:pt>
                <c:pt idx="18">
                  <c:v>2.1159569999999999</c:v>
                </c:pt>
                <c:pt idx="19">
                  <c:v>2.1090740000000001</c:v>
                </c:pt>
                <c:pt idx="20">
                  <c:v>2.1063499999999999</c:v>
                </c:pt>
                <c:pt idx="21">
                  <c:v>2.0970939999999998</c:v>
                </c:pt>
                <c:pt idx="22">
                  <c:v>2.102223</c:v>
                </c:pt>
                <c:pt idx="23">
                  <c:v>2.0948739999999999</c:v>
                </c:pt>
                <c:pt idx="24">
                  <c:v>2.1010049999999998</c:v>
                </c:pt>
                <c:pt idx="25">
                  <c:v>2.1035409999999999</c:v>
                </c:pt>
                <c:pt idx="26">
                  <c:v>2.107148</c:v>
                </c:pt>
                <c:pt idx="27">
                  <c:v>2.10446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6C-49F5-9D8B-532483A5A2FC}"/>
            </c:ext>
          </c:extLst>
        </c:ser>
        <c:ser>
          <c:idx val="2"/>
          <c:order val="1"/>
          <c:tx>
            <c:strRef>
              <c:f>'Coal Prices'!$A$8</c:f>
              <c:strCache>
                <c:ptCount val="1"/>
                <c:pt idx="0">
                  <c:v>Uranium</c:v>
                </c:pt>
              </c:strCache>
            </c:strRef>
          </c:tx>
          <c:spPr>
            <a:ln>
              <a:solidFill>
                <a:srgbClr val="4472C4"/>
              </a:solidFill>
            </a:ln>
          </c:spPr>
          <c:marker>
            <c:symbol val="none"/>
          </c:marker>
          <c:xVal>
            <c:numRef>
              <c:f>'Coal Prices'!$O$1:$AP$1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xVal>
          <c:yVal>
            <c:numRef>
              <c:f>'Coal Prices'!$O$8:$AP$8</c:f>
              <c:numCache>
                <c:formatCode>General</c:formatCode>
                <c:ptCount val="28"/>
                <c:pt idx="0">
                  <c:v>0.7614011411999998</c:v>
                </c:pt>
                <c:pt idx="1">
                  <c:v>0.753328</c:v>
                </c:pt>
                <c:pt idx="2">
                  <c:v>0.75326199999999999</c:v>
                </c:pt>
                <c:pt idx="3">
                  <c:v>0.75318600000000002</c:v>
                </c:pt>
                <c:pt idx="4">
                  <c:v>0.75312100000000004</c:v>
                </c:pt>
                <c:pt idx="5">
                  <c:v>0.75305599999999995</c:v>
                </c:pt>
                <c:pt idx="6">
                  <c:v>0.75297999999999998</c:v>
                </c:pt>
                <c:pt idx="7">
                  <c:v>0.75291399999999997</c:v>
                </c:pt>
                <c:pt idx="8">
                  <c:v>0.75283800000000001</c:v>
                </c:pt>
                <c:pt idx="9">
                  <c:v>0.75277300000000003</c:v>
                </c:pt>
                <c:pt idx="10">
                  <c:v>0.75270800000000004</c:v>
                </c:pt>
                <c:pt idx="11">
                  <c:v>0.75263199999999997</c:v>
                </c:pt>
                <c:pt idx="12">
                  <c:v>0.75256699999999999</c:v>
                </c:pt>
                <c:pt idx="13">
                  <c:v>0.75249100000000002</c:v>
                </c:pt>
                <c:pt idx="14">
                  <c:v>0.75242500000000001</c:v>
                </c:pt>
                <c:pt idx="15">
                  <c:v>0.75236000000000003</c:v>
                </c:pt>
                <c:pt idx="16">
                  <c:v>0.75228399999999995</c:v>
                </c:pt>
                <c:pt idx="17">
                  <c:v>0.75221899999999997</c:v>
                </c:pt>
                <c:pt idx="18">
                  <c:v>0.75215399999999999</c:v>
                </c:pt>
                <c:pt idx="19">
                  <c:v>0.75207800000000002</c:v>
                </c:pt>
                <c:pt idx="20">
                  <c:v>0.75201200000000001</c:v>
                </c:pt>
                <c:pt idx="21">
                  <c:v>0.75193600000000005</c:v>
                </c:pt>
                <c:pt idx="22">
                  <c:v>0.75187099999999996</c:v>
                </c:pt>
                <c:pt idx="23">
                  <c:v>0.75180599999999997</c:v>
                </c:pt>
                <c:pt idx="24">
                  <c:v>0.75173000000000001</c:v>
                </c:pt>
                <c:pt idx="25">
                  <c:v>0.75166500000000003</c:v>
                </c:pt>
                <c:pt idx="26">
                  <c:v>0.75160000000000005</c:v>
                </c:pt>
                <c:pt idx="27">
                  <c:v>0.75152300000000005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6C-49F5-9D8B-532483A5A2FC}"/>
            </c:ext>
          </c:extLst>
        </c:ser>
        <c:ser>
          <c:idx val="0"/>
          <c:order val="2"/>
          <c:tx>
            <c:strRef>
              <c:f>'NG Prices'!$A$9</c:f>
              <c:strCache>
                <c:ptCount val="1"/>
                <c:pt idx="0">
                  <c:v>Reference</c:v>
                </c:pt>
              </c:strCache>
            </c:strRef>
          </c:tx>
          <c:spPr>
            <a:ln>
              <a:solidFill>
                <a:srgbClr val="70AD47"/>
              </a:solidFill>
            </a:ln>
          </c:spPr>
          <c:marker>
            <c:symbol val="none"/>
          </c:marker>
          <c:xVal>
            <c:numRef>
              <c:f>'NG Prices'!$O$1:$AP$1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xVal>
          <c:yVal>
            <c:numRef>
              <c:f>'NG Prices'!$O$2:$AP$2</c:f>
              <c:numCache>
                <c:formatCode>General</c:formatCode>
                <c:ptCount val="28"/>
                <c:pt idx="0">
                  <c:v>3.1389060737295731</c:v>
                </c:pt>
                <c:pt idx="1">
                  <c:v>2.7239149999999999</c:v>
                </c:pt>
                <c:pt idx="2">
                  <c:v>3.1569289999999999</c:v>
                </c:pt>
                <c:pt idx="3">
                  <c:v>3.0739700000000001</c:v>
                </c:pt>
                <c:pt idx="4">
                  <c:v>3.0153080000000001</c:v>
                </c:pt>
                <c:pt idx="5">
                  <c:v>3.0705049999999998</c:v>
                </c:pt>
                <c:pt idx="6">
                  <c:v>3.2646169999999999</c:v>
                </c:pt>
                <c:pt idx="7">
                  <c:v>3.4315820000000001</c:v>
                </c:pt>
                <c:pt idx="8">
                  <c:v>3.5506389999999999</c:v>
                </c:pt>
                <c:pt idx="9">
                  <c:v>4.043609</c:v>
                </c:pt>
                <c:pt idx="10">
                  <c:v>4.3247770000000001</c:v>
                </c:pt>
                <c:pt idx="11">
                  <c:v>4.4705380000000003</c:v>
                </c:pt>
                <c:pt idx="12">
                  <c:v>4.5190190000000001</c:v>
                </c:pt>
                <c:pt idx="13">
                  <c:v>4.5014159999999999</c:v>
                </c:pt>
                <c:pt idx="14">
                  <c:v>4.4108809999999998</c:v>
                </c:pt>
                <c:pt idx="15">
                  <c:v>4.3408300000000004</c:v>
                </c:pt>
                <c:pt idx="16">
                  <c:v>4.2817970000000001</c:v>
                </c:pt>
                <c:pt idx="17">
                  <c:v>4.3096769999999998</c:v>
                </c:pt>
                <c:pt idx="18">
                  <c:v>4.3984069999999997</c:v>
                </c:pt>
                <c:pt idx="19">
                  <c:v>4.4850729999999999</c:v>
                </c:pt>
                <c:pt idx="20">
                  <c:v>4.5699630000000004</c:v>
                </c:pt>
                <c:pt idx="21">
                  <c:v>4.5927829999999998</c:v>
                </c:pt>
                <c:pt idx="22">
                  <c:v>4.5856329999999996</c:v>
                </c:pt>
                <c:pt idx="23">
                  <c:v>4.6211710000000004</c:v>
                </c:pt>
                <c:pt idx="24">
                  <c:v>4.6284669999999997</c:v>
                </c:pt>
                <c:pt idx="25">
                  <c:v>4.5858759999999998</c:v>
                </c:pt>
                <c:pt idx="26">
                  <c:v>4.5211319999999997</c:v>
                </c:pt>
                <c:pt idx="27">
                  <c:v>4.4591669999999999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6C-49F5-9D8B-532483A5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5504"/>
        <c:axId val="381750600"/>
      </c:scatterChart>
      <c:valAx>
        <c:axId val="381745504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81750600"/>
        <c:crosses val="autoZero"/>
        <c:crossBetween val="midCat"/>
      </c:valAx>
      <c:valAx>
        <c:axId val="381750600"/>
        <c:scaling>
          <c:orientation val="minMax"/>
        </c:scaling>
        <c:delete val="0"/>
        <c:axPos val="l"/>
        <c:majorGridlines>
          <c:spPr>
            <a:ln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n-US" sz="900"/>
                  <a:t>Fuel Price ($/MMBtu)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81745504"/>
        <c:crosses val="autoZero"/>
        <c:crossBetween val="midCat"/>
        <c:majorUnit val="1"/>
      </c:valAx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1"/>
          <c:tx>
            <c:strRef>
              <c:f>'Coal Prices'!$A$3</c:f>
              <c:strCache>
                <c:ptCount val="1"/>
                <c:pt idx="0">
                  <c:v>Reference - 2023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xVal>
            <c:numRef>
              <c:f>'Coal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'Coal Prices'!$B$3:$AP$3</c:f>
              <c:numCache>
                <c:formatCode>General</c:formatCode>
                <c:ptCount val="41"/>
                <c:pt idx="1">
                  <c:v>3.3507873656262626</c:v>
                </c:pt>
                <c:pt idx="2">
                  <c:v>3.327143211256832</c:v>
                </c:pt>
                <c:pt idx="3">
                  <c:v>3.1890057967132486</c:v>
                </c:pt>
                <c:pt idx="4">
                  <c:v>3.1677956657633817</c:v>
                </c:pt>
                <c:pt idx="5">
                  <c:v>2.9682727874648496</c:v>
                </c:pt>
                <c:pt idx="6">
                  <c:v>2.8090153937293492</c:v>
                </c:pt>
                <c:pt idx="7">
                  <c:v>2.6119257488731158</c:v>
                </c:pt>
                <c:pt idx="8">
                  <c:v>2.6267752475956456</c:v>
                </c:pt>
                <c:pt idx="9">
                  <c:v>2.5108391279496769</c:v>
                </c:pt>
                <c:pt idx="10">
                  <c:v>2.3780149516081392</c:v>
                </c:pt>
                <c:pt idx="11">
                  <c:v>2.3800114247111992</c:v>
                </c:pt>
                <c:pt idx="12">
                  <c:v>2.2867335720179991</c:v>
                </c:pt>
                <c:pt idx="13">
                  <c:v>2.2035718140029994</c:v>
                </c:pt>
                <c:pt idx="14">
                  <c:v>2.2000722395399994</c:v>
                </c:pt>
                <c:pt idx="15">
                  <c:v>2.1821523187589995</c:v>
                </c:pt>
                <c:pt idx="16">
                  <c:v>2.1511231869959992</c:v>
                </c:pt>
                <c:pt idx="17">
                  <c:v>2.1302778490559993</c:v>
                </c:pt>
                <c:pt idx="18">
                  <c:v>2.1040112235869994</c:v>
                </c:pt>
                <c:pt idx="19">
                  <c:v>2.0917632485609996</c:v>
                </c:pt>
                <c:pt idx="20">
                  <c:v>2.0932179232229995</c:v>
                </c:pt>
                <c:pt idx="21">
                  <c:v>2.0858235055559993</c:v>
                </c:pt>
                <c:pt idx="22">
                  <c:v>2.0540798907299993</c:v>
                </c:pt>
                <c:pt idx="23">
                  <c:v>2.0417622884189996</c:v>
                </c:pt>
                <c:pt idx="24">
                  <c:v>2.0402251322039993</c:v>
                </c:pt>
                <c:pt idx="25">
                  <c:v>2.0329378334369994</c:v>
                </c:pt>
                <c:pt idx="26">
                  <c:v>2.0261668477679997</c:v>
                </c:pt>
                <c:pt idx="27">
                  <c:v>2.0237823810539997</c:v>
                </c:pt>
                <c:pt idx="28">
                  <c:v>2.0510184325679996</c:v>
                </c:pt>
                <c:pt idx="29">
                  <c:v>2.0463459061499996</c:v>
                </c:pt>
                <c:pt idx="30">
                  <c:v>2.0485911182939995</c:v>
                </c:pt>
                <c:pt idx="31">
                  <c:v>2.0471535826559992</c:v>
                </c:pt>
                <c:pt idx="32">
                  <c:v>2.0453411308679996</c:v>
                </c:pt>
                <c:pt idx="33">
                  <c:v>2.0449255095359997</c:v>
                </c:pt>
                <c:pt idx="34">
                  <c:v>2.0393221198769997</c:v>
                </c:pt>
                <c:pt idx="35">
                  <c:v>2.0350277231759994</c:v>
                </c:pt>
                <c:pt idx="36">
                  <c:v>2.0357936233109992</c:v>
                </c:pt>
                <c:pt idx="37">
                  <c:v>2.0302941389849996</c:v>
                </c:pt>
                <c:pt idx="38">
                  <c:v>2.0210433507809995</c:v>
                </c:pt>
                <c:pt idx="39">
                  <c:v>2.0247785868239996</c:v>
                </c:pt>
                <c:pt idx="40">
                  <c:v>2.0216335759199997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7-48F0-AE27-FCD8E41E77E5}"/>
            </c:ext>
          </c:extLst>
        </c:ser>
        <c:ser>
          <c:idx val="0"/>
          <c:order val="0"/>
          <c:tx>
            <c:strRef>
              <c:f>'Coal Prices'!$A$2</c:f>
              <c:strCache>
                <c:ptCount val="1"/>
                <c:pt idx="0">
                  <c:v>Reference - 2025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'Coal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'Coal Prices'!$B$2:$AP$2</c:f>
              <c:numCache>
                <c:formatCode>General</c:formatCode>
                <c:ptCount val="41"/>
                <c:pt idx="1">
                  <c:v>3.3507873656262626</c:v>
                </c:pt>
                <c:pt idx="2">
                  <c:v>3.327143211256832</c:v>
                </c:pt>
                <c:pt idx="3">
                  <c:v>3.1890057967132486</c:v>
                </c:pt>
                <c:pt idx="4">
                  <c:v>3.1677956657633817</c:v>
                </c:pt>
                <c:pt idx="5">
                  <c:v>2.9682727874648496</c:v>
                </c:pt>
                <c:pt idx="6">
                  <c:v>2.8090153937293492</c:v>
                </c:pt>
                <c:pt idx="7">
                  <c:v>2.6119257488731158</c:v>
                </c:pt>
                <c:pt idx="8">
                  <c:v>2.6267752475956456</c:v>
                </c:pt>
                <c:pt idx="9">
                  <c:v>2.5108391279496769</c:v>
                </c:pt>
                <c:pt idx="10">
                  <c:v>2.3780149516081392</c:v>
                </c:pt>
                <c:pt idx="11">
                  <c:v>2.3800114247111992</c:v>
                </c:pt>
                <c:pt idx="12">
                  <c:v>2.2867335720179991</c:v>
                </c:pt>
                <c:pt idx="13">
                  <c:v>2.2035718140029994</c:v>
                </c:pt>
                <c:pt idx="14">
                  <c:v>2.488794</c:v>
                </c:pt>
                <c:pt idx="15">
                  <c:v>2.4308079999999999</c:v>
                </c:pt>
                <c:pt idx="16">
                  <c:v>2.3847939999999999</c:v>
                </c:pt>
                <c:pt idx="17">
                  <c:v>2.326921</c:v>
                </c:pt>
                <c:pt idx="18">
                  <c:v>2.2379560000000001</c:v>
                </c:pt>
                <c:pt idx="19">
                  <c:v>2.2037680000000002</c:v>
                </c:pt>
                <c:pt idx="20">
                  <c:v>2.1956859999999998</c:v>
                </c:pt>
                <c:pt idx="21">
                  <c:v>2.1831230000000001</c:v>
                </c:pt>
                <c:pt idx="22">
                  <c:v>2.1631179999999999</c:v>
                </c:pt>
                <c:pt idx="23">
                  <c:v>2.1573820000000001</c:v>
                </c:pt>
                <c:pt idx="24">
                  <c:v>2.1684130000000001</c:v>
                </c:pt>
                <c:pt idx="25">
                  <c:v>2.160901</c:v>
                </c:pt>
                <c:pt idx="26">
                  <c:v>2.1475849999999999</c:v>
                </c:pt>
                <c:pt idx="27">
                  <c:v>2.1557439999999999</c:v>
                </c:pt>
                <c:pt idx="28">
                  <c:v>2.1208109999999998</c:v>
                </c:pt>
                <c:pt idx="29">
                  <c:v>2.11497</c:v>
                </c:pt>
                <c:pt idx="30">
                  <c:v>2.120485</c:v>
                </c:pt>
                <c:pt idx="31">
                  <c:v>2.1159569999999999</c:v>
                </c:pt>
                <c:pt idx="32">
                  <c:v>2.1090740000000001</c:v>
                </c:pt>
                <c:pt idx="33">
                  <c:v>2.1063499999999999</c:v>
                </c:pt>
                <c:pt idx="34">
                  <c:v>2.0970939999999998</c:v>
                </c:pt>
                <c:pt idx="35">
                  <c:v>2.102223</c:v>
                </c:pt>
                <c:pt idx="36">
                  <c:v>2.0948739999999999</c:v>
                </c:pt>
                <c:pt idx="37">
                  <c:v>2.1010049999999998</c:v>
                </c:pt>
                <c:pt idx="38">
                  <c:v>2.1035409999999999</c:v>
                </c:pt>
                <c:pt idx="39">
                  <c:v>2.107148</c:v>
                </c:pt>
                <c:pt idx="40">
                  <c:v>2.10446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7-48F0-AE27-FCD8E41E7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062416"/>
        <c:axId val="377062808"/>
      </c:scatterChart>
      <c:valAx>
        <c:axId val="377062416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crossAx val="377062808"/>
        <c:crosses val="autoZero"/>
        <c:crossBetween val="midCat"/>
      </c:valAx>
      <c:valAx>
        <c:axId val="377062808"/>
        <c:scaling>
          <c:orientation val="minMax"/>
          <c:max val="3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Coal</a:t>
                </a:r>
                <a:r>
                  <a:rPr lang="en-US" baseline="0"/>
                  <a:t> Price (2024$/MMBtu)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7062416"/>
        <c:crosses val="autoZero"/>
        <c:crossBetween val="midCat"/>
      </c:valAx>
      <c:spPr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26963823272090987"/>
          <c:y val="0.50403359580052487"/>
          <c:w val="0.32480621172353458"/>
          <c:h val="0.18045144356955378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2"/>
          <c:tx>
            <c:strRef>
              <c:f>'NG Prices'!$A$5</c:f>
              <c:strCache>
                <c:ptCount val="1"/>
                <c:pt idx="0">
                  <c:v>Reference - 2023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Prices'!$B$5:$AP$5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4.3257650457209484</c:v>
                </c:pt>
                <c:pt idx="8">
                  <c:v>4.2709841218622042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5.9572671857168391</c:v>
                </c:pt>
                <c:pt idx="12">
                  <c:v>7.5198121225289984</c:v>
                </c:pt>
                <c:pt idx="13">
                  <c:v>6.0220638796499983</c:v>
                </c:pt>
                <c:pt idx="14">
                  <c:v>4.8016100484449984</c:v>
                </c:pt>
                <c:pt idx="15">
                  <c:v>4.1429520001799993</c:v>
                </c:pt>
                <c:pt idx="16">
                  <c:v>3.6259951175909988</c:v>
                </c:pt>
                <c:pt idx="17">
                  <c:v>3.305726745614999</c:v>
                </c:pt>
                <c:pt idx="18">
                  <c:v>3.1790500768529992</c:v>
                </c:pt>
                <c:pt idx="19">
                  <c:v>3.1739244374879991</c:v>
                </c:pt>
                <c:pt idx="20">
                  <c:v>3.2134673794229989</c:v>
                </c:pt>
                <c:pt idx="21">
                  <c:v>3.2900402538989995</c:v>
                </c:pt>
                <c:pt idx="22">
                  <c:v>3.3767712136619989</c:v>
                </c:pt>
                <c:pt idx="23">
                  <c:v>3.5155823114159994</c:v>
                </c:pt>
                <c:pt idx="24">
                  <c:v>3.6326825505179992</c:v>
                </c:pt>
                <c:pt idx="25">
                  <c:v>3.7611073997279991</c:v>
                </c:pt>
                <c:pt idx="26">
                  <c:v>3.798816466094999</c:v>
                </c:pt>
                <c:pt idx="27">
                  <c:v>3.8495072719529992</c:v>
                </c:pt>
                <c:pt idx="28">
                  <c:v>3.9991984363799991</c:v>
                </c:pt>
                <c:pt idx="29">
                  <c:v>3.968178945317999</c:v>
                </c:pt>
                <c:pt idx="30">
                  <c:v>4.1177308551749991</c:v>
                </c:pt>
                <c:pt idx="31">
                  <c:v>4.1965318027709984</c:v>
                </c:pt>
                <c:pt idx="32">
                  <c:v>4.1761834965269991</c:v>
                </c:pt>
                <c:pt idx="33">
                  <c:v>4.120977629033999</c:v>
                </c:pt>
                <c:pt idx="34">
                  <c:v>4.0473526666859989</c:v>
                </c:pt>
                <c:pt idx="35">
                  <c:v>4.0385100014909989</c:v>
                </c:pt>
                <c:pt idx="36">
                  <c:v>4.0130007066449993</c:v>
                </c:pt>
                <c:pt idx="37">
                  <c:v>3.9784270104809991</c:v>
                </c:pt>
                <c:pt idx="38">
                  <c:v>3.9607074020429991</c:v>
                </c:pt>
                <c:pt idx="39">
                  <c:v>3.9019141225889991</c:v>
                </c:pt>
                <c:pt idx="40">
                  <c:v>3.8999527755299987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9-4688-9F71-3BC867BE57F1}"/>
            </c:ext>
          </c:extLst>
        </c:ser>
        <c:ser>
          <c:idx val="4"/>
          <c:order val="3"/>
          <c:tx>
            <c:strRef>
              <c:f>'NG Prices'!$A$6</c:f>
              <c:strCache>
                <c:ptCount val="1"/>
                <c:pt idx="0">
                  <c:v>High O&amp;G Resource - 2023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Prices'!$B$6:$AP$6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4.3257650457209484</c:v>
                </c:pt>
                <c:pt idx="8">
                  <c:v>4.2709878654333115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5.9578710792274796</c:v>
                </c:pt>
                <c:pt idx="12">
                  <c:v>7.5196953629279983</c:v>
                </c:pt>
                <c:pt idx="13">
                  <c:v>5.4345617030879989</c:v>
                </c:pt>
                <c:pt idx="14">
                  <c:v>4.1990041069829989</c:v>
                </c:pt>
                <c:pt idx="15">
                  <c:v>3.5908868981159987</c:v>
                </c:pt>
                <c:pt idx="16">
                  <c:v>3.2206979051729991</c:v>
                </c:pt>
                <c:pt idx="17">
                  <c:v>3.0126065876549992</c:v>
                </c:pt>
                <c:pt idx="18">
                  <c:v>2.8961640585989992</c:v>
                </c:pt>
                <c:pt idx="19">
                  <c:v>2.9272499633789995</c:v>
                </c:pt>
                <c:pt idx="20">
                  <c:v>2.992796018288999</c:v>
                </c:pt>
                <c:pt idx="21">
                  <c:v>3.0980778291539992</c:v>
                </c:pt>
                <c:pt idx="22">
                  <c:v>3.1936460981669992</c:v>
                </c:pt>
                <c:pt idx="23">
                  <c:v>3.2712965887769991</c:v>
                </c:pt>
                <c:pt idx="24">
                  <c:v>3.2455473475949992</c:v>
                </c:pt>
                <c:pt idx="25">
                  <c:v>3.2461075794419991</c:v>
                </c:pt>
                <c:pt idx="26">
                  <c:v>3.2304500098289992</c:v>
                </c:pt>
                <c:pt idx="27">
                  <c:v>3.2459918910299987</c:v>
                </c:pt>
                <c:pt idx="28">
                  <c:v>3.2896471275359991</c:v>
                </c:pt>
                <c:pt idx="29">
                  <c:v>3.2710030829909988</c:v>
                </c:pt>
                <c:pt idx="30">
                  <c:v>3.3156813049919989</c:v>
                </c:pt>
                <c:pt idx="31">
                  <c:v>3.3170031522179992</c:v>
                </c:pt>
                <c:pt idx="32">
                  <c:v>3.2946270851969994</c:v>
                </c:pt>
                <c:pt idx="33">
                  <c:v>3.2595092250209992</c:v>
                </c:pt>
                <c:pt idx="34">
                  <c:v>3.2568258965759993</c:v>
                </c:pt>
                <c:pt idx="35">
                  <c:v>3.2157800764739992</c:v>
                </c:pt>
                <c:pt idx="36">
                  <c:v>3.2006666708729994</c:v>
                </c:pt>
                <c:pt idx="37">
                  <c:v>3.1970556927539993</c:v>
                </c:pt>
                <c:pt idx="38">
                  <c:v>3.2009837428169989</c:v>
                </c:pt>
                <c:pt idx="39">
                  <c:v>3.1532783407019993</c:v>
                </c:pt>
                <c:pt idx="40">
                  <c:v>3.0993289779059991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C9-4688-9F71-3BC867BE57F1}"/>
            </c:ext>
          </c:extLst>
        </c:ser>
        <c:ser>
          <c:idx val="5"/>
          <c:order val="4"/>
          <c:tx>
            <c:strRef>
              <c:f>'NG Prices'!$A$7</c:f>
              <c:strCache>
                <c:ptCount val="1"/>
                <c:pt idx="0">
                  <c:v>Low O&amp;G Resource - 2023</c:v>
                </c:pt>
              </c:strCache>
            </c:strRef>
          </c:tx>
          <c:spPr>
            <a:ln>
              <a:solidFill>
                <a:schemeClr val="accent3"/>
              </a:solidFill>
              <a:prstDash val="sysDash"/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Prices'!$B$7:$AP$7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4.3257662935779848</c:v>
                </c:pt>
                <c:pt idx="8">
                  <c:v>4.2709866175762752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5.9561646751504789</c:v>
                </c:pt>
                <c:pt idx="12">
                  <c:v>7.5195946711619985</c:v>
                </c:pt>
                <c:pt idx="13">
                  <c:v>6.9199173604259983</c:v>
                </c:pt>
                <c:pt idx="14">
                  <c:v>6.3994234117589981</c:v>
                </c:pt>
                <c:pt idx="15">
                  <c:v>6.0083772977969989</c:v>
                </c:pt>
                <c:pt idx="16">
                  <c:v>5.5816627325129984</c:v>
                </c:pt>
                <c:pt idx="17">
                  <c:v>5.1693385202549988</c:v>
                </c:pt>
                <c:pt idx="18">
                  <c:v>5.0321417043239984</c:v>
                </c:pt>
                <c:pt idx="19">
                  <c:v>5.0436280639709992</c:v>
                </c:pt>
                <c:pt idx="20">
                  <c:v>4.9803047262359987</c:v>
                </c:pt>
                <c:pt idx="21">
                  <c:v>5.1562914382349989</c:v>
                </c:pt>
                <c:pt idx="22">
                  <c:v>5.3918009093969985</c:v>
                </c:pt>
                <c:pt idx="23">
                  <c:v>5.6269333220309985</c:v>
                </c:pt>
                <c:pt idx="24">
                  <c:v>5.8178020628069982</c:v>
                </c:pt>
                <c:pt idx="25">
                  <c:v>5.9548703360579989</c:v>
                </c:pt>
                <c:pt idx="26">
                  <c:v>6.0205149403559979</c:v>
                </c:pt>
                <c:pt idx="27">
                  <c:v>6.0651117519929985</c:v>
                </c:pt>
                <c:pt idx="28">
                  <c:v>6.1222082680709988</c:v>
                </c:pt>
                <c:pt idx="29">
                  <c:v>6.148332425402999</c:v>
                </c:pt>
                <c:pt idx="30">
                  <c:v>6.1994795577749979</c:v>
                </c:pt>
                <c:pt idx="31">
                  <c:v>6.1818381461339982</c:v>
                </c:pt>
                <c:pt idx="32">
                  <c:v>6.1307070815969986</c:v>
                </c:pt>
                <c:pt idx="33">
                  <c:v>6.0538342742009981</c:v>
                </c:pt>
                <c:pt idx="34">
                  <c:v>6.1060611650849985</c:v>
                </c:pt>
                <c:pt idx="35">
                  <c:v>6.0661722291029978</c:v>
                </c:pt>
                <c:pt idx="36">
                  <c:v>6.0771219230609983</c:v>
                </c:pt>
                <c:pt idx="37">
                  <c:v>6.0874246188629986</c:v>
                </c:pt>
                <c:pt idx="38">
                  <c:v>6.1275052976759987</c:v>
                </c:pt>
                <c:pt idx="39">
                  <c:v>6.1946592072749986</c:v>
                </c:pt>
                <c:pt idx="40">
                  <c:v>6.2563800462659991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C9-4688-9F71-3BC867BE57F1}"/>
            </c:ext>
          </c:extLst>
        </c:ser>
        <c:ser>
          <c:idx val="0"/>
          <c:order val="0"/>
          <c:tx>
            <c:strRef>
              <c:f>'NG Prices'!$A$2</c:f>
              <c:strCache>
                <c:ptCount val="1"/>
                <c:pt idx="0">
                  <c:v>Reference - 2025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Prices'!$B$2:$AP$2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4.3257650457209484</c:v>
                </c:pt>
                <c:pt idx="8">
                  <c:v>4.2709841218622042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5.9572671857168391</c:v>
                </c:pt>
                <c:pt idx="12">
                  <c:v>7.5198121225289984</c:v>
                </c:pt>
                <c:pt idx="13">
                  <c:v>3.1389060737295731</c:v>
                </c:pt>
                <c:pt idx="14">
                  <c:v>2.7239149999999999</c:v>
                </c:pt>
                <c:pt idx="15">
                  <c:v>3.1569289999999999</c:v>
                </c:pt>
                <c:pt idx="16">
                  <c:v>3.0739700000000001</c:v>
                </c:pt>
                <c:pt idx="17">
                  <c:v>3.0153080000000001</c:v>
                </c:pt>
                <c:pt idx="18">
                  <c:v>3.0705049999999998</c:v>
                </c:pt>
                <c:pt idx="19">
                  <c:v>3.2646169999999999</c:v>
                </c:pt>
                <c:pt idx="20">
                  <c:v>3.4315820000000001</c:v>
                </c:pt>
                <c:pt idx="21">
                  <c:v>3.5506389999999999</c:v>
                </c:pt>
                <c:pt idx="22">
                  <c:v>4.043609</c:v>
                </c:pt>
                <c:pt idx="23">
                  <c:v>4.3247770000000001</c:v>
                </c:pt>
                <c:pt idx="24">
                  <c:v>4.4705380000000003</c:v>
                </c:pt>
                <c:pt idx="25">
                  <c:v>4.5190190000000001</c:v>
                </c:pt>
                <c:pt idx="26">
                  <c:v>4.5014159999999999</c:v>
                </c:pt>
                <c:pt idx="27">
                  <c:v>4.4108809999999998</c:v>
                </c:pt>
                <c:pt idx="28">
                  <c:v>4.3408300000000004</c:v>
                </c:pt>
                <c:pt idx="29">
                  <c:v>4.2817970000000001</c:v>
                </c:pt>
                <c:pt idx="30">
                  <c:v>4.3096769999999998</c:v>
                </c:pt>
                <c:pt idx="31">
                  <c:v>4.3984069999999997</c:v>
                </c:pt>
                <c:pt idx="32">
                  <c:v>4.4850729999999999</c:v>
                </c:pt>
                <c:pt idx="33">
                  <c:v>4.5699630000000004</c:v>
                </c:pt>
                <c:pt idx="34">
                  <c:v>4.5927829999999998</c:v>
                </c:pt>
                <c:pt idx="35">
                  <c:v>4.5856329999999996</c:v>
                </c:pt>
                <c:pt idx="36">
                  <c:v>4.6211710000000004</c:v>
                </c:pt>
                <c:pt idx="37">
                  <c:v>4.6284669999999997</c:v>
                </c:pt>
                <c:pt idx="38">
                  <c:v>4.5858759999999998</c:v>
                </c:pt>
                <c:pt idx="39">
                  <c:v>4.5211319999999997</c:v>
                </c:pt>
                <c:pt idx="40">
                  <c:v>4.4591669999999999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C9-4688-9F71-3BC867BE57F1}"/>
            </c:ext>
          </c:extLst>
        </c:ser>
        <c:ser>
          <c:idx val="1"/>
          <c:order val="1"/>
          <c:tx>
            <c:strRef>
              <c:f>'NG Prices'!$A$3</c:f>
              <c:strCache>
                <c:ptCount val="1"/>
                <c:pt idx="0">
                  <c:v>High O&amp;G Resource - 2025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Prices'!$B$3:$AP$3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4.3257650457209484</c:v>
                </c:pt>
                <c:pt idx="8">
                  <c:v>4.2709878654333115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5.9578710792274796</c:v>
                </c:pt>
                <c:pt idx="12">
                  <c:v>7.5196953629279983</c:v>
                </c:pt>
                <c:pt idx="13">
                  <c:v>3.1389060737295731</c:v>
                </c:pt>
                <c:pt idx="14">
                  <c:v>2.7179669999999998</c:v>
                </c:pt>
                <c:pt idx="15">
                  <c:v>2.6831839999999998</c:v>
                </c:pt>
                <c:pt idx="16">
                  <c:v>2.5481530000000001</c:v>
                </c:pt>
                <c:pt idx="17">
                  <c:v>2.5562320000000001</c:v>
                </c:pt>
                <c:pt idx="18">
                  <c:v>2.6556739999999999</c:v>
                </c:pt>
                <c:pt idx="19">
                  <c:v>2.7328600000000001</c:v>
                </c:pt>
                <c:pt idx="20">
                  <c:v>2.8562949999999998</c:v>
                </c:pt>
                <c:pt idx="21">
                  <c:v>2.8866999999999998</c:v>
                </c:pt>
                <c:pt idx="22">
                  <c:v>3.2152980000000002</c:v>
                </c:pt>
                <c:pt idx="23">
                  <c:v>3.2623880000000001</c:v>
                </c:pt>
                <c:pt idx="24">
                  <c:v>3.3154279999999998</c:v>
                </c:pt>
                <c:pt idx="25">
                  <c:v>3.3408679999999999</c:v>
                </c:pt>
                <c:pt idx="26">
                  <c:v>3.3392400000000002</c:v>
                </c:pt>
                <c:pt idx="27">
                  <c:v>3.311086</c:v>
                </c:pt>
                <c:pt idx="28">
                  <c:v>3.2859929999999999</c:v>
                </c:pt>
                <c:pt idx="29">
                  <c:v>3.2698520000000002</c:v>
                </c:pt>
                <c:pt idx="30">
                  <c:v>3.3216079999999999</c:v>
                </c:pt>
                <c:pt idx="31">
                  <c:v>3.391181</c:v>
                </c:pt>
                <c:pt idx="32">
                  <c:v>3.406933</c:v>
                </c:pt>
                <c:pt idx="33">
                  <c:v>3.3668330000000002</c:v>
                </c:pt>
                <c:pt idx="34">
                  <c:v>3.3064499999999999</c:v>
                </c:pt>
                <c:pt idx="35">
                  <c:v>3.2917719999999999</c:v>
                </c:pt>
                <c:pt idx="36">
                  <c:v>3.3040370000000001</c:v>
                </c:pt>
                <c:pt idx="37">
                  <c:v>3.3022849999999999</c:v>
                </c:pt>
                <c:pt idx="38">
                  <c:v>3.2958889999999998</c:v>
                </c:pt>
                <c:pt idx="39">
                  <c:v>3.2604829999999998</c:v>
                </c:pt>
                <c:pt idx="40">
                  <c:v>3.2284630000000001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C9-4688-9F71-3BC867BE57F1}"/>
            </c:ext>
          </c:extLst>
        </c:ser>
        <c:ser>
          <c:idx val="2"/>
          <c:order val="5"/>
          <c:tx>
            <c:strRef>
              <c:f>'NG Prices'!$A$4</c:f>
              <c:strCache>
                <c:ptCount val="1"/>
                <c:pt idx="0">
                  <c:v>Low O&amp;G Resource - 2025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Prices'!$B$4:$AP$4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4.3257662935779848</c:v>
                </c:pt>
                <c:pt idx="8">
                  <c:v>4.2709866175762752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5.9561646751504789</c:v>
                </c:pt>
                <c:pt idx="12">
                  <c:v>7.5195946711619985</c:v>
                </c:pt>
                <c:pt idx="13">
                  <c:v>3.1389060737295731</c:v>
                </c:pt>
                <c:pt idx="14">
                  <c:v>2.7197610000000001</c:v>
                </c:pt>
                <c:pt idx="15">
                  <c:v>4.077515</c:v>
                </c:pt>
                <c:pt idx="16">
                  <c:v>4.1087400000000001</c:v>
                </c:pt>
                <c:pt idx="17">
                  <c:v>4.2087000000000003</c:v>
                </c:pt>
                <c:pt idx="18">
                  <c:v>4.4981689999999999</c:v>
                </c:pt>
                <c:pt idx="19">
                  <c:v>4.9592700000000001</c:v>
                </c:pt>
                <c:pt idx="20">
                  <c:v>5.8689039999999997</c:v>
                </c:pt>
                <c:pt idx="21">
                  <c:v>6.4327220000000001</c:v>
                </c:pt>
                <c:pt idx="22">
                  <c:v>7.2855270000000001</c:v>
                </c:pt>
                <c:pt idx="23">
                  <c:v>7.5910529999999996</c:v>
                </c:pt>
                <c:pt idx="24">
                  <c:v>7.7930789999999996</c:v>
                </c:pt>
                <c:pt idx="25">
                  <c:v>7.9190569999999996</c:v>
                </c:pt>
                <c:pt idx="26">
                  <c:v>8.1221010000000007</c:v>
                </c:pt>
                <c:pt idx="27">
                  <c:v>8.1293340000000001</c:v>
                </c:pt>
                <c:pt idx="28">
                  <c:v>7.9998899999999997</c:v>
                </c:pt>
                <c:pt idx="29">
                  <c:v>8.1126310000000004</c:v>
                </c:pt>
                <c:pt idx="30">
                  <c:v>8.1274029999999993</c:v>
                </c:pt>
                <c:pt idx="31">
                  <c:v>8.08535</c:v>
                </c:pt>
                <c:pt idx="32">
                  <c:v>7.9479040000000003</c:v>
                </c:pt>
                <c:pt idx="33">
                  <c:v>7.7962210000000001</c:v>
                </c:pt>
                <c:pt idx="34">
                  <c:v>7.8995300000000004</c:v>
                </c:pt>
                <c:pt idx="35">
                  <c:v>7.9028330000000002</c:v>
                </c:pt>
                <c:pt idx="36">
                  <c:v>7.9672159999999996</c:v>
                </c:pt>
                <c:pt idx="37">
                  <c:v>8.2505220000000001</c:v>
                </c:pt>
                <c:pt idx="38">
                  <c:v>8.5853380000000001</c:v>
                </c:pt>
                <c:pt idx="39">
                  <c:v>8.8874139999999997</c:v>
                </c:pt>
                <c:pt idx="40">
                  <c:v>9.2186009999999996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C9-4688-9F71-3BC867BE5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3936"/>
        <c:axId val="381748248"/>
      </c:scatterChart>
      <c:valAx>
        <c:axId val="381743936"/>
        <c:scaling>
          <c:orientation val="minMax"/>
          <c:max val="2050"/>
          <c:min val="2010"/>
        </c:scaling>
        <c:delete val="0"/>
        <c:axPos val="b"/>
        <c:numFmt formatCode="General" sourceLinked="1"/>
        <c:majorTickMark val="out"/>
        <c:minorTickMark val="none"/>
        <c:tickLblPos val="nextTo"/>
        <c:crossAx val="381748248"/>
        <c:crosses val="autoZero"/>
        <c:crossBetween val="midCat"/>
      </c:valAx>
      <c:valAx>
        <c:axId val="38174824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aseline="0"/>
                  <a:t>NG Price (2024$/MMBtu)</a:t>
                </a:r>
                <a:endParaRPr lang="en-US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81743936"/>
        <c:crosses val="autoZero"/>
        <c:crossBetween val="midCat"/>
      </c:valAx>
      <c:spPr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10257238555239767"/>
          <c:y val="0.70918375067981365"/>
          <c:w val="0.33745190135256764"/>
          <c:h val="0.20205386488851057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'NG Prices'!$A$11</c:f>
              <c:strCache>
                <c:ptCount val="1"/>
                <c:pt idx="0">
                  <c:v>Low Resource</c:v>
                </c:pt>
              </c:strCache>
            </c:strRef>
          </c:tx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Prices'!$B$4:$AP$4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4.3257662935779848</c:v>
                </c:pt>
                <c:pt idx="8">
                  <c:v>4.2709866175762752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5.9561646751504789</c:v>
                </c:pt>
                <c:pt idx="12">
                  <c:v>7.5195946711619985</c:v>
                </c:pt>
                <c:pt idx="13">
                  <c:v>3.1389060737295731</c:v>
                </c:pt>
                <c:pt idx="14">
                  <c:v>2.7197610000000001</c:v>
                </c:pt>
                <c:pt idx="15">
                  <c:v>4.077515</c:v>
                </c:pt>
                <c:pt idx="16">
                  <c:v>4.1087400000000001</c:v>
                </c:pt>
                <c:pt idx="17">
                  <c:v>4.2087000000000003</c:v>
                </c:pt>
                <c:pt idx="18">
                  <c:v>4.4981689999999999</c:v>
                </c:pt>
                <c:pt idx="19">
                  <c:v>4.9592700000000001</c:v>
                </c:pt>
                <c:pt idx="20">
                  <c:v>5.8689039999999997</c:v>
                </c:pt>
                <c:pt idx="21">
                  <c:v>6.4327220000000001</c:v>
                </c:pt>
                <c:pt idx="22">
                  <c:v>7.2855270000000001</c:v>
                </c:pt>
                <c:pt idx="23">
                  <c:v>7.5910529999999996</c:v>
                </c:pt>
                <c:pt idx="24">
                  <c:v>7.7930789999999996</c:v>
                </c:pt>
                <c:pt idx="25">
                  <c:v>7.9190569999999996</c:v>
                </c:pt>
                <c:pt idx="26">
                  <c:v>8.1221010000000007</c:v>
                </c:pt>
                <c:pt idx="27">
                  <c:v>8.1293340000000001</c:v>
                </c:pt>
                <c:pt idx="28">
                  <c:v>7.9998899999999997</c:v>
                </c:pt>
                <c:pt idx="29">
                  <c:v>8.1126310000000004</c:v>
                </c:pt>
                <c:pt idx="30">
                  <c:v>8.1274029999999993</c:v>
                </c:pt>
                <c:pt idx="31">
                  <c:v>8.08535</c:v>
                </c:pt>
                <c:pt idx="32">
                  <c:v>7.9479040000000003</c:v>
                </c:pt>
                <c:pt idx="33">
                  <c:v>7.7962210000000001</c:v>
                </c:pt>
                <c:pt idx="34">
                  <c:v>7.8995300000000004</c:v>
                </c:pt>
                <c:pt idx="35">
                  <c:v>7.9028330000000002</c:v>
                </c:pt>
                <c:pt idx="36">
                  <c:v>7.9672159999999996</c:v>
                </c:pt>
                <c:pt idx="37">
                  <c:v>8.2505220000000001</c:v>
                </c:pt>
                <c:pt idx="38">
                  <c:v>8.5853380000000001</c:v>
                </c:pt>
                <c:pt idx="39">
                  <c:v>8.8874139999999997</c:v>
                </c:pt>
                <c:pt idx="40">
                  <c:v>9.2186009999999996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C76-42A7-9D13-CEBF523E8FEF}"/>
            </c:ext>
          </c:extLst>
        </c:ser>
        <c:ser>
          <c:idx val="0"/>
          <c:order val="1"/>
          <c:tx>
            <c:strRef>
              <c:f>'NG Prices'!$A$9</c:f>
              <c:strCache>
                <c:ptCount val="1"/>
                <c:pt idx="0">
                  <c:v>Reference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Prices'!$B$2:$AP$2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4.3257650457209484</c:v>
                </c:pt>
                <c:pt idx="8">
                  <c:v>4.2709841218622042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5.9572671857168391</c:v>
                </c:pt>
                <c:pt idx="12">
                  <c:v>7.5198121225289984</c:v>
                </c:pt>
                <c:pt idx="13">
                  <c:v>3.1389060737295731</c:v>
                </c:pt>
                <c:pt idx="14">
                  <c:v>2.7239149999999999</c:v>
                </c:pt>
                <c:pt idx="15">
                  <c:v>3.1569289999999999</c:v>
                </c:pt>
                <c:pt idx="16">
                  <c:v>3.0739700000000001</c:v>
                </c:pt>
                <c:pt idx="17">
                  <c:v>3.0153080000000001</c:v>
                </c:pt>
                <c:pt idx="18">
                  <c:v>3.0705049999999998</c:v>
                </c:pt>
                <c:pt idx="19">
                  <c:v>3.2646169999999999</c:v>
                </c:pt>
                <c:pt idx="20">
                  <c:v>3.4315820000000001</c:v>
                </c:pt>
                <c:pt idx="21">
                  <c:v>3.5506389999999999</c:v>
                </c:pt>
                <c:pt idx="22">
                  <c:v>4.043609</c:v>
                </c:pt>
                <c:pt idx="23">
                  <c:v>4.3247770000000001</c:v>
                </c:pt>
                <c:pt idx="24">
                  <c:v>4.4705380000000003</c:v>
                </c:pt>
                <c:pt idx="25">
                  <c:v>4.5190190000000001</c:v>
                </c:pt>
                <c:pt idx="26">
                  <c:v>4.5014159999999999</c:v>
                </c:pt>
                <c:pt idx="27">
                  <c:v>4.4108809999999998</c:v>
                </c:pt>
                <c:pt idx="28">
                  <c:v>4.3408300000000004</c:v>
                </c:pt>
                <c:pt idx="29">
                  <c:v>4.2817970000000001</c:v>
                </c:pt>
                <c:pt idx="30">
                  <c:v>4.3096769999999998</c:v>
                </c:pt>
                <c:pt idx="31">
                  <c:v>4.3984069999999997</c:v>
                </c:pt>
                <c:pt idx="32">
                  <c:v>4.4850729999999999</c:v>
                </c:pt>
                <c:pt idx="33">
                  <c:v>4.5699630000000004</c:v>
                </c:pt>
                <c:pt idx="34">
                  <c:v>4.5927829999999998</c:v>
                </c:pt>
                <c:pt idx="35">
                  <c:v>4.5856329999999996</c:v>
                </c:pt>
                <c:pt idx="36">
                  <c:v>4.6211710000000004</c:v>
                </c:pt>
                <c:pt idx="37">
                  <c:v>4.6284669999999997</c:v>
                </c:pt>
                <c:pt idx="38">
                  <c:v>4.5858759999999998</c:v>
                </c:pt>
                <c:pt idx="39">
                  <c:v>4.5211319999999997</c:v>
                </c:pt>
                <c:pt idx="40">
                  <c:v>4.4591669999999999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76-42A7-9D13-CEBF523E8FEF}"/>
            </c:ext>
          </c:extLst>
        </c:ser>
        <c:ser>
          <c:idx val="1"/>
          <c:order val="2"/>
          <c:tx>
            <c:strRef>
              <c:f>'NG Prices'!$A$10</c:f>
              <c:strCache>
                <c:ptCount val="1"/>
                <c:pt idx="0">
                  <c:v>High Resource</c:v>
                </c:pt>
              </c:strCache>
            </c:strRef>
          </c:tx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Prices'!$B$3:$AP$3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4.3257650457209484</c:v>
                </c:pt>
                <c:pt idx="8">
                  <c:v>4.2709878654333115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5.9578710792274796</c:v>
                </c:pt>
                <c:pt idx="12">
                  <c:v>7.5196953629279983</c:v>
                </c:pt>
                <c:pt idx="13">
                  <c:v>3.1389060737295731</c:v>
                </c:pt>
                <c:pt idx="14">
                  <c:v>2.7179669999999998</c:v>
                </c:pt>
                <c:pt idx="15">
                  <c:v>2.6831839999999998</c:v>
                </c:pt>
                <c:pt idx="16">
                  <c:v>2.5481530000000001</c:v>
                </c:pt>
                <c:pt idx="17">
                  <c:v>2.5562320000000001</c:v>
                </c:pt>
                <c:pt idx="18">
                  <c:v>2.6556739999999999</c:v>
                </c:pt>
                <c:pt idx="19">
                  <c:v>2.7328600000000001</c:v>
                </c:pt>
                <c:pt idx="20">
                  <c:v>2.8562949999999998</c:v>
                </c:pt>
                <c:pt idx="21">
                  <c:v>2.8866999999999998</c:v>
                </c:pt>
                <c:pt idx="22">
                  <c:v>3.2152980000000002</c:v>
                </c:pt>
                <c:pt idx="23">
                  <c:v>3.2623880000000001</c:v>
                </c:pt>
                <c:pt idx="24">
                  <c:v>3.3154279999999998</c:v>
                </c:pt>
                <c:pt idx="25">
                  <c:v>3.3408679999999999</c:v>
                </c:pt>
                <c:pt idx="26">
                  <c:v>3.3392400000000002</c:v>
                </c:pt>
                <c:pt idx="27">
                  <c:v>3.311086</c:v>
                </c:pt>
                <c:pt idx="28">
                  <c:v>3.2859929999999999</c:v>
                </c:pt>
                <c:pt idx="29">
                  <c:v>3.2698520000000002</c:v>
                </c:pt>
                <c:pt idx="30">
                  <c:v>3.3216079999999999</c:v>
                </c:pt>
                <c:pt idx="31">
                  <c:v>3.391181</c:v>
                </c:pt>
                <c:pt idx="32">
                  <c:v>3.406933</c:v>
                </c:pt>
                <c:pt idx="33">
                  <c:v>3.3668330000000002</c:v>
                </c:pt>
                <c:pt idx="34">
                  <c:v>3.3064499999999999</c:v>
                </c:pt>
                <c:pt idx="35">
                  <c:v>3.2917719999999999</c:v>
                </c:pt>
                <c:pt idx="36">
                  <c:v>3.3040370000000001</c:v>
                </c:pt>
                <c:pt idx="37">
                  <c:v>3.3022849999999999</c:v>
                </c:pt>
                <c:pt idx="38">
                  <c:v>3.2958889999999998</c:v>
                </c:pt>
                <c:pt idx="39">
                  <c:v>3.2604829999999998</c:v>
                </c:pt>
                <c:pt idx="40">
                  <c:v>3.2284630000000001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76-42A7-9D13-CEBF523E8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9032"/>
        <c:axId val="381746680"/>
      </c:scatterChart>
      <c:valAx>
        <c:axId val="381749032"/>
        <c:scaling>
          <c:orientation val="minMax"/>
          <c:max val="2050"/>
          <c:min val="201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81746680"/>
        <c:crosses val="autoZero"/>
        <c:crossBetween val="midCat"/>
      </c:valAx>
      <c:valAx>
        <c:axId val="38174668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n-US" sz="900"/>
                  <a:t>Natural Gas Fuel Price (2024$/MMBtu)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817490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7566063723458722"/>
          <c:y val="8.4970691163604548E-2"/>
          <c:w val="0.41305435698246695"/>
          <c:h val="0.18931722076407115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'NG Prices'!$A$11</c:f>
              <c:strCache>
                <c:ptCount val="1"/>
                <c:pt idx="0">
                  <c:v>Low Resource</c:v>
                </c:pt>
              </c:strCache>
            </c:strRef>
          </c:tx>
          <c:marker>
            <c:symbol val="none"/>
          </c:marker>
          <c:xVal>
            <c:numRef>
              <c:f>'NG Prices'!$M$1:$AP$1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'NG Prices'!$M$4:$AP$4</c:f>
              <c:numCache>
                <c:formatCode>General</c:formatCode>
                <c:ptCount val="30"/>
                <c:pt idx="0">
                  <c:v>5.9561646751504789</c:v>
                </c:pt>
                <c:pt idx="1">
                  <c:v>7.5195946711619985</c:v>
                </c:pt>
                <c:pt idx="2">
                  <c:v>3.1389060737295731</c:v>
                </c:pt>
                <c:pt idx="3">
                  <c:v>2.7197610000000001</c:v>
                </c:pt>
                <c:pt idx="4">
                  <c:v>4.077515</c:v>
                </c:pt>
                <c:pt idx="5">
                  <c:v>4.1087400000000001</c:v>
                </c:pt>
                <c:pt idx="6">
                  <c:v>4.2087000000000003</c:v>
                </c:pt>
                <c:pt idx="7">
                  <c:v>4.4981689999999999</c:v>
                </c:pt>
                <c:pt idx="8">
                  <c:v>4.9592700000000001</c:v>
                </c:pt>
                <c:pt idx="9">
                  <c:v>5.8689039999999997</c:v>
                </c:pt>
                <c:pt idx="10">
                  <c:v>6.4327220000000001</c:v>
                </c:pt>
                <c:pt idx="11">
                  <c:v>7.2855270000000001</c:v>
                </c:pt>
                <c:pt idx="12">
                  <c:v>7.5910529999999996</c:v>
                </c:pt>
                <c:pt idx="13">
                  <c:v>7.7930789999999996</c:v>
                </c:pt>
                <c:pt idx="14">
                  <c:v>7.9190569999999996</c:v>
                </c:pt>
                <c:pt idx="15">
                  <c:v>8.1221010000000007</c:v>
                </c:pt>
                <c:pt idx="16">
                  <c:v>8.1293340000000001</c:v>
                </c:pt>
                <c:pt idx="17">
                  <c:v>7.9998899999999997</c:v>
                </c:pt>
                <c:pt idx="18">
                  <c:v>8.1126310000000004</c:v>
                </c:pt>
                <c:pt idx="19">
                  <c:v>8.1274029999999993</c:v>
                </c:pt>
                <c:pt idx="20">
                  <c:v>8.08535</c:v>
                </c:pt>
                <c:pt idx="21">
                  <c:v>7.9479040000000003</c:v>
                </c:pt>
                <c:pt idx="22">
                  <c:v>7.7962210000000001</c:v>
                </c:pt>
                <c:pt idx="23">
                  <c:v>7.8995300000000004</c:v>
                </c:pt>
                <c:pt idx="24">
                  <c:v>7.9028330000000002</c:v>
                </c:pt>
                <c:pt idx="25">
                  <c:v>7.9672159999999996</c:v>
                </c:pt>
                <c:pt idx="26">
                  <c:v>8.2505220000000001</c:v>
                </c:pt>
                <c:pt idx="27">
                  <c:v>8.5853380000000001</c:v>
                </c:pt>
                <c:pt idx="28">
                  <c:v>8.8874139999999997</c:v>
                </c:pt>
                <c:pt idx="29">
                  <c:v>9.2186009999999996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BC-4BD5-835D-8C3C72A27B07}"/>
            </c:ext>
          </c:extLst>
        </c:ser>
        <c:ser>
          <c:idx val="0"/>
          <c:order val="1"/>
          <c:tx>
            <c:strRef>
              <c:f>'NG Prices'!$A$9</c:f>
              <c:strCache>
                <c:ptCount val="1"/>
                <c:pt idx="0">
                  <c:v>Reference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'NG Prices'!$M$1:$AP$1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'NG Prices'!$M$2:$AP$2</c:f>
              <c:numCache>
                <c:formatCode>General</c:formatCode>
                <c:ptCount val="30"/>
                <c:pt idx="0">
                  <c:v>5.9572671857168391</c:v>
                </c:pt>
                <c:pt idx="1">
                  <c:v>7.5198121225289984</c:v>
                </c:pt>
                <c:pt idx="2">
                  <c:v>3.1389060737295731</c:v>
                </c:pt>
                <c:pt idx="3">
                  <c:v>2.7239149999999999</c:v>
                </c:pt>
                <c:pt idx="4">
                  <c:v>3.1569289999999999</c:v>
                </c:pt>
                <c:pt idx="5">
                  <c:v>3.0739700000000001</c:v>
                </c:pt>
                <c:pt idx="6">
                  <c:v>3.0153080000000001</c:v>
                </c:pt>
                <c:pt idx="7">
                  <c:v>3.0705049999999998</c:v>
                </c:pt>
                <c:pt idx="8">
                  <c:v>3.2646169999999999</c:v>
                </c:pt>
                <c:pt idx="9">
                  <c:v>3.4315820000000001</c:v>
                </c:pt>
                <c:pt idx="10">
                  <c:v>3.5506389999999999</c:v>
                </c:pt>
                <c:pt idx="11">
                  <c:v>4.043609</c:v>
                </c:pt>
                <c:pt idx="12">
                  <c:v>4.3247770000000001</c:v>
                </c:pt>
                <c:pt idx="13">
                  <c:v>4.4705380000000003</c:v>
                </c:pt>
                <c:pt idx="14">
                  <c:v>4.5190190000000001</c:v>
                </c:pt>
                <c:pt idx="15">
                  <c:v>4.5014159999999999</c:v>
                </c:pt>
                <c:pt idx="16">
                  <c:v>4.4108809999999998</c:v>
                </c:pt>
                <c:pt idx="17">
                  <c:v>4.3408300000000004</c:v>
                </c:pt>
                <c:pt idx="18">
                  <c:v>4.2817970000000001</c:v>
                </c:pt>
                <c:pt idx="19">
                  <c:v>4.3096769999999998</c:v>
                </c:pt>
                <c:pt idx="20">
                  <c:v>4.3984069999999997</c:v>
                </c:pt>
                <c:pt idx="21">
                  <c:v>4.4850729999999999</c:v>
                </c:pt>
                <c:pt idx="22">
                  <c:v>4.5699630000000004</c:v>
                </c:pt>
                <c:pt idx="23">
                  <c:v>4.5927829999999998</c:v>
                </c:pt>
                <c:pt idx="24">
                  <c:v>4.5856329999999996</c:v>
                </c:pt>
                <c:pt idx="25">
                  <c:v>4.6211710000000004</c:v>
                </c:pt>
                <c:pt idx="26">
                  <c:v>4.6284669999999997</c:v>
                </c:pt>
                <c:pt idx="27">
                  <c:v>4.5858759999999998</c:v>
                </c:pt>
                <c:pt idx="28">
                  <c:v>4.5211319999999997</c:v>
                </c:pt>
                <c:pt idx="29">
                  <c:v>4.4591669999999999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BC-4BD5-835D-8C3C72A27B07}"/>
            </c:ext>
          </c:extLst>
        </c:ser>
        <c:ser>
          <c:idx val="1"/>
          <c:order val="2"/>
          <c:tx>
            <c:strRef>
              <c:f>'NG Prices'!$A$10</c:f>
              <c:strCache>
                <c:ptCount val="1"/>
                <c:pt idx="0">
                  <c:v>High Resource</c:v>
                </c:pt>
              </c:strCache>
            </c:strRef>
          </c:tx>
          <c:marker>
            <c:symbol val="none"/>
          </c:marker>
          <c:xVal>
            <c:numRef>
              <c:f>'NG Prices'!$M$1:$AP$1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'NG Prices'!$M$3:$AP$3</c:f>
              <c:numCache>
                <c:formatCode>General</c:formatCode>
                <c:ptCount val="30"/>
                <c:pt idx="0">
                  <c:v>5.9578710792274796</c:v>
                </c:pt>
                <c:pt idx="1">
                  <c:v>7.5196953629279983</c:v>
                </c:pt>
                <c:pt idx="2">
                  <c:v>3.1389060737295731</c:v>
                </c:pt>
                <c:pt idx="3">
                  <c:v>2.7179669999999998</c:v>
                </c:pt>
                <c:pt idx="4">
                  <c:v>2.6831839999999998</c:v>
                </c:pt>
                <c:pt idx="5">
                  <c:v>2.5481530000000001</c:v>
                </c:pt>
                <c:pt idx="6">
                  <c:v>2.5562320000000001</c:v>
                </c:pt>
                <c:pt idx="7">
                  <c:v>2.6556739999999999</c:v>
                </c:pt>
                <c:pt idx="8">
                  <c:v>2.7328600000000001</c:v>
                </c:pt>
                <c:pt idx="9">
                  <c:v>2.8562949999999998</c:v>
                </c:pt>
                <c:pt idx="10">
                  <c:v>2.8866999999999998</c:v>
                </c:pt>
                <c:pt idx="11">
                  <c:v>3.2152980000000002</c:v>
                </c:pt>
                <c:pt idx="12">
                  <c:v>3.2623880000000001</c:v>
                </c:pt>
                <c:pt idx="13">
                  <c:v>3.3154279999999998</c:v>
                </c:pt>
                <c:pt idx="14">
                  <c:v>3.3408679999999999</c:v>
                </c:pt>
                <c:pt idx="15">
                  <c:v>3.3392400000000002</c:v>
                </c:pt>
                <c:pt idx="16">
                  <c:v>3.311086</c:v>
                </c:pt>
                <c:pt idx="17">
                  <c:v>3.2859929999999999</c:v>
                </c:pt>
                <c:pt idx="18">
                  <c:v>3.2698520000000002</c:v>
                </c:pt>
                <c:pt idx="19">
                  <c:v>3.3216079999999999</c:v>
                </c:pt>
                <c:pt idx="20">
                  <c:v>3.391181</c:v>
                </c:pt>
                <c:pt idx="21">
                  <c:v>3.406933</c:v>
                </c:pt>
                <c:pt idx="22">
                  <c:v>3.3668330000000002</c:v>
                </c:pt>
                <c:pt idx="23">
                  <c:v>3.3064499999999999</c:v>
                </c:pt>
                <c:pt idx="24">
                  <c:v>3.2917719999999999</c:v>
                </c:pt>
                <c:pt idx="25">
                  <c:v>3.3040370000000001</c:v>
                </c:pt>
                <c:pt idx="26">
                  <c:v>3.3022849999999999</c:v>
                </c:pt>
                <c:pt idx="27">
                  <c:v>3.2958889999999998</c:v>
                </c:pt>
                <c:pt idx="28">
                  <c:v>3.2604829999999998</c:v>
                </c:pt>
                <c:pt idx="29">
                  <c:v>3.2284630000000001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BC-4BD5-835D-8C3C72A27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9032"/>
        <c:axId val="381746680"/>
      </c:scatterChart>
      <c:valAx>
        <c:axId val="381749032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81746680"/>
        <c:crosses val="autoZero"/>
        <c:crossBetween val="midCat"/>
      </c:valAx>
      <c:valAx>
        <c:axId val="381746680"/>
        <c:scaling>
          <c:orientation val="minMax"/>
        </c:scaling>
        <c:delete val="0"/>
        <c:axPos val="l"/>
        <c:majorGridlines>
          <c:spPr>
            <a:ln>
              <a:solidFill>
                <a:srgbClr val="E7E6E6">
                  <a:lumMod val="90000"/>
                </a:srgbClr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n-US" sz="900"/>
                  <a:t>Natural Gas Fuel Price (2024$/MMBtu)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3817490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4335929564531995"/>
          <c:y val="4.6081802274715651E-2"/>
          <c:w val="0.41305435698246695"/>
          <c:h val="0.18931722076407115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'NG Prices'!$A$7</c:f>
              <c:strCache>
                <c:ptCount val="1"/>
                <c:pt idx="0">
                  <c:v>Low O&amp;G Resource - 2023</c:v>
                </c:pt>
              </c:strCache>
            </c:strRef>
          </c:tx>
          <c:spPr>
            <a:ln>
              <a:solidFill>
                <a:schemeClr val="accent3"/>
              </a:solidFill>
              <a:prstDash val="sysDash"/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Prices'!$B$7:$AP$7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4.3257662935779848</c:v>
                </c:pt>
                <c:pt idx="8">
                  <c:v>4.2709866175762752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5.9561646751504789</c:v>
                </c:pt>
                <c:pt idx="12">
                  <c:v>7.5195946711619985</c:v>
                </c:pt>
                <c:pt idx="13">
                  <c:v>6.9199173604259983</c:v>
                </c:pt>
                <c:pt idx="14">
                  <c:v>6.3994234117589981</c:v>
                </c:pt>
                <c:pt idx="15">
                  <c:v>6.0083772977969989</c:v>
                </c:pt>
                <c:pt idx="16">
                  <c:v>5.5816627325129984</c:v>
                </c:pt>
                <c:pt idx="17">
                  <c:v>5.1693385202549988</c:v>
                </c:pt>
                <c:pt idx="18">
                  <c:v>5.0321417043239984</c:v>
                </c:pt>
                <c:pt idx="19">
                  <c:v>5.0436280639709992</c:v>
                </c:pt>
                <c:pt idx="20">
                  <c:v>4.9803047262359987</c:v>
                </c:pt>
                <c:pt idx="21">
                  <c:v>5.1562914382349989</c:v>
                </c:pt>
                <c:pt idx="22">
                  <c:v>5.3918009093969985</c:v>
                </c:pt>
                <c:pt idx="23">
                  <c:v>5.6269333220309985</c:v>
                </c:pt>
                <c:pt idx="24">
                  <c:v>5.8178020628069982</c:v>
                </c:pt>
                <c:pt idx="25">
                  <c:v>5.9548703360579989</c:v>
                </c:pt>
                <c:pt idx="26">
                  <c:v>6.0205149403559979</c:v>
                </c:pt>
                <c:pt idx="27">
                  <c:v>6.0651117519929985</c:v>
                </c:pt>
                <c:pt idx="28">
                  <c:v>6.1222082680709988</c:v>
                </c:pt>
                <c:pt idx="29">
                  <c:v>6.148332425402999</c:v>
                </c:pt>
                <c:pt idx="30">
                  <c:v>6.1994795577749979</c:v>
                </c:pt>
                <c:pt idx="31">
                  <c:v>6.1818381461339982</c:v>
                </c:pt>
                <c:pt idx="32">
                  <c:v>6.1307070815969986</c:v>
                </c:pt>
                <c:pt idx="33">
                  <c:v>6.0538342742009981</c:v>
                </c:pt>
                <c:pt idx="34">
                  <c:v>6.1060611650849985</c:v>
                </c:pt>
                <c:pt idx="35">
                  <c:v>6.0661722291029978</c:v>
                </c:pt>
                <c:pt idx="36">
                  <c:v>6.0771219230609983</c:v>
                </c:pt>
                <c:pt idx="37">
                  <c:v>6.0874246188629986</c:v>
                </c:pt>
                <c:pt idx="38">
                  <c:v>6.1275052976759987</c:v>
                </c:pt>
                <c:pt idx="39">
                  <c:v>6.1946592072749986</c:v>
                </c:pt>
                <c:pt idx="40">
                  <c:v>6.2563800462659991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63-42F5-8437-1B0024DBC329}"/>
            </c:ext>
          </c:extLst>
        </c:ser>
        <c:ser>
          <c:idx val="3"/>
          <c:order val="1"/>
          <c:tx>
            <c:strRef>
              <c:f>'NG Prices'!$A$5</c:f>
              <c:strCache>
                <c:ptCount val="1"/>
                <c:pt idx="0">
                  <c:v>Reference - 2023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Prices'!$B$5:$AP$5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4.3257650457209484</c:v>
                </c:pt>
                <c:pt idx="8">
                  <c:v>4.2709841218622042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5.9572671857168391</c:v>
                </c:pt>
                <c:pt idx="12">
                  <c:v>7.5198121225289984</c:v>
                </c:pt>
                <c:pt idx="13">
                  <c:v>6.0220638796499983</c:v>
                </c:pt>
                <c:pt idx="14">
                  <c:v>4.8016100484449984</c:v>
                </c:pt>
                <c:pt idx="15">
                  <c:v>4.1429520001799993</c:v>
                </c:pt>
                <c:pt idx="16">
                  <c:v>3.6259951175909988</c:v>
                </c:pt>
                <c:pt idx="17">
                  <c:v>3.305726745614999</c:v>
                </c:pt>
                <c:pt idx="18">
                  <c:v>3.1790500768529992</c:v>
                </c:pt>
                <c:pt idx="19">
                  <c:v>3.1739244374879991</c:v>
                </c:pt>
                <c:pt idx="20">
                  <c:v>3.2134673794229989</c:v>
                </c:pt>
                <c:pt idx="21">
                  <c:v>3.2900402538989995</c:v>
                </c:pt>
                <c:pt idx="22">
                  <c:v>3.3767712136619989</c:v>
                </c:pt>
                <c:pt idx="23">
                  <c:v>3.5155823114159994</c:v>
                </c:pt>
                <c:pt idx="24">
                  <c:v>3.6326825505179992</c:v>
                </c:pt>
                <c:pt idx="25">
                  <c:v>3.7611073997279991</c:v>
                </c:pt>
                <c:pt idx="26">
                  <c:v>3.798816466094999</c:v>
                </c:pt>
                <c:pt idx="27">
                  <c:v>3.8495072719529992</c:v>
                </c:pt>
                <c:pt idx="28">
                  <c:v>3.9991984363799991</c:v>
                </c:pt>
                <c:pt idx="29">
                  <c:v>3.968178945317999</c:v>
                </c:pt>
                <c:pt idx="30">
                  <c:v>4.1177308551749991</c:v>
                </c:pt>
                <c:pt idx="31">
                  <c:v>4.1965318027709984</c:v>
                </c:pt>
                <c:pt idx="32">
                  <c:v>4.1761834965269991</c:v>
                </c:pt>
                <c:pt idx="33">
                  <c:v>4.120977629033999</c:v>
                </c:pt>
                <c:pt idx="34">
                  <c:v>4.0473526666859989</c:v>
                </c:pt>
                <c:pt idx="35">
                  <c:v>4.0385100014909989</c:v>
                </c:pt>
                <c:pt idx="36">
                  <c:v>4.0130007066449993</c:v>
                </c:pt>
                <c:pt idx="37">
                  <c:v>3.9784270104809991</c:v>
                </c:pt>
                <c:pt idx="38">
                  <c:v>3.9607074020429991</c:v>
                </c:pt>
                <c:pt idx="39">
                  <c:v>3.9019141225889991</c:v>
                </c:pt>
                <c:pt idx="40">
                  <c:v>3.8999527755299987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63-42F5-8437-1B0024DBC329}"/>
            </c:ext>
          </c:extLst>
        </c:ser>
        <c:ser>
          <c:idx val="4"/>
          <c:order val="2"/>
          <c:tx>
            <c:strRef>
              <c:f>'NG Prices'!$A$6</c:f>
              <c:strCache>
                <c:ptCount val="1"/>
                <c:pt idx="0">
                  <c:v>High O&amp;G Resource - 2023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Prices'!$B$6:$AP$6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4.3257650457209484</c:v>
                </c:pt>
                <c:pt idx="8">
                  <c:v>4.2709878654333115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5.9578710792274796</c:v>
                </c:pt>
                <c:pt idx="12">
                  <c:v>7.5196953629279983</c:v>
                </c:pt>
                <c:pt idx="13">
                  <c:v>5.4345617030879989</c:v>
                </c:pt>
                <c:pt idx="14">
                  <c:v>4.1990041069829989</c:v>
                </c:pt>
                <c:pt idx="15">
                  <c:v>3.5908868981159987</c:v>
                </c:pt>
                <c:pt idx="16">
                  <c:v>3.2206979051729991</c:v>
                </c:pt>
                <c:pt idx="17">
                  <c:v>3.0126065876549992</c:v>
                </c:pt>
                <c:pt idx="18">
                  <c:v>2.8961640585989992</c:v>
                </c:pt>
                <c:pt idx="19">
                  <c:v>2.9272499633789995</c:v>
                </c:pt>
                <c:pt idx="20">
                  <c:v>2.992796018288999</c:v>
                </c:pt>
                <c:pt idx="21">
                  <c:v>3.0980778291539992</c:v>
                </c:pt>
                <c:pt idx="22">
                  <c:v>3.1936460981669992</c:v>
                </c:pt>
                <c:pt idx="23">
                  <c:v>3.2712965887769991</c:v>
                </c:pt>
                <c:pt idx="24">
                  <c:v>3.2455473475949992</c:v>
                </c:pt>
                <c:pt idx="25">
                  <c:v>3.2461075794419991</c:v>
                </c:pt>
                <c:pt idx="26">
                  <c:v>3.2304500098289992</c:v>
                </c:pt>
                <c:pt idx="27">
                  <c:v>3.2459918910299987</c:v>
                </c:pt>
                <c:pt idx="28">
                  <c:v>3.2896471275359991</c:v>
                </c:pt>
                <c:pt idx="29">
                  <c:v>3.2710030829909988</c:v>
                </c:pt>
                <c:pt idx="30">
                  <c:v>3.3156813049919989</c:v>
                </c:pt>
                <c:pt idx="31">
                  <c:v>3.3170031522179992</c:v>
                </c:pt>
                <c:pt idx="32">
                  <c:v>3.2946270851969994</c:v>
                </c:pt>
                <c:pt idx="33">
                  <c:v>3.2595092250209992</c:v>
                </c:pt>
                <c:pt idx="34">
                  <c:v>3.2568258965759993</c:v>
                </c:pt>
                <c:pt idx="35">
                  <c:v>3.2157800764739992</c:v>
                </c:pt>
                <c:pt idx="36">
                  <c:v>3.2006666708729994</c:v>
                </c:pt>
                <c:pt idx="37">
                  <c:v>3.1970556927539993</c:v>
                </c:pt>
                <c:pt idx="38">
                  <c:v>3.2009837428169989</c:v>
                </c:pt>
                <c:pt idx="39">
                  <c:v>3.1532783407019993</c:v>
                </c:pt>
                <c:pt idx="40">
                  <c:v>3.0993289779059991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63-42F5-8437-1B0024DBC329}"/>
            </c:ext>
          </c:extLst>
        </c:ser>
        <c:ser>
          <c:idx val="2"/>
          <c:order val="3"/>
          <c:tx>
            <c:strRef>
              <c:f>'NG Prices'!$A$4</c:f>
              <c:strCache>
                <c:ptCount val="1"/>
                <c:pt idx="0">
                  <c:v>Low O&amp;G Resource - 2025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Prices'!$B$4:$AP$4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4.3257662935779848</c:v>
                </c:pt>
                <c:pt idx="8">
                  <c:v>4.2709866175762752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5.9561646751504789</c:v>
                </c:pt>
                <c:pt idx="12">
                  <c:v>7.5195946711619985</c:v>
                </c:pt>
                <c:pt idx="13">
                  <c:v>3.1389060737295731</c:v>
                </c:pt>
                <c:pt idx="14">
                  <c:v>2.7197610000000001</c:v>
                </c:pt>
                <c:pt idx="15">
                  <c:v>4.077515</c:v>
                </c:pt>
                <c:pt idx="16">
                  <c:v>4.1087400000000001</c:v>
                </c:pt>
                <c:pt idx="17">
                  <c:v>4.2087000000000003</c:v>
                </c:pt>
                <c:pt idx="18">
                  <c:v>4.4981689999999999</c:v>
                </c:pt>
                <c:pt idx="19">
                  <c:v>4.9592700000000001</c:v>
                </c:pt>
                <c:pt idx="20">
                  <c:v>5.8689039999999997</c:v>
                </c:pt>
                <c:pt idx="21">
                  <c:v>6.4327220000000001</c:v>
                </c:pt>
                <c:pt idx="22">
                  <c:v>7.2855270000000001</c:v>
                </c:pt>
                <c:pt idx="23">
                  <c:v>7.5910529999999996</c:v>
                </c:pt>
                <c:pt idx="24">
                  <c:v>7.7930789999999996</c:v>
                </c:pt>
                <c:pt idx="25">
                  <c:v>7.9190569999999996</c:v>
                </c:pt>
                <c:pt idx="26">
                  <c:v>8.1221010000000007</c:v>
                </c:pt>
                <c:pt idx="27">
                  <c:v>8.1293340000000001</c:v>
                </c:pt>
                <c:pt idx="28">
                  <c:v>7.9998899999999997</c:v>
                </c:pt>
                <c:pt idx="29">
                  <c:v>8.1126310000000004</c:v>
                </c:pt>
                <c:pt idx="30">
                  <c:v>8.1274029999999993</c:v>
                </c:pt>
                <c:pt idx="31">
                  <c:v>8.08535</c:v>
                </c:pt>
                <c:pt idx="32">
                  <c:v>7.9479040000000003</c:v>
                </c:pt>
                <c:pt idx="33">
                  <c:v>7.7962210000000001</c:v>
                </c:pt>
                <c:pt idx="34">
                  <c:v>7.8995300000000004</c:v>
                </c:pt>
                <c:pt idx="35">
                  <c:v>7.9028330000000002</c:v>
                </c:pt>
                <c:pt idx="36">
                  <c:v>7.9672159999999996</c:v>
                </c:pt>
                <c:pt idx="37">
                  <c:v>8.2505220000000001</c:v>
                </c:pt>
                <c:pt idx="38">
                  <c:v>8.5853380000000001</c:v>
                </c:pt>
                <c:pt idx="39">
                  <c:v>8.8874139999999997</c:v>
                </c:pt>
                <c:pt idx="40">
                  <c:v>9.2186009999999996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63-42F5-8437-1B0024DBC329}"/>
            </c:ext>
          </c:extLst>
        </c:ser>
        <c:ser>
          <c:idx val="0"/>
          <c:order val="4"/>
          <c:tx>
            <c:strRef>
              <c:f>'NG Prices'!$A$2</c:f>
              <c:strCache>
                <c:ptCount val="1"/>
                <c:pt idx="0">
                  <c:v>Reference - 2025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Prices'!$B$2:$AP$2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4.3257650457209484</c:v>
                </c:pt>
                <c:pt idx="8">
                  <c:v>4.2709841218622042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5.9572671857168391</c:v>
                </c:pt>
                <c:pt idx="12">
                  <c:v>7.5198121225289984</c:v>
                </c:pt>
                <c:pt idx="13">
                  <c:v>3.1389060737295731</c:v>
                </c:pt>
                <c:pt idx="14">
                  <c:v>2.7239149999999999</c:v>
                </c:pt>
                <c:pt idx="15">
                  <c:v>3.1569289999999999</c:v>
                </c:pt>
                <c:pt idx="16">
                  <c:v>3.0739700000000001</c:v>
                </c:pt>
                <c:pt idx="17">
                  <c:v>3.0153080000000001</c:v>
                </c:pt>
                <c:pt idx="18">
                  <c:v>3.0705049999999998</c:v>
                </c:pt>
                <c:pt idx="19">
                  <c:v>3.2646169999999999</c:v>
                </c:pt>
                <c:pt idx="20">
                  <c:v>3.4315820000000001</c:v>
                </c:pt>
                <c:pt idx="21">
                  <c:v>3.5506389999999999</c:v>
                </c:pt>
                <c:pt idx="22">
                  <c:v>4.043609</c:v>
                </c:pt>
                <c:pt idx="23">
                  <c:v>4.3247770000000001</c:v>
                </c:pt>
                <c:pt idx="24">
                  <c:v>4.4705380000000003</c:v>
                </c:pt>
                <c:pt idx="25">
                  <c:v>4.5190190000000001</c:v>
                </c:pt>
                <c:pt idx="26">
                  <c:v>4.5014159999999999</c:v>
                </c:pt>
                <c:pt idx="27">
                  <c:v>4.4108809999999998</c:v>
                </c:pt>
                <c:pt idx="28">
                  <c:v>4.3408300000000004</c:v>
                </c:pt>
                <c:pt idx="29">
                  <c:v>4.2817970000000001</c:v>
                </c:pt>
                <c:pt idx="30">
                  <c:v>4.3096769999999998</c:v>
                </c:pt>
                <c:pt idx="31">
                  <c:v>4.3984069999999997</c:v>
                </c:pt>
                <c:pt idx="32">
                  <c:v>4.4850729999999999</c:v>
                </c:pt>
                <c:pt idx="33">
                  <c:v>4.5699630000000004</c:v>
                </c:pt>
                <c:pt idx="34">
                  <c:v>4.5927829999999998</c:v>
                </c:pt>
                <c:pt idx="35">
                  <c:v>4.5856329999999996</c:v>
                </c:pt>
                <c:pt idx="36">
                  <c:v>4.6211710000000004</c:v>
                </c:pt>
                <c:pt idx="37">
                  <c:v>4.6284669999999997</c:v>
                </c:pt>
                <c:pt idx="38">
                  <c:v>4.5858759999999998</c:v>
                </c:pt>
                <c:pt idx="39">
                  <c:v>4.5211319999999997</c:v>
                </c:pt>
                <c:pt idx="40">
                  <c:v>4.4591669999999999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63-42F5-8437-1B0024DBC329}"/>
            </c:ext>
          </c:extLst>
        </c:ser>
        <c:ser>
          <c:idx val="1"/>
          <c:order val="5"/>
          <c:tx>
            <c:strRef>
              <c:f>'NG Prices'!$A$3</c:f>
              <c:strCache>
                <c:ptCount val="1"/>
                <c:pt idx="0">
                  <c:v>High O&amp;G Resource - 2025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Prices'!$B$3:$AP$3</c:f>
              <c:numCache>
                <c:formatCode>General</c:formatCode>
                <c:ptCount val="41"/>
                <c:pt idx="0">
                  <c:v>7.4287481187538065</c:v>
                </c:pt>
                <c:pt idx="1">
                  <c:v>6.7037262880480606</c:v>
                </c:pt>
                <c:pt idx="2">
                  <c:v>4.7928849172414028</c:v>
                </c:pt>
                <c:pt idx="3">
                  <c:v>5.997271557758733</c:v>
                </c:pt>
                <c:pt idx="4">
                  <c:v>6.7346123247610592</c:v>
                </c:pt>
                <c:pt idx="5">
                  <c:v>4.2877225773695686</c:v>
                </c:pt>
                <c:pt idx="6">
                  <c:v>3.7483609608280575</c:v>
                </c:pt>
                <c:pt idx="7">
                  <c:v>4.3257650457209484</c:v>
                </c:pt>
                <c:pt idx="8">
                  <c:v>4.2709878654333115</c:v>
                </c:pt>
                <c:pt idx="9">
                  <c:v>3.5042841007231984</c:v>
                </c:pt>
                <c:pt idx="10">
                  <c:v>2.9645882827064347</c:v>
                </c:pt>
                <c:pt idx="11">
                  <c:v>5.9578710792274796</c:v>
                </c:pt>
                <c:pt idx="12">
                  <c:v>7.5196953629279983</c:v>
                </c:pt>
                <c:pt idx="13">
                  <c:v>3.1389060737295731</c:v>
                </c:pt>
                <c:pt idx="14">
                  <c:v>2.7179669999999998</c:v>
                </c:pt>
                <c:pt idx="15">
                  <c:v>2.6831839999999998</c:v>
                </c:pt>
                <c:pt idx="16">
                  <c:v>2.5481530000000001</c:v>
                </c:pt>
                <c:pt idx="17">
                  <c:v>2.5562320000000001</c:v>
                </c:pt>
                <c:pt idx="18">
                  <c:v>2.6556739999999999</c:v>
                </c:pt>
                <c:pt idx="19">
                  <c:v>2.7328600000000001</c:v>
                </c:pt>
                <c:pt idx="20">
                  <c:v>2.8562949999999998</c:v>
                </c:pt>
                <c:pt idx="21">
                  <c:v>2.8866999999999998</c:v>
                </c:pt>
                <c:pt idx="22">
                  <c:v>3.2152980000000002</c:v>
                </c:pt>
                <c:pt idx="23">
                  <c:v>3.2623880000000001</c:v>
                </c:pt>
                <c:pt idx="24">
                  <c:v>3.3154279999999998</c:v>
                </c:pt>
                <c:pt idx="25">
                  <c:v>3.3408679999999999</c:v>
                </c:pt>
                <c:pt idx="26">
                  <c:v>3.3392400000000002</c:v>
                </c:pt>
                <c:pt idx="27">
                  <c:v>3.311086</c:v>
                </c:pt>
                <c:pt idx="28">
                  <c:v>3.2859929999999999</c:v>
                </c:pt>
                <c:pt idx="29">
                  <c:v>3.2698520000000002</c:v>
                </c:pt>
                <c:pt idx="30">
                  <c:v>3.3216079999999999</c:v>
                </c:pt>
                <c:pt idx="31">
                  <c:v>3.391181</c:v>
                </c:pt>
                <c:pt idx="32">
                  <c:v>3.406933</c:v>
                </c:pt>
                <c:pt idx="33">
                  <c:v>3.3668330000000002</c:v>
                </c:pt>
                <c:pt idx="34">
                  <c:v>3.3064499999999999</c:v>
                </c:pt>
                <c:pt idx="35">
                  <c:v>3.2917719999999999</c:v>
                </c:pt>
                <c:pt idx="36">
                  <c:v>3.3040370000000001</c:v>
                </c:pt>
                <c:pt idx="37">
                  <c:v>3.3022849999999999</c:v>
                </c:pt>
                <c:pt idx="38">
                  <c:v>3.2958889999999998</c:v>
                </c:pt>
                <c:pt idx="39">
                  <c:v>3.2604829999999998</c:v>
                </c:pt>
                <c:pt idx="40">
                  <c:v>3.2284630000000001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63-42F5-8437-1B0024DBC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3936"/>
        <c:axId val="381748248"/>
      </c:scatterChart>
      <c:valAx>
        <c:axId val="381743936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crossAx val="381748248"/>
        <c:crosses val="autoZero"/>
        <c:crossBetween val="midCat"/>
      </c:valAx>
      <c:valAx>
        <c:axId val="38174824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aseline="0"/>
                  <a:t>NG Price (2024$/MMBtu)</a:t>
                </a:r>
                <a:endParaRPr lang="en-US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81743936"/>
        <c:crosses val="autoZero"/>
        <c:crossBetween val="midCat"/>
      </c:valAx>
      <c:spPr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50003029952138334"/>
          <c:y val="0.65058273614674567"/>
          <c:w val="0.39444444444444443"/>
          <c:h val="0.24739685629183991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7"/>
          <c:order val="9"/>
          <c:tx>
            <c:strRef>
              <c:f>'Capital Costs'!$A$5</c:f>
              <c:strCache>
                <c:ptCount val="1"/>
                <c:pt idx="0">
                  <c:v>Gas-CT</c:v>
                </c:pt>
              </c:strCache>
            </c:strRef>
          </c:tx>
          <c:spPr>
            <a:ln>
              <a:solidFill>
                <a:schemeClr val="accent2">
                  <a:shade val="53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Costs'!$B$5:$AC$5</c:f>
              <c:numCache>
                <c:formatCode>General</c:formatCode>
                <c:ptCount val="28"/>
                <c:pt idx="0">
                  <c:v>994.86865501692046</c:v>
                </c:pt>
                <c:pt idx="1">
                  <c:v>990.24368818386142</c:v>
                </c:pt>
                <c:pt idx="2">
                  <c:v>985.61872135080239</c:v>
                </c:pt>
                <c:pt idx="3">
                  <c:v>980.99375451774335</c:v>
                </c:pt>
                <c:pt idx="4">
                  <c:v>976.36878768468432</c:v>
                </c:pt>
                <c:pt idx="5">
                  <c:v>971.74382085162529</c:v>
                </c:pt>
                <c:pt idx="6">
                  <c:v>967.11885401856625</c:v>
                </c:pt>
                <c:pt idx="7">
                  <c:v>962.49388718550722</c:v>
                </c:pt>
                <c:pt idx="8">
                  <c:v>930.89841355258977</c:v>
                </c:pt>
                <c:pt idx="9">
                  <c:v>970.03271724660351</c:v>
                </c:pt>
                <c:pt idx="10">
                  <c:v>962.25192347641803</c:v>
                </c:pt>
                <c:pt idx="11">
                  <c:v>939.23716654983571</c:v>
                </c:pt>
                <c:pt idx="12">
                  <c:v>922.83899890265775</c:v>
                </c:pt>
                <c:pt idx="13">
                  <c:v>912.14280359491659</c:v>
                </c:pt>
                <c:pt idx="14">
                  <c:v>899.50621597109568</c:v>
                </c:pt>
                <c:pt idx="15">
                  <c:v>893.13853426535115</c:v>
                </c:pt>
                <c:pt idx="16">
                  <c:v>884.79605502481775</c:v>
                </c:pt>
                <c:pt idx="17">
                  <c:v>880.16454600484258</c:v>
                </c:pt>
                <c:pt idx="18">
                  <c:v>873.84391059559312</c:v>
                </c:pt>
                <c:pt idx="19">
                  <c:v>869.21217313041723</c:v>
                </c:pt>
                <c:pt idx="20">
                  <c:v>864.58117935049142</c:v>
                </c:pt>
                <c:pt idx="21">
                  <c:v>859.94903971749864</c:v>
                </c:pt>
                <c:pt idx="22">
                  <c:v>855.3176579808304</c:v>
                </c:pt>
                <c:pt idx="23">
                  <c:v>850.68607877836223</c:v>
                </c:pt>
                <c:pt idx="24">
                  <c:v>846.05506398400632</c:v>
                </c:pt>
                <c:pt idx="25">
                  <c:v>841.42344101819208</c:v>
                </c:pt>
                <c:pt idx="26">
                  <c:v>836.79199777979341</c:v>
                </c:pt>
                <c:pt idx="27">
                  <c:v>832.16062278528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37-4D23-8DD7-38B9CB03C701}"/>
            </c:ext>
          </c:extLst>
        </c:ser>
        <c:ser>
          <c:idx val="18"/>
          <c:order val="10"/>
          <c:tx>
            <c:strRef>
              <c:f>'Capital Costs'!$A$6</c:f>
              <c:strCache>
                <c:ptCount val="1"/>
                <c:pt idx="0">
                  <c:v>Gas-CC</c:v>
                </c:pt>
              </c:strCache>
            </c:strRef>
          </c:tx>
          <c:spPr>
            <a:ln>
              <a:solidFill>
                <a:schemeClr val="accent3">
                  <a:shade val="53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Costs'!$B$6:$AC$6</c:f>
              <c:numCache>
                <c:formatCode>General</c:formatCode>
                <c:ptCount val="28"/>
                <c:pt idx="0">
                  <c:v>1131.2356341020231</c:v>
                </c:pt>
                <c:pt idx="1">
                  <c:v>1120.1698182895339</c:v>
                </c:pt>
                <c:pt idx="2">
                  <c:v>1109.1040024770448</c:v>
                </c:pt>
                <c:pt idx="3">
                  <c:v>1098.0381866645555</c:v>
                </c:pt>
                <c:pt idx="4">
                  <c:v>1086.9723708520664</c:v>
                </c:pt>
                <c:pt idx="5">
                  <c:v>1075.9065550395771</c:v>
                </c:pt>
                <c:pt idx="6">
                  <c:v>1064.8407392270879</c:v>
                </c:pt>
                <c:pt idx="7">
                  <c:v>1053.7749234145988</c:v>
                </c:pt>
                <c:pt idx="8">
                  <c:v>1010.5183628711051</c:v>
                </c:pt>
                <c:pt idx="9">
                  <c:v>1055.9005109489731</c:v>
                </c:pt>
                <c:pt idx="10">
                  <c:v>1050.0214336355373</c:v>
                </c:pt>
                <c:pt idx="11">
                  <c:v>1035.9007203409417</c:v>
                </c:pt>
                <c:pt idx="12">
                  <c:v>1025.7714692966754</c:v>
                </c:pt>
                <c:pt idx="13">
                  <c:v>1018.3152396465058</c:v>
                </c:pt>
                <c:pt idx="14">
                  <c:v>1009.8089655016553</c:v>
                </c:pt>
                <c:pt idx="15">
                  <c:v>1004.6941312850909</c:v>
                </c:pt>
                <c:pt idx="16">
                  <c:v>998.51098281651934</c:v>
                </c:pt>
                <c:pt idx="17">
                  <c:v>994.33514073849869</c:v>
                </c:pt>
                <c:pt idx="18">
                  <c:v>989.24548772358457</c:v>
                </c:pt>
                <c:pt idx="19">
                  <c:v>985.06955921459462</c:v>
                </c:pt>
                <c:pt idx="20">
                  <c:v>980.89426606587017</c:v>
                </c:pt>
                <c:pt idx="21">
                  <c:v>976.71773597072797</c:v>
                </c:pt>
                <c:pt idx="22">
                  <c:v>972.54222067896274</c:v>
                </c:pt>
                <c:pt idx="23">
                  <c:v>968.36639789636354</c:v>
                </c:pt>
                <c:pt idx="24">
                  <c:v>964.19113590974359</c:v>
                </c:pt>
                <c:pt idx="25">
                  <c:v>960.01527870844757</c:v>
                </c:pt>
                <c:pt idx="26">
                  <c:v>955.83957080865719</c:v>
                </c:pt>
                <c:pt idx="27">
                  <c:v>951.66403497889394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37-4D23-8DD7-38B9CB03C701}"/>
            </c:ext>
          </c:extLst>
        </c:ser>
        <c:ser>
          <c:idx val="19"/>
          <c:order val="11"/>
          <c:tx>
            <c:strRef>
              <c:f>'Capital Costs'!$A$7</c:f>
              <c:strCache>
                <c:ptCount val="1"/>
                <c:pt idx="0">
                  <c:v>Gas-CC-CCS</c:v>
                </c:pt>
              </c:strCache>
            </c:strRef>
          </c:tx>
          <c:spPr>
            <a:ln>
              <a:solidFill>
                <a:schemeClr val="accent4">
                  <a:shade val="53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Costs'!$B$7:$AC$7</c:f>
              <c:numCache>
                <c:formatCode>General</c:formatCode>
                <c:ptCount val="28"/>
                <c:pt idx="0">
                  <c:v>2946.9102647407522</c:v>
                </c:pt>
                <c:pt idx="1">
                  <c:v>2906.8143163846162</c:v>
                </c:pt>
                <c:pt idx="2">
                  <c:v>2866.7183680284797</c:v>
                </c:pt>
                <c:pt idx="3">
                  <c:v>2826.6224196723438</c:v>
                </c:pt>
                <c:pt idx="4">
                  <c:v>2786.5264713162078</c:v>
                </c:pt>
                <c:pt idx="5">
                  <c:v>2746.4305229600714</c:v>
                </c:pt>
                <c:pt idx="6">
                  <c:v>2706.3345746039354</c:v>
                </c:pt>
                <c:pt idx="7">
                  <c:v>2666.2386262477994</c:v>
                </c:pt>
                <c:pt idx="8">
                  <c:v>2547.0938925540636</c:v>
                </c:pt>
                <c:pt idx="9">
                  <c:v>2654.2175362687944</c:v>
                </c:pt>
                <c:pt idx="10">
                  <c:v>2631.7995143901003</c:v>
                </c:pt>
                <c:pt idx="11">
                  <c:v>2596.885643829391</c:v>
                </c:pt>
                <c:pt idx="12">
                  <c:v>2568.0243466749757</c:v>
                </c:pt>
                <c:pt idx="13">
                  <c:v>2543.2150796842034</c:v>
                </c:pt>
                <c:pt idx="14">
                  <c:v>2516.8141310660008</c:v>
                </c:pt>
                <c:pt idx="15">
                  <c:v>2495.5545876535762</c:v>
                </c:pt>
                <c:pt idx="16">
                  <c:v>2472.6750260803688</c:v>
                </c:pt>
                <c:pt idx="17">
                  <c:v>2452.839134382567</c:v>
                </c:pt>
                <c:pt idx="18">
                  <c:v>2431.6172309147119</c:v>
                </c:pt>
                <c:pt idx="19">
                  <c:v>2411.780864468386</c:v>
                </c:pt>
                <c:pt idx="20">
                  <c:v>2391.9462237844027</c:v>
                </c:pt>
                <c:pt idx="21">
                  <c:v>2372.1082135984739</c:v>
                </c:pt>
                <c:pt idx="22">
                  <c:v>2352.2722526906705</c:v>
                </c:pt>
                <c:pt idx="23">
                  <c:v>2332.436415260504</c:v>
                </c:pt>
                <c:pt idx="24">
                  <c:v>2312.6015692169822</c:v>
                </c:pt>
                <c:pt idx="25">
                  <c:v>2292.7653265714675</c:v>
                </c:pt>
                <c:pt idx="26">
                  <c:v>2272.929385558868</c:v>
                </c:pt>
                <c:pt idx="27">
                  <c:v>2253.0940599891369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37-4D23-8DD7-38B9CB03C701}"/>
            </c:ext>
          </c:extLst>
        </c:ser>
        <c:ser>
          <c:idx val="22"/>
          <c:order val="12"/>
          <c:tx>
            <c:strRef>
              <c:f>'Capital Costs'!$A$10</c:f>
              <c:strCache>
                <c:ptCount val="1"/>
                <c:pt idx="0">
                  <c:v>Coal-new</c:v>
                </c:pt>
              </c:strCache>
            </c:strRef>
          </c:tx>
          <c:spPr>
            <a:ln>
              <a:solidFill>
                <a:schemeClr val="accent1">
                  <a:shade val="76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Costs'!$B$10:$AC$10</c:f>
              <c:numCache>
                <c:formatCode>General</c:formatCode>
                <c:ptCount val="28"/>
                <c:pt idx="0">
                  <c:v>3737.7965963422084</c:v>
                </c:pt>
                <c:pt idx="1">
                  <c:v>3732.6411928623402</c:v>
                </c:pt>
                <c:pt idx="2">
                  <c:v>3727.4857893824719</c:v>
                </c:pt>
                <c:pt idx="3">
                  <c:v>3722.3303859026037</c:v>
                </c:pt>
                <c:pt idx="4">
                  <c:v>3717.1749824227354</c:v>
                </c:pt>
                <c:pt idx="5">
                  <c:v>3712.0195789428672</c:v>
                </c:pt>
                <c:pt idx="6">
                  <c:v>3706.8641754629989</c:v>
                </c:pt>
                <c:pt idx="7">
                  <c:v>3701.7087719831302</c:v>
                </c:pt>
                <c:pt idx="8">
                  <c:v>3639.1000111986855</c:v>
                </c:pt>
                <c:pt idx="9">
                  <c:v>3800.841939796273</c:v>
                </c:pt>
                <c:pt idx="10">
                  <c:v>3776.78801450731</c:v>
                </c:pt>
                <c:pt idx="11">
                  <c:v>3752.7297763390006</c:v>
                </c:pt>
                <c:pt idx="12">
                  <c:v>3728.6745180500207</c:v>
                </c:pt>
                <c:pt idx="13">
                  <c:v>3704.6199459263157</c:v>
                </c:pt>
                <c:pt idx="14">
                  <c:v>3680.563480825901</c:v>
                </c:pt>
                <c:pt idx="15">
                  <c:v>3656.5084247833634</c:v>
                </c:pt>
                <c:pt idx="16">
                  <c:v>3632.4521749674559</c:v>
                </c:pt>
                <c:pt idx="17">
                  <c:v>3608.3959745762713</c:v>
                </c:pt>
                <c:pt idx="18">
                  <c:v>3584.3387192835958</c:v>
                </c:pt>
                <c:pt idx="19">
                  <c:v>3560.2820134737717</c:v>
                </c:pt>
                <c:pt idx="20">
                  <c:v>3536.2278174136613</c:v>
                </c:pt>
                <c:pt idx="21">
                  <c:v>3512.1688498448634</c:v>
                </c:pt>
                <c:pt idx="22">
                  <c:v>3488.1131701319277</c:v>
                </c:pt>
                <c:pt idx="23">
                  <c:v>3464.0571053812218</c:v>
                </c:pt>
                <c:pt idx="24">
                  <c:v>3440.003009727815</c:v>
                </c:pt>
                <c:pt idx="25">
                  <c:v>3415.9464298348935</c:v>
                </c:pt>
                <c:pt idx="26">
                  <c:v>3391.890448633771</c:v>
                </c:pt>
                <c:pt idx="27">
                  <c:v>3367.8350220546763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37-4D23-8DD7-38B9CB03C701}"/>
            </c:ext>
          </c:extLst>
        </c:ser>
        <c:ser>
          <c:idx val="23"/>
          <c:order val="13"/>
          <c:tx>
            <c:strRef>
              <c:f>'Capital Costs'!$A$11</c:f>
              <c:strCache>
                <c:ptCount val="1"/>
                <c:pt idx="0">
                  <c:v>Coal-IGCC</c:v>
                </c:pt>
              </c:strCache>
            </c:strRef>
          </c:tx>
          <c:spPr>
            <a:ln>
              <a:solidFill>
                <a:schemeClr val="accent2">
                  <a:shade val="76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Costs'!$B$11:$AC$11</c:f>
              <c:numCache>
                <c:formatCode>General</c:formatCode>
                <c:ptCount val="2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37-4D23-8DD7-38B9CB03C701}"/>
            </c:ext>
          </c:extLst>
        </c:ser>
        <c:ser>
          <c:idx val="24"/>
          <c:order val="14"/>
          <c:tx>
            <c:strRef>
              <c:f>'Capital Costs'!$A$12</c:f>
              <c:strCache>
                <c:ptCount val="1"/>
                <c:pt idx="0">
                  <c:v>coal-CCS</c:v>
                </c:pt>
              </c:strCache>
            </c:strRef>
          </c:tx>
          <c:spPr>
            <a:ln>
              <a:solidFill>
                <a:schemeClr val="accent3">
                  <a:shade val="76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Costs'!$B$12:$AC$12</c:f>
              <c:numCache>
                <c:formatCode>General</c:formatCode>
                <c:ptCount val="28"/>
                <c:pt idx="0">
                  <c:v>6224.0228927794196</c:v>
                </c:pt>
                <c:pt idx="1">
                  <c:v>6201.1914131480917</c:v>
                </c:pt>
                <c:pt idx="2">
                  <c:v>6178.3599335167637</c:v>
                </c:pt>
                <c:pt idx="3">
                  <c:v>6155.5284538854357</c:v>
                </c:pt>
                <c:pt idx="4">
                  <c:v>6132.6969742541069</c:v>
                </c:pt>
                <c:pt idx="5">
                  <c:v>6109.8654946227789</c:v>
                </c:pt>
                <c:pt idx="6">
                  <c:v>6087.0340149914509</c:v>
                </c:pt>
                <c:pt idx="7">
                  <c:v>6064.202535360123</c:v>
                </c:pt>
                <c:pt idx="8">
                  <c:v>5924.8021241825209</c:v>
                </c:pt>
                <c:pt idx="9">
                  <c:v>6180.2413578536598</c:v>
                </c:pt>
                <c:pt idx="10">
                  <c:v>6133.1865414779086</c:v>
                </c:pt>
                <c:pt idx="11">
                  <c:v>6086.1247640909905</c:v>
                </c:pt>
                <c:pt idx="12">
                  <c:v>6039.067977155154</c:v>
                </c:pt>
                <c:pt idx="13">
                  <c:v>5992.0131153510256</c:v>
                </c:pt>
                <c:pt idx="14">
                  <c:v>5944.9548767270553</c:v>
                </c:pt>
                <c:pt idx="15">
                  <c:v>5897.8990723160732</c:v>
                </c:pt>
                <c:pt idx="16">
                  <c:v>5850.8407689524865</c:v>
                </c:pt>
                <c:pt idx="17">
                  <c:v>5803.7827612994352</c:v>
                </c:pt>
                <c:pt idx="18">
                  <c:v>5756.723323819564</c:v>
                </c:pt>
                <c:pt idx="19">
                  <c:v>5709.6641098065465</c:v>
                </c:pt>
                <c:pt idx="20">
                  <c:v>5662.60943812801</c:v>
                </c:pt>
                <c:pt idx="21">
                  <c:v>5615.5462289184934</c:v>
                </c:pt>
                <c:pt idx="22">
                  <c:v>5568.4900420095446</c:v>
                </c:pt>
                <c:pt idx="23">
                  <c:v>5521.4319257163752</c:v>
                </c:pt>
                <c:pt idx="24">
                  <c:v>5474.3769956990527</c:v>
                </c:pt>
                <c:pt idx="25">
                  <c:v>5427.3183702433516</c:v>
                </c:pt>
                <c:pt idx="26">
                  <c:v>5380.2611856444701</c:v>
                </c:pt>
                <c:pt idx="27">
                  <c:v>5333.2043792424365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37-4D23-8DD7-38B9CB03C701}"/>
            </c:ext>
          </c:extLst>
        </c:ser>
        <c:ser>
          <c:idx val="25"/>
          <c:order val="15"/>
          <c:tx>
            <c:strRef>
              <c:f>'Capital Costs'!$A$13</c:f>
              <c:strCache>
                <c:ptCount val="1"/>
                <c:pt idx="0">
                  <c:v>o-g-s</c:v>
                </c:pt>
              </c:strCache>
            </c:strRef>
          </c:tx>
          <c:spPr>
            <a:ln>
              <a:solidFill>
                <a:schemeClr val="accent4">
                  <a:shade val="76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Costs'!$B$13:$AC$13</c:f>
              <c:numCache>
                <c:formatCode>General</c:formatCode>
                <c:ptCount val="28"/>
                <c:pt idx="0">
                  <c:v>1233.4508567279229</c:v>
                </c:pt>
                <c:pt idx="1">
                  <c:v>1228.398355582664</c:v>
                </c:pt>
                <c:pt idx="2">
                  <c:v>1223.345854437405</c:v>
                </c:pt>
                <c:pt idx="3">
                  <c:v>1218.2933532921461</c:v>
                </c:pt>
                <c:pt idx="4">
                  <c:v>1213.2408521468874</c:v>
                </c:pt>
                <c:pt idx="5">
                  <c:v>1208.1883510016285</c:v>
                </c:pt>
                <c:pt idx="6">
                  <c:v>1203.1358498563695</c:v>
                </c:pt>
                <c:pt idx="7">
                  <c:v>1198.0833487111106</c:v>
                </c:pt>
                <c:pt idx="8">
                  <c:v>1158.75272608709</c:v>
                </c:pt>
                <c:pt idx="9">
                  <c:v>1207.4657938460361</c:v>
                </c:pt>
                <c:pt idx="10">
                  <c:v>1197.7804949866686</c:v>
                </c:pt>
                <c:pt idx="11">
                  <c:v>1169.132468205243</c:v>
                </c:pt>
                <c:pt idx="12">
                  <c:v>1148.7205677149154</c:v>
                </c:pt>
                <c:pt idx="13">
                  <c:v>1135.4062565413676</c:v>
                </c:pt>
                <c:pt idx="14">
                  <c:v>1119.6766967901183</c:v>
                </c:pt>
                <c:pt idx="15">
                  <c:v>1111.7504007193595</c:v>
                </c:pt>
                <c:pt idx="16">
                  <c:v>1101.3659098265618</c:v>
                </c:pt>
                <c:pt idx="17">
                  <c:v>1095.6007596852298</c:v>
                </c:pt>
                <c:pt idx="18">
                  <c:v>1087.7330601295266</c:v>
                </c:pt>
                <c:pt idx="19">
                  <c:v>1081.9675982522056</c:v>
                </c:pt>
                <c:pt idx="20">
                  <c:v>1076.2030468674657</c:v>
                </c:pt>
                <c:pt idx="21">
                  <c:v>1070.4371654669146</c:v>
                </c:pt>
                <c:pt idx="22">
                  <c:v>1064.67213718771</c:v>
                </c:pt>
                <c:pt idx="23">
                  <c:v>1058.9069439944169</c:v>
                </c:pt>
                <c:pt idx="24">
                  <c:v>1053.1423533680361</c:v>
                </c:pt>
                <c:pt idx="25">
                  <c:v>1047.377052387116</c:v>
                </c:pt>
                <c:pt idx="26">
                  <c:v>1041.6120001541231</c:v>
                </c:pt>
                <c:pt idx="27">
                  <c:v>1035.8470444857053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37-4D23-8DD7-38B9CB03C701}"/>
            </c:ext>
          </c:extLst>
        </c:ser>
        <c:ser>
          <c:idx val="26"/>
          <c:order val="16"/>
          <c:tx>
            <c:strRef>
              <c:f>'Capital Costs'!$A$14</c:f>
              <c:strCache>
                <c:ptCount val="1"/>
                <c:pt idx="0">
                  <c:v>Nuclear</c:v>
                </c:pt>
              </c:strCache>
            </c:strRef>
          </c:tx>
          <c:spPr>
            <a:ln>
              <a:solidFill>
                <a:schemeClr val="accent5">
                  <a:shade val="76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Costs'!$B$14:$AC$14</c:f>
              <c:numCache>
                <c:formatCode>General</c:formatCode>
                <c:ptCount val="28"/>
                <c:pt idx="0">
                  <c:v>6470.8554424932527</c:v>
                </c:pt>
                <c:pt idx="1">
                  <c:v>6438.6428616198982</c:v>
                </c:pt>
                <c:pt idx="2">
                  <c:v>6406.4302807465438</c:v>
                </c:pt>
                <c:pt idx="3">
                  <c:v>6374.2176998731893</c:v>
                </c:pt>
                <c:pt idx="4">
                  <c:v>6342.0051189998348</c:v>
                </c:pt>
                <c:pt idx="5">
                  <c:v>6309.7925381264804</c:v>
                </c:pt>
                <c:pt idx="6">
                  <c:v>6277.5799572531259</c:v>
                </c:pt>
                <c:pt idx="7">
                  <c:v>6245.3673763797715</c:v>
                </c:pt>
                <c:pt idx="8">
                  <c:v>6278.8577717390763</c:v>
                </c:pt>
                <c:pt idx="9">
                  <c:v>6557.9252952859661</c:v>
                </c:pt>
                <c:pt idx="10">
                  <c:v>6516.4228465354563</c:v>
                </c:pt>
                <c:pt idx="11">
                  <c:v>6324.0399600976771</c:v>
                </c:pt>
                <c:pt idx="12">
                  <c:v>6283.0418102855992</c:v>
                </c:pt>
                <c:pt idx="13">
                  <c:v>6242.0450123987821</c:v>
                </c:pt>
                <c:pt idx="14">
                  <c:v>6201.0453551681685</c:v>
                </c:pt>
                <c:pt idx="15">
                  <c:v>6160.047788575007</c:v>
                </c:pt>
                <c:pt idx="16">
                  <c:v>6119.048356661192</c:v>
                </c:pt>
                <c:pt idx="17">
                  <c:v>6078.0478561339787</c:v>
                </c:pt>
                <c:pt idx="18">
                  <c:v>6037.0472509331976</c:v>
                </c:pt>
                <c:pt idx="19">
                  <c:v>5996.0464949213147</c:v>
                </c:pt>
                <c:pt idx="20">
                  <c:v>5955.0503844236109</c:v>
                </c:pt>
                <c:pt idx="21">
                  <c:v>5914.0465688597342</c:v>
                </c:pt>
                <c:pt idx="22">
                  <c:v>5873.0479606379158</c:v>
                </c:pt>
                <c:pt idx="23">
                  <c:v>5832.0483007651856</c:v>
                </c:pt>
                <c:pt idx="24">
                  <c:v>5791.0518390528559</c:v>
                </c:pt>
                <c:pt idx="25">
                  <c:v>5750.0518335698735</c:v>
                </c:pt>
                <c:pt idx="26">
                  <c:v>5709.0532578824104</c:v>
                </c:pt>
                <c:pt idx="27">
                  <c:v>5668.0548526022012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B37-4D23-8DD7-38B9CB03C701}"/>
            </c:ext>
          </c:extLst>
        </c:ser>
        <c:ser>
          <c:idx val="28"/>
          <c:order val="17"/>
          <c:tx>
            <c:strRef>
              <c:f>'Capital Costs'!$A$17</c:f>
              <c:strCache>
                <c:ptCount val="1"/>
                <c:pt idx="0">
                  <c:v>biopower</c:v>
                </c:pt>
              </c:strCache>
            </c:strRef>
          </c:tx>
          <c:spPr>
            <a:ln>
              <a:solidFill>
                <a:schemeClr val="accent1"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Costs'!$B$17:$AC$17</c:f>
              <c:numCache>
                <c:formatCode>0.00</c:formatCode>
                <c:ptCount val="28"/>
                <c:pt idx="0">
                  <c:v>4203.3678135109285</c:v>
                </c:pt>
                <c:pt idx="1">
                  <c:v>4191.0834155817583</c:v>
                </c:pt>
                <c:pt idx="2">
                  <c:v>4178.7990176525882</c:v>
                </c:pt>
                <c:pt idx="3">
                  <c:v>4166.514619723418</c:v>
                </c:pt>
                <c:pt idx="4">
                  <c:v>4154.2302217942488</c:v>
                </c:pt>
                <c:pt idx="5">
                  <c:v>4141.9458238650795</c:v>
                </c:pt>
                <c:pt idx="6">
                  <c:v>4129.6614259359103</c:v>
                </c:pt>
                <c:pt idx="7">
                  <c:v>4117.3770280067401</c:v>
                </c:pt>
                <c:pt idx="8">
                  <c:v>4041.8532754172998</c:v>
                </c:pt>
                <c:pt idx="9">
                  <c:v>4221.1540925827967</c:v>
                </c:pt>
                <c:pt idx="10">
                  <c:v>4194.0645872601735</c:v>
                </c:pt>
                <c:pt idx="11">
                  <c:v>4167.2483207130044</c:v>
                </c:pt>
                <c:pt idx="12">
                  <c:v>4139.8459095457156</c:v>
                </c:pt>
                <c:pt idx="13">
                  <c:v>4113.0380365625342</c:v>
                </c:pt>
                <c:pt idx="14">
                  <c:v>4086.228267438079</c:v>
                </c:pt>
                <c:pt idx="15">
                  <c:v>4059.4197027878158</c:v>
                </c:pt>
                <c:pt idx="16">
                  <c:v>4032.6098146364734</c:v>
                </c:pt>
                <c:pt idx="17">
                  <c:v>4005.7996206618245</c:v>
                </c:pt>
                <c:pt idx="18">
                  <c:v>3978.988914243158</c:v>
                </c:pt>
                <c:pt idx="19">
                  <c:v>3952.1783672694696</c:v>
                </c:pt>
                <c:pt idx="20">
                  <c:v>3925.3705989293185</c:v>
                </c:pt>
                <c:pt idx="21">
                  <c:v>3898.557763227835</c:v>
                </c:pt>
                <c:pt idx="22">
                  <c:v>3871.7484653941333</c:v>
                </c:pt>
                <c:pt idx="23">
                  <c:v>3844.9384788099337</c:v>
                </c:pt>
                <c:pt idx="24">
                  <c:v>3818.1307271897463</c:v>
                </c:pt>
                <c:pt idx="25">
                  <c:v>3791.320680154327</c:v>
                </c:pt>
                <c:pt idx="26">
                  <c:v>3764.5111931944216</c:v>
                </c:pt>
                <c:pt idx="27">
                  <c:v>3737.7023155585807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B37-4D23-8DD7-38B9CB03C701}"/>
            </c:ext>
          </c:extLst>
        </c:ser>
        <c:ser>
          <c:idx val="1"/>
          <c:order val="0"/>
          <c:tx>
            <c:strRef>
              <c:f>'Capital Costs'!$A$26</c:f>
              <c:strCache>
                <c:ptCount val="1"/>
                <c:pt idx="0">
                  <c:v>Gas-CT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Costs'!$B$26:$AC$26</c:f>
              <c:numCache>
                <c:formatCode>0.00</c:formatCode>
                <c:ptCount val="28"/>
                <c:pt idx="0">
                  <c:v>1041.6274818027157</c:v>
                </c:pt>
                <c:pt idx="1">
                  <c:v>1036.7851415285029</c:v>
                </c:pt>
                <c:pt idx="2">
                  <c:v>1031.9428012542901</c:v>
                </c:pt>
                <c:pt idx="3">
                  <c:v>1027.1004609800773</c:v>
                </c:pt>
                <c:pt idx="4">
                  <c:v>1022.2581207058644</c:v>
                </c:pt>
                <c:pt idx="5">
                  <c:v>1017.4157804316516</c:v>
                </c:pt>
                <c:pt idx="6">
                  <c:v>1012.5734401574388</c:v>
                </c:pt>
                <c:pt idx="7">
                  <c:v>1007.731099883226</c:v>
                </c:pt>
                <c:pt idx="8">
                  <c:v>974.65063898956146</c:v>
                </c:pt>
                <c:pt idx="9">
                  <c:v>969.41253840973332</c:v>
                </c:pt>
                <c:pt idx="10">
                  <c:v>949.77802610882304</c:v>
                </c:pt>
                <c:pt idx="11">
                  <c:v>938.91515237967883</c:v>
                </c:pt>
                <c:pt idx="12">
                  <c:v>935.71886259942403</c:v>
                </c:pt>
                <c:pt idx="13">
                  <c:v>929.26931248956532</c:v>
                </c:pt>
                <c:pt idx="14">
                  <c:v>915.21554643481602</c:v>
                </c:pt>
                <c:pt idx="15">
                  <c:v>907.85235181287248</c:v>
                </c:pt>
                <c:pt idx="16">
                  <c:v>902.62028277617947</c:v>
                </c:pt>
                <c:pt idx="17">
                  <c:v>897.76008895239102</c:v>
                </c:pt>
                <c:pt idx="18">
                  <c:v>893.9282204896549</c:v>
                </c:pt>
                <c:pt idx="19">
                  <c:v>888.47612337416103</c:v>
                </c:pt>
                <c:pt idx="20">
                  <c:v>882.55477886697145</c:v>
                </c:pt>
                <c:pt idx="21">
                  <c:v>877.83569411846292</c:v>
                </c:pt>
                <c:pt idx="22">
                  <c:v>873.03611526552379</c:v>
                </c:pt>
                <c:pt idx="23">
                  <c:v>867.70929130632169</c:v>
                </c:pt>
                <c:pt idx="24">
                  <c:v>862.82880995549249</c:v>
                </c:pt>
                <c:pt idx="25">
                  <c:v>858.26382213448073</c:v>
                </c:pt>
                <c:pt idx="26">
                  <c:v>853.99911448801936</c:v>
                </c:pt>
                <c:pt idx="27">
                  <c:v>849.16775811012394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B37-4D23-8DD7-38B9CB03C701}"/>
            </c:ext>
          </c:extLst>
        </c:ser>
        <c:ser>
          <c:idx val="2"/>
          <c:order val="1"/>
          <c:tx>
            <c:strRef>
              <c:f>'Capital Costs'!$A$27</c:f>
              <c:strCache>
                <c:ptCount val="1"/>
                <c:pt idx="0">
                  <c:v>Gas-CC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Costs'!$B$27:$AC$27</c:f>
              <c:numCache>
                <c:formatCode>0.00</c:formatCode>
                <c:ptCount val="28"/>
                <c:pt idx="0">
                  <c:v>1184.4037089048181</c:v>
                </c:pt>
                <c:pt idx="1">
                  <c:v>1172.8177997491418</c:v>
                </c:pt>
                <c:pt idx="2">
                  <c:v>1161.2318905934658</c:v>
                </c:pt>
                <c:pt idx="3">
                  <c:v>1149.6459814377895</c:v>
                </c:pt>
                <c:pt idx="4">
                  <c:v>1138.0600722821134</c:v>
                </c:pt>
                <c:pt idx="5">
                  <c:v>1126.4741631264371</c:v>
                </c:pt>
                <c:pt idx="6">
                  <c:v>1114.8882539707608</c:v>
                </c:pt>
                <c:pt idx="7">
                  <c:v>1103.3023448150848</c:v>
                </c:pt>
                <c:pt idx="8">
                  <c:v>1058.0127259260469</c:v>
                </c:pt>
                <c:pt idx="9">
                  <c:v>1055.2237768408481</c:v>
                </c:pt>
                <c:pt idx="10">
                  <c:v>1042.9478470233053</c:v>
                </c:pt>
                <c:pt idx="11">
                  <c:v>1038.6442386320225</c:v>
                </c:pt>
                <c:pt idx="12">
                  <c:v>1038.6558265321919</c:v>
                </c:pt>
                <c:pt idx="13">
                  <c:v>1034.1689706341822</c:v>
                </c:pt>
                <c:pt idx="14">
                  <c:v>1025.6925434358664</c:v>
                </c:pt>
                <c:pt idx="15">
                  <c:v>1020.6766420914952</c:v>
                </c:pt>
                <c:pt idx="16">
                  <c:v>1016.5707199052349</c:v>
                </c:pt>
                <c:pt idx="17">
                  <c:v>1012.1545672233171</c:v>
                </c:pt>
                <c:pt idx="18">
                  <c:v>1008.898831339306</c:v>
                </c:pt>
                <c:pt idx="19">
                  <c:v>1003.814640049962</c:v>
                </c:pt>
                <c:pt idx="20">
                  <c:v>998.19762480554368</c:v>
                </c:pt>
                <c:pt idx="21">
                  <c:v>993.93906164218788</c:v>
                </c:pt>
                <c:pt idx="22">
                  <c:v>989.58920434314348</c:v>
                </c:pt>
                <c:pt idx="23">
                  <c:v>984.64086391694377</c:v>
                </c:pt>
                <c:pt idx="24">
                  <c:v>980.19802076234487</c:v>
                </c:pt>
                <c:pt idx="25">
                  <c:v>976.11337894541464</c:v>
                </c:pt>
                <c:pt idx="26">
                  <c:v>972.37116027334548</c:v>
                </c:pt>
                <c:pt idx="27">
                  <c:v>967.98410375833203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B37-4D23-8DD7-38B9CB03C701}"/>
            </c:ext>
          </c:extLst>
        </c:ser>
        <c:ser>
          <c:idx val="3"/>
          <c:order val="2"/>
          <c:tx>
            <c:strRef>
              <c:f>'Capital Costs'!$A$28</c:f>
              <c:strCache>
                <c:ptCount val="1"/>
                <c:pt idx="0">
                  <c:v>Gas-CC-CCS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Costs'!$B$28:$AC$28</c:f>
              <c:numCache>
                <c:formatCode>0.00</c:formatCode>
                <c:ptCount val="28"/>
                <c:pt idx="0">
                  <c:v>3085.4150471835674</c:v>
                </c:pt>
                <c:pt idx="1">
                  <c:v>3043.434589254693</c:v>
                </c:pt>
                <c:pt idx="2">
                  <c:v>3001.4541313258183</c:v>
                </c:pt>
                <c:pt idx="3">
                  <c:v>2959.4736733969439</c:v>
                </c:pt>
                <c:pt idx="4">
                  <c:v>2917.4932154680691</c:v>
                </c:pt>
                <c:pt idx="5">
                  <c:v>2875.5127575391944</c:v>
                </c:pt>
                <c:pt idx="6">
                  <c:v>2833.53229961032</c:v>
                </c:pt>
                <c:pt idx="7">
                  <c:v>2791.5518416814457</c:v>
                </c:pt>
                <c:pt idx="8">
                  <c:v>2666.8073055041045</c:v>
                </c:pt>
                <c:pt idx="9">
                  <c:v>2652.5142688129558</c:v>
                </c:pt>
                <c:pt idx="10">
                  <c:v>2620.1731301587147</c:v>
                </c:pt>
                <c:pt idx="11">
                  <c:v>2606.4564356916585</c:v>
                </c:pt>
                <c:pt idx="12">
                  <c:v>2599.4799372225075</c:v>
                </c:pt>
                <c:pt idx="13">
                  <c:v>2580.3314282072838</c:v>
                </c:pt>
                <c:pt idx="14">
                  <c:v>2555.3415332532809</c:v>
                </c:pt>
                <c:pt idx="15">
                  <c:v>2535.2685989810193</c:v>
                </c:pt>
                <c:pt idx="16">
                  <c:v>2516.1007272433581</c:v>
                </c:pt>
                <c:pt idx="17">
                  <c:v>2495.512594325277</c:v>
                </c:pt>
                <c:pt idx="18">
                  <c:v>2477.7774034267031</c:v>
                </c:pt>
                <c:pt idx="19">
                  <c:v>2455.5500361301051</c:v>
                </c:pt>
                <c:pt idx="20">
                  <c:v>2432.0409328624182</c:v>
                </c:pt>
                <c:pt idx="21">
                  <c:v>2411.8553559439042</c:v>
                </c:pt>
                <c:pt idx="22">
                  <c:v>2391.4498698304706</c:v>
                </c:pt>
                <c:pt idx="23">
                  <c:v>2369.6059997602915</c:v>
                </c:pt>
                <c:pt idx="24">
                  <c:v>2348.9875953165179</c:v>
                </c:pt>
                <c:pt idx="25">
                  <c:v>2329.2283543440476</c:v>
                </c:pt>
                <c:pt idx="26">
                  <c:v>2310.279343358427</c:v>
                </c:pt>
                <c:pt idx="27">
                  <c:v>2289.7950376440936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B37-4D23-8DD7-38B9CB03C701}"/>
            </c:ext>
          </c:extLst>
        </c:ser>
        <c:ser>
          <c:idx val="6"/>
          <c:order val="3"/>
          <c:tx>
            <c:strRef>
              <c:f>'Capital Costs'!$A$31</c:f>
              <c:strCache>
                <c:ptCount val="1"/>
                <c:pt idx="0">
                  <c:v>Coal-new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Costs'!$B$31:$AC$31</c:f>
              <c:numCache>
                <c:formatCode>0.00</c:formatCode>
                <c:ptCount val="28"/>
                <c:pt idx="0">
                  <c:v>3913.473036370292</c:v>
                </c:pt>
                <c:pt idx="1">
                  <c:v>3908.07532892687</c:v>
                </c:pt>
                <c:pt idx="2">
                  <c:v>3902.6776214834476</c:v>
                </c:pt>
                <c:pt idx="3">
                  <c:v>3897.2799140400257</c:v>
                </c:pt>
                <c:pt idx="4">
                  <c:v>3891.8822065966037</c:v>
                </c:pt>
                <c:pt idx="5">
                  <c:v>3886.4844991531818</c:v>
                </c:pt>
                <c:pt idx="6">
                  <c:v>3881.0867917097594</c:v>
                </c:pt>
                <c:pt idx="7">
                  <c:v>3875.689084266337</c:v>
                </c:pt>
                <c:pt idx="8">
                  <c:v>3810.1377117250236</c:v>
                </c:pt>
                <c:pt idx="9">
                  <c:v>3798.4000344999845</c:v>
                </c:pt>
                <c:pt idx="10">
                  <c:v>3773.5088974980781</c:v>
                </c:pt>
                <c:pt idx="11">
                  <c:v>3772.5146877472098</c:v>
                </c:pt>
                <c:pt idx="12">
                  <c:v>3772.561806761275</c:v>
                </c:pt>
                <c:pt idx="13">
                  <c:v>3753.1093815528998</c:v>
                </c:pt>
                <c:pt idx="14">
                  <c:v>3734.497318499592</c:v>
                </c:pt>
                <c:pt idx="15">
                  <c:v>3714.7322549215223</c:v>
                </c:pt>
                <c:pt idx="16">
                  <c:v>3693.2389707028897</c:v>
                </c:pt>
                <c:pt idx="17">
                  <c:v>3668.1623953573285</c:v>
                </c:pt>
                <c:pt idx="18">
                  <c:v>3647.2837187854389</c:v>
                </c:pt>
                <c:pt idx="19">
                  <c:v>3619.7937358637259</c:v>
                </c:pt>
                <c:pt idx="20">
                  <c:v>3590.4025836178207</c:v>
                </c:pt>
                <c:pt idx="21">
                  <c:v>3565.9107607331844</c:v>
                </c:pt>
                <c:pt idx="22">
                  <c:v>3541.0921485311069</c:v>
                </c:pt>
                <c:pt idx="23">
                  <c:v>3514.1395908047016</c:v>
                </c:pt>
                <c:pt idx="24">
                  <c:v>3488.9996634955241</c:v>
                </c:pt>
                <c:pt idx="25">
                  <c:v>3465.1356158677131</c:v>
                </c:pt>
                <c:pt idx="26">
                  <c:v>3442.4806855628649</c:v>
                </c:pt>
                <c:pt idx="27">
                  <c:v>3417.5396516158326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B37-4D23-8DD7-38B9CB03C701}"/>
            </c:ext>
          </c:extLst>
        </c:ser>
        <c:ser>
          <c:idx val="7"/>
          <c:order val="4"/>
          <c:tx>
            <c:strRef>
              <c:f>'Capital Costs'!$A$32</c:f>
              <c:strCache>
                <c:ptCount val="1"/>
                <c:pt idx="0">
                  <c:v>Coal-IGCC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Costs'!$B$32:$AC$32</c:f>
              <c:numCache>
                <c:formatCode>0.00</c:formatCode>
                <c:ptCount val="2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B37-4D23-8DD7-38B9CB03C701}"/>
            </c:ext>
          </c:extLst>
        </c:ser>
        <c:ser>
          <c:idx val="8"/>
          <c:order val="5"/>
          <c:tx>
            <c:strRef>
              <c:f>'Capital Costs'!$A$33</c:f>
              <c:strCache>
                <c:ptCount val="1"/>
                <c:pt idx="0">
                  <c:v>coal-CCS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Costs'!$B$33:$AC$33</c:f>
              <c:numCache>
                <c:formatCode>0.00</c:formatCode>
                <c:ptCount val="28"/>
                <c:pt idx="0">
                  <c:v>6516.551968740052</c:v>
                </c:pt>
                <c:pt idx="1">
                  <c:v>6492.6474095660515</c:v>
                </c:pt>
                <c:pt idx="2">
                  <c:v>6468.742850392051</c:v>
                </c:pt>
                <c:pt idx="3">
                  <c:v>6444.8382912180505</c:v>
                </c:pt>
                <c:pt idx="4">
                  <c:v>6420.9337320440491</c:v>
                </c:pt>
                <c:pt idx="5">
                  <c:v>6397.0291728700495</c:v>
                </c:pt>
                <c:pt idx="6">
                  <c:v>6373.124613696049</c:v>
                </c:pt>
                <c:pt idx="7">
                  <c:v>6349.2200545220485</c:v>
                </c:pt>
                <c:pt idx="8">
                  <c:v>6203.267824019099</c:v>
                </c:pt>
                <c:pt idx="9">
                  <c:v>6176.2705882555792</c:v>
                </c:pt>
                <c:pt idx="10">
                  <c:v>6127.861862135228</c:v>
                </c:pt>
                <c:pt idx="11">
                  <c:v>6118.2117559668295</c:v>
                </c:pt>
                <c:pt idx="12">
                  <c:v>6110.1501546276577</c:v>
                </c:pt>
                <c:pt idx="13">
                  <c:v>6070.4421721135031</c:v>
                </c:pt>
                <c:pt idx="14">
                  <c:v>6032.0706875464593</c:v>
                </c:pt>
                <c:pt idx="15">
                  <c:v>5991.8130880703247</c:v>
                </c:pt>
                <c:pt idx="16">
                  <c:v>5948.7508135316821</c:v>
                </c:pt>
                <c:pt idx="17">
                  <c:v>5899.9119369764549</c:v>
                </c:pt>
                <c:pt idx="18">
                  <c:v>5857.8179859158026</c:v>
                </c:pt>
                <c:pt idx="19">
                  <c:v>5805.1037090728332</c:v>
                </c:pt>
                <c:pt idx="20">
                  <c:v>5749.3602929579456</c:v>
                </c:pt>
                <c:pt idx="21">
                  <c:v>5701.4732746613727</c:v>
                </c:pt>
                <c:pt idx="22">
                  <c:v>5653.0659264256328</c:v>
                </c:pt>
                <c:pt idx="23">
                  <c:v>5601.2594235557017</c:v>
                </c:pt>
                <c:pt idx="24">
                  <c:v>5552.3506186603618</c:v>
                </c:pt>
                <c:pt idx="25">
                  <c:v>5505.4715267830934</c:v>
                </c:pt>
                <c:pt idx="26">
                  <c:v>5460.5079484430235</c:v>
                </c:pt>
                <c:pt idx="27">
                  <c:v>5411.9155490689591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B37-4D23-8DD7-38B9CB03C701}"/>
            </c:ext>
          </c:extLst>
        </c:ser>
        <c:ser>
          <c:idx val="9"/>
          <c:order val="6"/>
          <c:tx>
            <c:strRef>
              <c:f>'Capital Costs'!$A$34</c:f>
              <c:strCache>
                <c:ptCount val="1"/>
                <c:pt idx="0">
                  <c:v>o-g-s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Costs'!$B$34:$AC$34</c:f>
              <c:numCache>
                <c:formatCode>0.00</c:formatCode>
                <c:ptCount val="28"/>
                <c:pt idx="0">
                  <c:v>1291.4230469941351</c:v>
                </c:pt>
                <c:pt idx="1">
                  <c:v>1286.133078295049</c:v>
                </c:pt>
                <c:pt idx="2">
                  <c:v>1280.8431095959629</c:v>
                </c:pt>
                <c:pt idx="3">
                  <c:v>1275.5531408968768</c:v>
                </c:pt>
                <c:pt idx="4">
                  <c:v>1270.2631721977909</c:v>
                </c:pt>
                <c:pt idx="5">
                  <c:v>1264.9732034987048</c:v>
                </c:pt>
                <c:pt idx="6">
                  <c:v>1259.6832347996187</c:v>
                </c:pt>
                <c:pt idx="7">
                  <c:v>1254.3932661005326</c:v>
                </c:pt>
                <c:pt idx="8">
                  <c:v>1213.2141042131832</c:v>
                </c:pt>
                <c:pt idx="9">
                  <c:v>1206.6938658772942</c:v>
                </c:pt>
                <c:pt idx="10">
                  <c:v>1182.2534117392986</c:v>
                </c:pt>
                <c:pt idx="11">
                  <c:v>1168.7317246824841</c:v>
                </c:pt>
                <c:pt idx="12">
                  <c:v>1164.7530911106796</c:v>
                </c:pt>
                <c:pt idx="13">
                  <c:v>1156.7249053794601</c:v>
                </c:pt>
                <c:pt idx="14">
                  <c:v>1139.2312021559935</c:v>
                </c:pt>
                <c:pt idx="15">
                  <c:v>1130.065651782455</c:v>
                </c:pt>
                <c:pt idx="16">
                  <c:v>1123.5530144331799</c:v>
                </c:pt>
                <c:pt idx="17">
                  <c:v>1117.5032207011723</c:v>
                </c:pt>
                <c:pt idx="18">
                  <c:v>1112.7333278741714</c:v>
                </c:pt>
                <c:pt idx="19">
                  <c:v>1105.9467814573125</c:v>
                </c:pt>
                <c:pt idx="20">
                  <c:v>1098.5760351019112</c:v>
                </c:pt>
                <c:pt idx="21">
                  <c:v>1092.7018792124572</c:v>
                </c:pt>
                <c:pt idx="22">
                  <c:v>1086.7275435972535</c:v>
                </c:pt>
                <c:pt idx="23">
                  <c:v>1080.096819775823</c:v>
                </c:pt>
                <c:pt idx="24">
                  <c:v>1074.0218750480685</c:v>
                </c:pt>
                <c:pt idx="25">
                  <c:v>1068.3394835434067</c:v>
                </c:pt>
                <c:pt idx="26">
                  <c:v>1063.0309108940692</c:v>
                </c:pt>
                <c:pt idx="27">
                  <c:v>1057.0169858030545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B37-4D23-8DD7-38B9CB03C701}"/>
            </c:ext>
          </c:extLst>
        </c:ser>
        <c:ser>
          <c:idx val="10"/>
          <c:order val="7"/>
          <c:tx>
            <c:strRef>
              <c:f>'Capital Costs'!$A$35</c:f>
              <c:strCache>
                <c:ptCount val="1"/>
                <c:pt idx="0">
                  <c:v>Nuclear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Costs'!$B$35:$AC$35</c:f>
              <c:numCache>
                <c:formatCode>0.00</c:formatCode>
                <c:ptCount val="28"/>
                <c:pt idx="0">
                  <c:v>6774.9856482904352</c:v>
                </c:pt>
                <c:pt idx="1">
                  <c:v>6741.2590761160327</c:v>
                </c:pt>
                <c:pt idx="2">
                  <c:v>6707.5325039416311</c:v>
                </c:pt>
                <c:pt idx="3">
                  <c:v>6673.8059317672287</c:v>
                </c:pt>
                <c:pt idx="4">
                  <c:v>6640.0793595928262</c:v>
                </c:pt>
                <c:pt idx="5">
                  <c:v>6606.3527874184247</c:v>
                </c:pt>
                <c:pt idx="6">
                  <c:v>6572.6262152440222</c:v>
                </c:pt>
                <c:pt idx="7">
                  <c:v>6538.8996430696207</c:v>
                </c:pt>
                <c:pt idx="8">
                  <c:v>6573.9640870108124</c:v>
                </c:pt>
                <c:pt idx="9">
                  <c:v>6553.7120781250151</c:v>
                </c:pt>
                <c:pt idx="10">
                  <c:v>6501.0866668227191</c:v>
                </c:pt>
                <c:pt idx="11">
                  <c:v>6361.6242897989405</c:v>
                </c:pt>
                <c:pt idx="12">
                  <c:v>6361.2522501969497</c:v>
                </c:pt>
                <c:pt idx="13">
                  <c:v>6327.9971187392666</c:v>
                </c:pt>
                <c:pt idx="14">
                  <c:v>6296.1573762666167</c:v>
                </c:pt>
                <c:pt idx="15">
                  <c:v>6262.3726438191989</c:v>
                </c:pt>
                <c:pt idx="16">
                  <c:v>6225.6744613940882</c:v>
                </c:pt>
                <c:pt idx="17">
                  <c:v>6182.9334931303802</c:v>
                </c:pt>
                <c:pt idx="18">
                  <c:v>6147.2690693530903</c:v>
                </c:pt>
                <c:pt idx="19">
                  <c:v>6100.4623808270508</c:v>
                </c:pt>
                <c:pt idx="20">
                  <c:v>6050.4521924929668</c:v>
                </c:pt>
                <c:pt idx="21">
                  <c:v>6008.6983166762211</c:v>
                </c:pt>
                <c:pt idx="22">
                  <c:v>5966.3939067834717</c:v>
                </c:pt>
                <c:pt idx="23">
                  <c:v>5920.4950434070824</c:v>
                </c:pt>
                <c:pt idx="24">
                  <c:v>5877.6502963875728</c:v>
                </c:pt>
                <c:pt idx="25">
                  <c:v>5836.9542884130597</c:v>
                </c:pt>
                <c:pt idx="26">
                  <c:v>5798.2964209574029</c:v>
                </c:pt>
                <c:pt idx="27">
                  <c:v>5755.7861264022358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B37-4D23-8DD7-38B9CB03C701}"/>
            </c:ext>
          </c:extLst>
        </c:ser>
        <c:ser>
          <c:idx val="12"/>
          <c:order val="8"/>
          <c:tx>
            <c:strRef>
              <c:f>'Capital Costs'!$A$38</c:f>
              <c:strCache>
                <c:ptCount val="1"/>
                <c:pt idx="0">
                  <c:v>biopower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Costs'!$B$38:$AC$38</c:f>
              <c:numCache>
                <c:formatCode>0.00</c:formatCode>
                <c:ptCount val="28"/>
                <c:pt idx="0">
                  <c:v>4400.9261007459418</c:v>
                </c:pt>
                <c:pt idx="1">
                  <c:v>4388.064336114101</c:v>
                </c:pt>
                <c:pt idx="2">
                  <c:v>4375.2025714822594</c:v>
                </c:pt>
                <c:pt idx="3">
                  <c:v>4362.3408068504186</c:v>
                </c:pt>
                <c:pt idx="4">
                  <c:v>4349.4790422185779</c:v>
                </c:pt>
                <c:pt idx="5">
                  <c:v>4336.6172775867381</c:v>
                </c:pt>
                <c:pt idx="6">
                  <c:v>4323.7555129548982</c:v>
                </c:pt>
                <c:pt idx="7">
                  <c:v>4310.8937483230566</c:v>
                </c:pt>
                <c:pt idx="8">
                  <c:v>4231.8203793619123</c:v>
                </c:pt>
                <c:pt idx="9">
                  <c:v>4218.5967342888307</c:v>
                </c:pt>
                <c:pt idx="10">
                  <c:v>4190.7902560510865</c:v>
                </c:pt>
                <c:pt idx="11">
                  <c:v>4188.4896766451757</c:v>
                </c:pt>
                <c:pt idx="12">
                  <c:v>4188.4407215950823</c:v>
                </c:pt>
                <c:pt idx="13">
                  <c:v>4166.7415462399822</c:v>
                </c:pt>
                <c:pt idx="14">
                  <c:v>4145.9753062088639</c:v>
                </c:pt>
                <c:pt idx="15">
                  <c:v>4123.9288908383014</c:v>
                </c:pt>
                <c:pt idx="16">
                  <c:v>4099.9635492269581</c:v>
                </c:pt>
                <c:pt idx="17">
                  <c:v>4072.0201480520691</c:v>
                </c:pt>
                <c:pt idx="18">
                  <c:v>4048.7365032036746</c:v>
                </c:pt>
                <c:pt idx="19">
                  <c:v>4018.1142677846528</c:v>
                </c:pt>
                <c:pt idx="20">
                  <c:v>3985.3821816870968</c:v>
                </c:pt>
                <c:pt idx="21">
                  <c:v>3958.0877867115169</c:v>
                </c:pt>
                <c:pt idx="22">
                  <c:v>3930.4304149118857</c:v>
                </c:pt>
                <c:pt idx="23">
                  <c:v>3900.4057116254094</c:v>
                </c:pt>
                <c:pt idx="24">
                  <c:v>3872.3921709942447</c:v>
                </c:pt>
                <c:pt idx="25">
                  <c:v>3845.7950703383108</c:v>
                </c:pt>
                <c:pt idx="26">
                  <c:v>3820.5399436794087</c:v>
                </c:pt>
                <c:pt idx="27">
                  <c:v>3792.7474518667241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B37-4D23-8DD7-38B9CB03C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4720"/>
        <c:axId val="381749816"/>
      </c:scatterChart>
      <c:valAx>
        <c:axId val="381744720"/>
        <c:scaling>
          <c:orientation val="minMax"/>
          <c:max val="2040"/>
        </c:scaling>
        <c:delete val="0"/>
        <c:axPos val="b"/>
        <c:numFmt formatCode="General" sourceLinked="1"/>
        <c:majorTickMark val="out"/>
        <c:minorTickMark val="none"/>
        <c:tickLblPos val="nextTo"/>
        <c:crossAx val="381749816"/>
        <c:crosses val="autoZero"/>
        <c:crossBetween val="midCat"/>
      </c:valAx>
      <c:valAx>
        <c:axId val="381749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Overnight Capital Cost ($/kW)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1744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662655669524986"/>
          <c:y val="2.58584864391951E-2"/>
          <c:w val="0.17824650627870328"/>
          <c:h val="0.9482830271216098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'Capital Costs'!$A$47</c:f>
              <c:strCache>
                <c:ptCount val="1"/>
                <c:pt idx="0">
                  <c:v>Hydro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Costs'!$B$47:$AM$47</c:f>
              <c:numCache>
                <c:formatCode>0%</c:formatCode>
                <c:ptCount val="38"/>
                <c:pt idx="0">
                  <c:v>-4.6999999999999896E-2</c:v>
                </c:pt>
                <c:pt idx="1">
                  <c:v>-4.7000000000000042E-2</c:v>
                </c:pt>
                <c:pt idx="2">
                  <c:v>-4.6999999999999958E-2</c:v>
                </c:pt>
                <c:pt idx="3">
                  <c:v>-4.6999999999999875E-2</c:v>
                </c:pt>
                <c:pt idx="4">
                  <c:v>-4.699999999999991E-2</c:v>
                </c:pt>
                <c:pt idx="5">
                  <c:v>-4.6999999999999938E-2</c:v>
                </c:pt>
                <c:pt idx="6">
                  <c:v>-4.6999999999999972E-2</c:v>
                </c:pt>
                <c:pt idx="7">
                  <c:v>-4.6999999999999882E-2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C-4B85-8A51-10E6A9ACC078}"/>
            </c:ext>
          </c:extLst>
        </c:ser>
        <c:ser>
          <c:idx val="1"/>
          <c:order val="1"/>
          <c:tx>
            <c:strRef>
              <c:f>'Capital Costs'!$A$48</c:f>
              <c:strCache>
                <c:ptCount val="1"/>
                <c:pt idx="0">
                  <c:v>Gas-CT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Costs'!$B$48:$AM$48</c:f>
              <c:numCache>
                <c:formatCode>0%</c:formatCode>
                <c:ptCount val="38"/>
                <c:pt idx="0">
                  <c:v>-4.6999999999999972E-2</c:v>
                </c:pt>
                <c:pt idx="1">
                  <c:v>-4.6999999999999979E-2</c:v>
                </c:pt>
                <c:pt idx="2">
                  <c:v>-4.6999999999999986E-2</c:v>
                </c:pt>
                <c:pt idx="3">
                  <c:v>-4.6999999999999993E-2</c:v>
                </c:pt>
                <c:pt idx="4">
                  <c:v>-4.6999999999999882E-2</c:v>
                </c:pt>
                <c:pt idx="5">
                  <c:v>-4.6999999999999889E-2</c:v>
                </c:pt>
                <c:pt idx="6">
                  <c:v>-4.6999999999999896E-2</c:v>
                </c:pt>
                <c:pt idx="7">
                  <c:v>-4.6999999999999903E-2</c:v>
                </c:pt>
                <c:pt idx="8">
                  <c:v>-4.6999999999999965E-2</c:v>
                </c:pt>
                <c:pt idx="9">
                  <c:v>6.3933806132905147E-4</c:v>
                </c:pt>
                <c:pt idx="10">
                  <c:v>1.296323453688652E-2</c:v>
                </c:pt>
                <c:pt idx="11">
                  <c:v>3.4284649460769649E-4</c:v>
                </c:pt>
                <c:pt idx="12">
                  <c:v>-1.395678304891931E-2</c:v>
                </c:pt>
                <c:pt idx="13">
                  <c:v>-1.8776126750274329E-2</c:v>
                </c:pt>
                <c:pt idx="14">
                  <c:v>-1.7464393446976614E-2</c:v>
                </c:pt>
                <c:pt idx="15">
                  <c:v>-1.6474283644724995E-2</c:v>
                </c:pt>
                <c:pt idx="16">
                  <c:v>-2.0145012684151E-2</c:v>
                </c:pt>
                <c:pt idx="17">
                  <c:v>-1.9991197131736808E-2</c:v>
                </c:pt>
                <c:pt idx="18">
                  <c:v>-2.2983864338395124E-2</c:v>
                </c:pt>
                <c:pt idx="19">
                  <c:v>-2.2162540791813588E-2</c:v>
                </c:pt>
                <c:pt idx="20">
                  <c:v>-2.0788793401658963E-2</c:v>
                </c:pt>
                <c:pt idx="21">
                  <c:v>-2.0799667858039848E-2</c:v>
                </c:pt>
                <c:pt idx="22">
                  <c:v>-2.0715645373815605E-2</c:v>
                </c:pt>
                <c:pt idx="23">
                  <c:v>-2.0011156821098851E-2</c:v>
                </c:pt>
                <c:pt idx="24">
                  <c:v>-1.9825832484826604E-2</c:v>
                </c:pt>
                <c:pt idx="25">
                  <c:v>-2.0014157314075298E-2</c:v>
                </c:pt>
                <c:pt idx="26">
                  <c:v>-2.0563194621698696E-2</c:v>
                </c:pt>
                <c:pt idx="27">
                  <c:v>-2.0437322866732478E-2</c:v>
                </c:pt>
                <c:pt idx="28">
                  <c:v>-1.9592298030911309E-2</c:v>
                </c:pt>
                <c:pt idx="29">
                  <c:v>-1.9921062743042211E-2</c:v>
                </c:pt>
                <c:pt idx="30">
                  <c:v>-2.0418157291318902E-2</c:v>
                </c:pt>
                <c:pt idx="31">
                  <c:v>-2.0846688828406568E-2</c:v>
                </c:pt>
                <c:pt idx="32">
                  <c:v>-2.2104808577265503E-2</c:v>
                </c:pt>
                <c:pt idx="33">
                  <c:v>-2.2385244908633365E-2</c:v>
                </c:pt>
                <c:pt idx="34">
                  <c:v>-2.2032379512365849E-2</c:v>
                </c:pt>
                <c:pt idx="35">
                  <c:v>-2.0590918446938403E-2</c:v>
                </c:pt>
                <c:pt idx="36">
                  <c:v>-1.6449098928723059E-2</c:v>
                </c:pt>
                <c:pt idx="37">
                  <c:v>-5.8038277681245233E-3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3C-4B85-8A51-10E6A9ACC078}"/>
            </c:ext>
          </c:extLst>
        </c:ser>
        <c:ser>
          <c:idx val="2"/>
          <c:order val="2"/>
          <c:tx>
            <c:strRef>
              <c:f>'Capital Costs'!$A$49</c:f>
              <c:strCache>
                <c:ptCount val="1"/>
                <c:pt idx="0">
                  <c:v>Gas-CC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Costs'!$B$49:$AM$49</c:f>
              <c:numCache>
                <c:formatCode>0%</c:formatCode>
                <c:ptCount val="38"/>
                <c:pt idx="0">
                  <c:v>-4.6999999999999917E-2</c:v>
                </c:pt>
                <c:pt idx="1">
                  <c:v>-4.699999999999991E-2</c:v>
                </c:pt>
                <c:pt idx="2">
                  <c:v>-4.6999999999999896E-2</c:v>
                </c:pt>
                <c:pt idx="3">
                  <c:v>-4.6999999999999896E-2</c:v>
                </c:pt>
                <c:pt idx="4">
                  <c:v>-4.6999999999999882E-2</c:v>
                </c:pt>
                <c:pt idx="5">
                  <c:v>-4.6999999999999875E-2</c:v>
                </c:pt>
                <c:pt idx="6">
                  <c:v>-4.6999999999999868E-2</c:v>
                </c:pt>
                <c:pt idx="7">
                  <c:v>-4.6999999999999854E-2</c:v>
                </c:pt>
                <c:pt idx="8">
                  <c:v>-4.6999999999999861E-2</c:v>
                </c:pt>
                <c:pt idx="9">
                  <c:v>6.4090707515307801E-4</c:v>
                </c:pt>
                <c:pt idx="10">
                  <c:v>6.7366116401460664E-3</c:v>
                </c:pt>
                <c:pt idx="11">
                  <c:v>-2.6484374778481235E-3</c:v>
                </c:pt>
                <c:pt idx="12">
                  <c:v>-1.256065080884998E-2</c:v>
                </c:pt>
                <c:pt idx="13">
                  <c:v>-1.556858855729174E-2</c:v>
                </c:pt>
                <c:pt idx="14">
                  <c:v>-1.572928987248632E-2</c:v>
                </c:pt>
                <c:pt idx="15">
                  <c:v>-1.5907837329517695E-2</c:v>
                </c:pt>
                <c:pt idx="16">
                  <c:v>-1.8086668448827788E-2</c:v>
                </c:pt>
                <c:pt idx="17">
                  <c:v>-1.7920946122434993E-2</c:v>
                </c:pt>
                <c:pt idx="18">
                  <c:v>-1.9867003549287787E-2</c:v>
                </c:pt>
                <c:pt idx="19">
                  <c:v>-1.9029195106092835E-2</c:v>
                </c:pt>
                <c:pt idx="20">
                  <c:v>-1.7640391363559604E-2</c:v>
                </c:pt>
                <c:pt idx="21">
                  <c:v>-1.7631834702319799E-2</c:v>
                </c:pt>
                <c:pt idx="22">
                  <c:v>-1.7528271062905321E-2</c:v>
                </c:pt>
                <c:pt idx="23">
                  <c:v>-1.6806103615257785E-2</c:v>
                </c:pt>
                <c:pt idx="24">
                  <c:v>-1.6601360722423873E-2</c:v>
                </c:pt>
                <c:pt idx="25">
                  <c:v>-1.6768587536048988E-2</c:v>
                </c:pt>
                <c:pt idx="26">
                  <c:v>-1.7295359984628254E-2</c:v>
                </c:pt>
                <c:pt idx="27">
                  <c:v>-1.7148981341719018E-2</c:v>
                </c:pt>
                <c:pt idx="28">
                  <c:v>-1.628539888105247E-2</c:v>
                </c:pt>
                <c:pt idx="29">
                  <c:v>-1.6591754296445417E-2</c:v>
                </c:pt>
                <c:pt idx="30">
                  <c:v>-1.7065713666556116E-2</c:v>
                </c:pt>
                <c:pt idx="31">
                  <c:v>-1.7470745247798927E-2</c:v>
                </c:pt>
                <c:pt idx="32">
                  <c:v>-1.8702508295910233E-2</c:v>
                </c:pt>
                <c:pt idx="33">
                  <c:v>-1.8959427259795967E-2</c:v>
                </c:pt>
                <c:pt idx="34">
                  <c:v>-1.8585012995978704E-2</c:v>
                </c:pt>
                <c:pt idx="35">
                  <c:v>-1.7631261100544377E-2</c:v>
                </c:pt>
                <c:pt idx="36">
                  <c:v>-1.5581571034954701E-2</c:v>
                </c:pt>
                <c:pt idx="37">
                  <c:v>-5.153329997860976E-3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3C-4B85-8A51-10E6A9ACC078}"/>
            </c:ext>
          </c:extLst>
        </c:ser>
        <c:ser>
          <c:idx val="3"/>
          <c:order val="3"/>
          <c:tx>
            <c:strRef>
              <c:f>'Capital Costs'!$A$50</c:f>
              <c:strCache>
                <c:ptCount val="1"/>
                <c:pt idx="0">
                  <c:v>Gas-CC-CCS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Costs'!$B$50:$AM$50</c:f>
              <c:numCache>
                <c:formatCode>0%</c:formatCode>
                <c:ptCount val="38"/>
                <c:pt idx="0">
                  <c:v>-4.6999999999999952E-2</c:v>
                </c:pt>
                <c:pt idx="1">
                  <c:v>-4.6999999999999965E-2</c:v>
                </c:pt>
                <c:pt idx="2">
                  <c:v>-4.6999999999999986E-2</c:v>
                </c:pt>
                <c:pt idx="3">
                  <c:v>-4.7E-2</c:v>
                </c:pt>
                <c:pt idx="4">
                  <c:v>-4.6999999999999847E-2</c:v>
                </c:pt>
                <c:pt idx="5">
                  <c:v>-4.6999999999999868E-2</c:v>
                </c:pt>
                <c:pt idx="6">
                  <c:v>-4.6999999999999882E-2</c:v>
                </c:pt>
                <c:pt idx="7">
                  <c:v>-4.6999999999999896E-2</c:v>
                </c:pt>
                <c:pt idx="8">
                  <c:v>-4.6999999999999986E-2</c:v>
                </c:pt>
                <c:pt idx="9">
                  <c:v>6.4172112216280769E-4</c:v>
                </c:pt>
                <c:pt idx="10">
                  <c:v>4.4176557400421616E-3</c:v>
                </c:pt>
                <c:pt idx="11">
                  <c:v>-3.6854883791318177E-3</c:v>
                </c:pt>
                <c:pt idx="12">
                  <c:v>-1.2248945609982163E-2</c:v>
                </c:pt>
                <c:pt idx="13">
                  <c:v>-1.459426252210224E-2</c:v>
                </c:pt>
                <c:pt idx="14">
                  <c:v>-1.5308004556920454E-2</c:v>
                </c:pt>
                <c:pt idx="15">
                  <c:v>-1.59139020736805E-2</c:v>
                </c:pt>
                <c:pt idx="16">
                  <c:v>-1.7562235516175688E-2</c:v>
                </c:pt>
                <c:pt idx="17">
                  <c:v>-1.7397577910649178E-2</c:v>
                </c:pt>
                <c:pt idx="18">
                  <c:v>-1.8983321850629842E-2</c:v>
                </c:pt>
                <c:pt idx="19">
                  <c:v>-1.8148071537737707E-2</c:v>
                </c:pt>
                <c:pt idx="20">
                  <c:v>-1.6762378969615764E-2</c:v>
                </c:pt>
                <c:pt idx="21">
                  <c:v>-1.6756040941797581E-2</c:v>
                </c:pt>
                <c:pt idx="22">
                  <c:v>-1.6655222240957168E-2</c:v>
                </c:pt>
                <c:pt idx="23">
                  <c:v>-1.5935947602514249E-2</c:v>
                </c:pt>
                <c:pt idx="24">
                  <c:v>-1.5733806715289712E-2</c:v>
                </c:pt>
                <c:pt idx="25">
                  <c:v>-1.5903515004348823E-2</c:v>
                </c:pt>
                <c:pt idx="26">
                  <c:v>-1.6432520093612749E-2</c:v>
                </c:pt>
                <c:pt idx="27">
                  <c:v>-1.6289145804739998E-2</c:v>
                </c:pt>
                <c:pt idx="28">
                  <c:v>-1.5429637486775402E-2</c:v>
                </c:pt>
                <c:pt idx="29">
                  <c:v>-1.5738873004571417E-2</c:v>
                </c:pt>
                <c:pt idx="30">
                  <c:v>-1.6215833473029906E-2</c:v>
                </c:pt>
                <c:pt idx="31">
                  <c:v>-1.6624107237319101E-2</c:v>
                </c:pt>
                <c:pt idx="32">
                  <c:v>-1.7858321004914364E-2</c:v>
                </c:pt>
                <c:pt idx="33">
                  <c:v>-1.8118983195809145E-2</c:v>
                </c:pt>
                <c:pt idx="34">
                  <c:v>-1.7748934751041459E-2</c:v>
                </c:pt>
                <c:pt idx="35">
                  <c:v>-1.6949541681691691E-2</c:v>
                </c:pt>
                <c:pt idx="36">
                  <c:v>-1.551960167943876E-2</c:v>
                </c:pt>
                <c:pt idx="37">
                  <c:v>-5.1534587361006566E-3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3C-4B85-8A51-10E6A9ACC078}"/>
            </c:ext>
          </c:extLst>
        </c:ser>
        <c:ser>
          <c:idx val="4"/>
          <c:order val="4"/>
          <c:tx>
            <c:strRef>
              <c:f>'Capital Costs'!$A$51</c:f>
              <c:strCache>
                <c:ptCount val="1"/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Costs'!$B$51:$AM$51</c:f>
              <c:numCache>
                <c:formatCode>0%</c:formatCode>
                <c:ptCount val="3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3C-4B85-8A51-10E6A9ACC078}"/>
            </c:ext>
          </c:extLst>
        </c:ser>
        <c:ser>
          <c:idx val="5"/>
          <c:order val="5"/>
          <c:tx>
            <c:strRef>
              <c:f>'Capital Costs'!$A$52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Costs'!$B$52:$AM$52</c:f>
              <c:numCache>
                <c:formatCode>0%</c:formatCode>
                <c:ptCount val="3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3C-4B85-8A51-10E6A9ACC078}"/>
            </c:ext>
          </c:extLst>
        </c:ser>
        <c:ser>
          <c:idx val="6"/>
          <c:order val="6"/>
          <c:tx>
            <c:strRef>
              <c:f>'Capital Costs'!$A$53</c:f>
              <c:strCache>
                <c:ptCount val="1"/>
                <c:pt idx="0">
                  <c:v>Coal-new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Costs'!$B$53:$AM$53</c:f>
              <c:numCache>
                <c:formatCode>0%</c:formatCode>
                <c:ptCount val="38"/>
                <c:pt idx="0">
                  <c:v>-4.6999999999999938E-2</c:v>
                </c:pt>
                <c:pt idx="1">
                  <c:v>-4.6999999999999965E-2</c:v>
                </c:pt>
                <c:pt idx="2">
                  <c:v>-4.6999999999999875E-2</c:v>
                </c:pt>
                <c:pt idx="3">
                  <c:v>-4.6999999999999903E-2</c:v>
                </c:pt>
                <c:pt idx="4">
                  <c:v>-4.6999999999999938E-2</c:v>
                </c:pt>
                <c:pt idx="5">
                  <c:v>-4.6999999999999965E-2</c:v>
                </c:pt>
                <c:pt idx="6">
                  <c:v>-4.6999999999999875E-2</c:v>
                </c:pt>
                <c:pt idx="7">
                  <c:v>-4.699999999999991E-2</c:v>
                </c:pt>
                <c:pt idx="8">
                  <c:v>-4.6999999999999965E-2</c:v>
                </c:pt>
                <c:pt idx="9">
                  <c:v>6.4246431053099342E-4</c:v>
                </c:pt>
                <c:pt idx="10">
                  <c:v>8.6822903394000411E-4</c:v>
                </c:pt>
                <c:pt idx="11">
                  <c:v>-5.2721385730870422E-3</c:v>
                </c:pt>
                <c:pt idx="12">
                  <c:v>-1.1770211773326352E-2</c:v>
                </c:pt>
                <c:pt idx="13">
                  <c:v>-1.3088909614035886E-2</c:v>
                </c:pt>
                <c:pt idx="14">
                  <c:v>-1.465369038047089E-2</c:v>
                </c:pt>
                <c:pt idx="15">
                  <c:v>-1.5923340896338439E-2</c:v>
                </c:pt>
                <c:pt idx="16">
                  <c:v>-1.673436918298267E-2</c:v>
                </c:pt>
                <c:pt idx="17">
                  <c:v>-1.6563154709780828E-2</c:v>
                </c:pt>
                <c:pt idx="18">
                  <c:v>-1.7561119199812663E-2</c:v>
                </c:pt>
                <c:pt idx="19">
                  <c:v>-1.6715451799810814E-2</c:v>
                </c:pt>
                <c:pt idx="20">
                  <c:v>-1.5319931011622972E-2</c:v>
                </c:pt>
                <c:pt idx="21">
                  <c:v>-1.5301630754653151E-2</c:v>
                </c:pt>
                <c:pt idx="22">
                  <c:v>-1.5188434495998696E-2</c:v>
                </c:pt>
                <c:pt idx="23">
                  <c:v>-1.445775398612204E-2</c:v>
                </c:pt>
                <c:pt idx="24">
                  <c:v>-1.4243200842892855E-2</c:v>
                </c:pt>
                <c:pt idx="25">
                  <c:v>-1.4399870443869095E-2</c:v>
                </c:pt>
                <c:pt idx="26">
                  <c:v>-1.4915056277678793E-2</c:v>
                </c:pt>
                <c:pt idx="27">
                  <c:v>-1.4758629575278912E-2</c:v>
                </c:pt>
                <c:pt idx="28">
                  <c:v>-1.3886861464831635E-2</c:v>
                </c:pt>
                <c:pt idx="29">
                  <c:v>-1.4181668749497951E-2</c:v>
                </c:pt>
                <c:pt idx="30">
                  <c:v>-1.464378609155308E-2</c:v>
                </c:pt>
                <c:pt idx="31">
                  <c:v>-1.50371229610994E-2</c:v>
                </c:pt>
                <c:pt idx="32">
                  <c:v>-1.6254936783221839E-2</c:v>
                </c:pt>
                <c:pt idx="33">
                  <c:v>-1.6500240629145822E-2</c:v>
                </c:pt>
                <c:pt idx="34">
                  <c:v>-1.6115685787745738E-2</c:v>
                </c:pt>
                <c:pt idx="35">
                  <c:v>-1.5598027455287194E-2</c:v>
                </c:pt>
                <c:pt idx="36">
                  <c:v>-1.5394568135896371E-2</c:v>
                </c:pt>
                <c:pt idx="37">
                  <c:v>-5.1533475832326123E-3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3C-4B85-8A51-10E6A9ACC078}"/>
            </c:ext>
          </c:extLst>
        </c:ser>
        <c:ser>
          <c:idx val="7"/>
          <c:order val="7"/>
          <c:tx>
            <c:strRef>
              <c:f>'Capital Costs'!$A$54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Costs'!$B$54:$AM$54</c:f>
              <c:numCache>
                <c:formatCode>0%</c:formatCode>
                <c:ptCount val="3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3C-4B85-8A51-10E6A9ACC078}"/>
            </c:ext>
          </c:extLst>
        </c:ser>
        <c:ser>
          <c:idx val="8"/>
          <c:order val="8"/>
          <c:tx>
            <c:strRef>
              <c:f>'Capital Costs'!$A$55</c:f>
              <c:strCache>
                <c:ptCount val="1"/>
                <c:pt idx="0">
                  <c:v>coal-CCS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Costs'!$B$55:$AM$55</c:f>
              <c:numCache>
                <c:formatCode>0%</c:formatCode>
                <c:ptCount val="38"/>
                <c:pt idx="0">
                  <c:v>-4.6999999999999938E-2</c:v>
                </c:pt>
                <c:pt idx="1">
                  <c:v>-4.6999999999999917E-2</c:v>
                </c:pt>
                <c:pt idx="2">
                  <c:v>-4.6999999999999896E-2</c:v>
                </c:pt>
                <c:pt idx="3">
                  <c:v>-4.6999999999999882E-2</c:v>
                </c:pt>
                <c:pt idx="4">
                  <c:v>-4.6999999999999868E-2</c:v>
                </c:pt>
                <c:pt idx="5">
                  <c:v>-4.6999999999999993E-2</c:v>
                </c:pt>
                <c:pt idx="6">
                  <c:v>-4.6999999999999979E-2</c:v>
                </c:pt>
                <c:pt idx="7">
                  <c:v>-4.6999999999999958E-2</c:v>
                </c:pt>
                <c:pt idx="8">
                  <c:v>-4.6999999999999938E-2</c:v>
                </c:pt>
                <c:pt idx="9">
                  <c:v>6.4249426003963736E-4</c:v>
                </c:pt>
                <c:pt idx="10">
                  <c:v>8.6817501908192853E-4</c:v>
                </c:pt>
                <c:pt idx="11">
                  <c:v>-5.2721547979359268E-3</c:v>
                </c:pt>
                <c:pt idx="12">
                  <c:v>-1.1770388699282135E-2</c:v>
                </c:pt>
                <c:pt idx="13">
                  <c:v>-1.3088932759768001E-2</c:v>
                </c:pt>
                <c:pt idx="14">
                  <c:v>-1.4653737938439141E-2</c:v>
                </c:pt>
                <c:pt idx="15">
                  <c:v>-1.5923299907770718E-2</c:v>
                </c:pt>
                <c:pt idx="16">
                  <c:v>-1.6734354675785337E-2</c:v>
                </c:pt>
                <c:pt idx="17">
                  <c:v>-1.656319328800944E-2</c:v>
                </c:pt>
                <c:pt idx="18">
                  <c:v>-1.7561146577592109E-2</c:v>
                </c:pt>
                <c:pt idx="19">
                  <c:v>-1.6715449005549353E-2</c:v>
                </c:pt>
                <c:pt idx="20">
                  <c:v>-1.531994317775418E-2</c:v>
                </c:pt>
                <c:pt idx="21">
                  <c:v>-1.5301636250518072E-2</c:v>
                </c:pt>
                <c:pt idx="22">
                  <c:v>-1.5188297685375166E-2</c:v>
                </c:pt>
                <c:pt idx="23">
                  <c:v>-1.4457752791902676E-2</c:v>
                </c:pt>
                <c:pt idx="24">
                  <c:v>-1.4243378383068807E-2</c:v>
                </c:pt>
                <c:pt idx="25">
                  <c:v>-1.439995799182083E-2</c:v>
                </c:pt>
                <c:pt idx="26">
                  <c:v>-1.4915031079284137E-2</c:v>
                </c:pt>
                <c:pt idx="27">
                  <c:v>-1.4758701191515788E-2</c:v>
                </c:pt>
                <c:pt idx="28">
                  <c:v>-1.388680119472771E-2</c:v>
                </c:pt>
                <c:pt idx="29">
                  <c:v>-1.4181748862281308E-2</c:v>
                </c:pt>
                <c:pt idx="30">
                  <c:v>-1.4643685554712984E-2</c:v>
                </c:pt>
                <c:pt idx="31">
                  <c:v>-1.5037013872184812E-2</c:v>
                </c:pt>
                <c:pt idx="32">
                  <c:v>-1.625503763042762E-2</c:v>
                </c:pt>
                <c:pt idx="33">
                  <c:v>-1.650026183859702E-2</c:v>
                </c:pt>
                <c:pt idx="34">
                  <c:v>-1.6115517346345733E-2</c:v>
                </c:pt>
                <c:pt idx="35">
                  <c:v>-1.559826638689777E-2</c:v>
                </c:pt>
                <c:pt idx="36">
                  <c:v>-1.5394645115552065E-2</c:v>
                </c:pt>
                <c:pt idx="37">
                  <c:v>-5.1533976454989795E-3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3C-4B85-8A51-10E6A9ACC078}"/>
            </c:ext>
          </c:extLst>
        </c:ser>
        <c:ser>
          <c:idx val="9"/>
          <c:order val="9"/>
          <c:tx>
            <c:strRef>
              <c:f>'Capital Costs'!$A$56</c:f>
              <c:strCache>
                <c:ptCount val="1"/>
                <c:pt idx="0">
                  <c:v>o-g-s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Costs'!$B$56:$AM$56</c:f>
              <c:numCache>
                <c:formatCode>0%</c:formatCode>
                <c:ptCount val="38"/>
                <c:pt idx="0">
                  <c:v>-4.6999999999999889E-2</c:v>
                </c:pt>
                <c:pt idx="1">
                  <c:v>-4.6999999999999882E-2</c:v>
                </c:pt>
                <c:pt idx="2">
                  <c:v>-4.6999999999999882E-2</c:v>
                </c:pt>
                <c:pt idx="3">
                  <c:v>-4.6999999999999875E-2</c:v>
                </c:pt>
                <c:pt idx="4">
                  <c:v>-4.6999999999999868E-2</c:v>
                </c:pt>
                <c:pt idx="5">
                  <c:v>-4.6999999999999861E-2</c:v>
                </c:pt>
                <c:pt idx="6">
                  <c:v>-4.6999999999999861E-2</c:v>
                </c:pt>
                <c:pt idx="7">
                  <c:v>-4.6999999999999854E-2</c:v>
                </c:pt>
                <c:pt idx="8">
                  <c:v>-4.6999999999999993E-2</c:v>
                </c:pt>
                <c:pt idx="9">
                  <c:v>6.3929593092916113E-4</c:v>
                </c:pt>
                <c:pt idx="10">
                  <c:v>1.2963212635669793E-2</c:v>
                </c:pt>
                <c:pt idx="11">
                  <c:v>3.4276998856598275E-4</c:v>
                </c:pt>
                <c:pt idx="12">
                  <c:v>-1.3956852385482041E-2</c:v>
                </c:pt>
                <c:pt idx="13">
                  <c:v>-1.8776229843080628E-2</c:v>
                </c:pt>
                <c:pt idx="14">
                  <c:v>-1.7464421133291382E-2</c:v>
                </c:pt>
                <c:pt idx="15">
                  <c:v>-1.6474247323180272E-2</c:v>
                </c:pt>
                <c:pt idx="16">
                  <c:v>-2.0145080221442457E-2</c:v>
                </c:pt>
                <c:pt idx="17">
                  <c:v>-1.999127950790678E-2</c:v>
                </c:pt>
                <c:pt idx="18">
                  <c:v>-2.2983826327451884E-2</c:v>
                </c:pt>
                <c:pt idx="19">
                  <c:v>-2.2162570527844372E-2</c:v>
                </c:pt>
                <c:pt idx="20">
                  <c:v>-2.0788817035565187E-2</c:v>
                </c:pt>
                <c:pt idx="21">
                  <c:v>-2.0799645662369134E-2</c:v>
                </c:pt>
                <c:pt idx="22">
                  <c:v>-2.0715679164669501E-2</c:v>
                </c:pt>
                <c:pt idx="23">
                  <c:v>-2.0011083978232716E-2</c:v>
                </c:pt>
                <c:pt idx="24">
                  <c:v>-1.9825925349273067E-2</c:v>
                </c:pt>
                <c:pt idx="25">
                  <c:v>-2.0014216569395348E-2</c:v>
                </c:pt>
                <c:pt idx="26">
                  <c:v>-2.0563233465798057E-2</c:v>
                </c:pt>
                <c:pt idx="27">
                  <c:v>-2.0437323666700223E-2</c:v>
                </c:pt>
                <c:pt idx="28">
                  <c:v>-1.9592318360321648E-2</c:v>
                </c:pt>
                <c:pt idx="29">
                  <c:v>-1.9921042032688824E-2</c:v>
                </c:pt>
                <c:pt idx="30">
                  <c:v>-2.0418173533432931E-2</c:v>
                </c:pt>
                <c:pt idx="31">
                  <c:v>-2.0846664001711708E-2</c:v>
                </c:pt>
                <c:pt idx="32">
                  <c:v>-2.2104820988660647E-2</c:v>
                </c:pt>
                <c:pt idx="33">
                  <c:v>-2.2385207233044609E-2</c:v>
                </c:pt>
                <c:pt idx="34">
                  <c:v>-2.2032380684882766E-2</c:v>
                </c:pt>
                <c:pt idx="35">
                  <c:v>-2.0590919700809791E-2</c:v>
                </c:pt>
                <c:pt idx="36">
                  <c:v>-1.6449131335197157E-2</c:v>
                </c:pt>
                <c:pt idx="37">
                  <c:v>-5.8038072126077849E-3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3C-4B85-8A51-10E6A9ACC078}"/>
            </c:ext>
          </c:extLst>
        </c:ser>
        <c:ser>
          <c:idx val="10"/>
          <c:order val="10"/>
          <c:tx>
            <c:strRef>
              <c:f>'Capital Costs'!$A$57</c:f>
              <c:strCache>
                <c:ptCount val="1"/>
                <c:pt idx="0">
                  <c:v>Nuclear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Costs'!$B$57:$AM$57</c:f>
              <c:numCache>
                <c:formatCode>0%</c:formatCode>
                <c:ptCount val="38"/>
                <c:pt idx="0">
                  <c:v>-4.6999999999999945E-2</c:v>
                </c:pt>
                <c:pt idx="1">
                  <c:v>-4.6999999999999889E-2</c:v>
                </c:pt>
                <c:pt idx="2">
                  <c:v>-4.6999999999999972E-2</c:v>
                </c:pt>
                <c:pt idx="3">
                  <c:v>-4.6999999999999917E-2</c:v>
                </c:pt>
                <c:pt idx="4">
                  <c:v>-4.6999999999999861E-2</c:v>
                </c:pt>
                <c:pt idx="5">
                  <c:v>-4.6999999999999952E-2</c:v>
                </c:pt>
                <c:pt idx="6">
                  <c:v>-4.6999999999999896E-2</c:v>
                </c:pt>
                <c:pt idx="7">
                  <c:v>-4.6999999999999986E-2</c:v>
                </c:pt>
                <c:pt idx="8">
                  <c:v>-4.6999999999999924E-2</c:v>
                </c:pt>
                <c:pt idx="9">
                  <c:v>6.4246190239153486E-4</c:v>
                </c:pt>
                <c:pt idx="10">
                  <c:v>2.3534660156209683E-3</c:v>
                </c:pt>
                <c:pt idx="11">
                  <c:v>-5.9430885855254641E-3</c:v>
                </c:pt>
                <c:pt idx="12">
                  <c:v>-1.2447862400552031E-2</c:v>
                </c:pt>
                <c:pt idx="13">
                  <c:v>-1.3769863269129748E-2</c:v>
                </c:pt>
                <c:pt idx="14">
                  <c:v>-1.5338062479929852E-2</c:v>
                </c:pt>
                <c:pt idx="15">
                  <c:v>-1.6611048932765264E-2</c:v>
                </c:pt>
                <c:pt idx="16">
                  <c:v>-1.7425275715761118E-2</c:v>
                </c:pt>
                <c:pt idx="17">
                  <c:v>-1.7256467780284196E-2</c:v>
                </c:pt>
                <c:pt idx="18">
                  <c:v>-1.8257570934674207E-2</c:v>
                </c:pt>
                <c:pt idx="19">
                  <c:v>-1.7414122120997053E-2</c:v>
                </c:pt>
                <c:pt idx="20">
                  <c:v>-1.6020319209875133E-2</c:v>
                </c:pt>
                <c:pt idx="21">
                  <c:v>-1.6004565861025406E-2</c:v>
                </c:pt>
                <c:pt idx="22">
                  <c:v>-1.5893952641145619E-2</c:v>
                </c:pt>
                <c:pt idx="23">
                  <c:v>-1.5165639597033577E-2</c:v>
                </c:pt>
                <c:pt idx="24">
                  <c:v>-1.495383908510829E-2</c:v>
                </c:pt>
                <c:pt idx="25">
                  <c:v>-1.5113334167847582E-2</c:v>
                </c:pt>
                <c:pt idx="26">
                  <c:v>-1.5631867324372162E-2</c:v>
                </c:pt>
                <c:pt idx="27">
                  <c:v>-1.5478197738287101E-2</c:v>
                </c:pt>
                <c:pt idx="28">
                  <c:v>-1.4608623939210615E-2</c:v>
                </c:pt>
                <c:pt idx="29">
                  <c:v>-1.4906976995421482E-2</c:v>
                </c:pt>
                <c:pt idx="30">
                  <c:v>-1.537219435329908E-2</c:v>
                </c:pt>
                <c:pt idx="31">
                  <c:v>-1.5769083024369399E-2</c:v>
                </c:pt>
                <c:pt idx="32">
                  <c:v>-1.6990969477081896E-2</c:v>
                </c:pt>
                <c:pt idx="33">
                  <c:v>-1.7239562890683745E-2</c:v>
                </c:pt>
                <c:pt idx="34">
                  <c:v>-1.6857897441675908E-2</c:v>
                </c:pt>
                <c:pt idx="35">
                  <c:v>-1.6343397415326786E-2</c:v>
                </c:pt>
                <c:pt idx="36">
                  <c:v>-1.6143214763109308E-2</c:v>
                </c:pt>
                <c:pt idx="37">
                  <c:v>-5.8976151402170881E-3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3C-4B85-8A51-10E6A9ACC078}"/>
            </c:ext>
          </c:extLst>
        </c:ser>
        <c:ser>
          <c:idx val="11"/>
          <c:order val="11"/>
          <c:tx>
            <c:strRef>
              <c:f>'Capital Costs'!$A$58</c:f>
              <c:strCache>
                <c:ptCount val="1"/>
                <c:pt idx="0">
                  <c:v>geothermal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Costs'!$B$58:$AM$58</c:f>
              <c:numCache>
                <c:formatCode>0%</c:formatCode>
                <c:ptCount val="38"/>
                <c:pt idx="0">
                  <c:v>-4.6999999999999875E-2</c:v>
                </c:pt>
                <c:pt idx="1">
                  <c:v>-4.6999999999999917E-2</c:v>
                </c:pt>
                <c:pt idx="2">
                  <c:v>-4.6999999999999958E-2</c:v>
                </c:pt>
                <c:pt idx="3">
                  <c:v>-4.7E-2</c:v>
                </c:pt>
                <c:pt idx="4">
                  <c:v>-4.6999999999999882E-2</c:v>
                </c:pt>
                <c:pt idx="5">
                  <c:v>-4.6999999999999931E-2</c:v>
                </c:pt>
                <c:pt idx="6">
                  <c:v>-4.6999999999999972E-2</c:v>
                </c:pt>
                <c:pt idx="7">
                  <c:v>-4.6999999999999847E-2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3C-4B85-8A51-10E6A9ACC078}"/>
            </c:ext>
          </c:extLst>
        </c:ser>
        <c:ser>
          <c:idx val="12"/>
          <c:order val="12"/>
          <c:tx>
            <c:strRef>
              <c:f>'Capital Costs'!$A$59</c:f>
              <c:strCache>
                <c:ptCount val="1"/>
                <c:pt idx="0">
                  <c:v>biopower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Costs'!$B$59:$AM$59</c:f>
              <c:numCache>
                <c:formatCode>0%</c:formatCode>
                <c:ptCount val="38"/>
                <c:pt idx="0">
                  <c:v>-4.699999999999991E-2</c:v>
                </c:pt>
                <c:pt idx="1">
                  <c:v>-4.7000000000000007E-2</c:v>
                </c:pt>
                <c:pt idx="2">
                  <c:v>-4.6999999999999889E-2</c:v>
                </c:pt>
                <c:pt idx="3">
                  <c:v>-4.6999999999999986E-2</c:v>
                </c:pt>
                <c:pt idx="4">
                  <c:v>-4.6999999999999854E-2</c:v>
                </c:pt>
                <c:pt idx="5">
                  <c:v>-4.6999999999999945E-2</c:v>
                </c:pt>
                <c:pt idx="6">
                  <c:v>-4.7000000000000035E-2</c:v>
                </c:pt>
                <c:pt idx="7">
                  <c:v>-4.699999999999991E-2</c:v>
                </c:pt>
                <c:pt idx="8">
                  <c:v>-4.6999999999999861E-2</c:v>
                </c:pt>
                <c:pt idx="9">
                  <c:v>6.0584338734746823E-4</c:v>
                </c:pt>
                <c:pt idx="10">
                  <c:v>7.8070595742208012E-4</c:v>
                </c:pt>
                <c:pt idx="11">
                  <c:v>-5.0972138681039557E-3</c:v>
                </c:pt>
                <c:pt idx="12">
                  <c:v>-1.1738314205684837E-2</c:v>
                </c:pt>
                <c:pt idx="13">
                  <c:v>-1.3056895948944497E-2</c:v>
                </c:pt>
                <c:pt idx="14">
                  <c:v>-1.4621561709337446E-2</c:v>
                </c:pt>
                <c:pt idx="15">
                  <c:v>-1.5891233913601928E-2</c:v>
                </c:pt>
                <c:pt idx="16">
                  <c:v>-1.6702269172192752E-2</c:v>
                </c:pt>
                <c:pt idx="17">
                  <c:v>-1.6531163228604991E-2</c:v>
                </c:pt>
                <c:pt idx="18">
                  <c:v>-1.7528972928486604E-2</c:v>
                </c:pt>
                <c:pt idx="19">
                  <c:v>-1.6683432372698766E-2</c:v>
                </c:pt>
                <c:pt idx="20">
                  <c:v>-1.5288131717842657E-2</c:v>
                </c:pt>
                <c:pt idx="21">
                  <c:v>-1.5269755406777292E-2</c:v>
                </c:pt>
                <c:pt idx="22">
                  <c:v>-1.5156446768754318E-2</c:v>
                </c:pt>
                <c:pt idx="23">
                  <c:v>-1.4426039095596557E-2</c:v>
                </c:pt>
                <c:pt idx="24">
                  <c:v>-1.4211520684216172E-2</c:v>
                </c:pt>
                <c:pt idx="25">
                  <c:v>-1.4368183221516999E-2</c:v>
                </c:pt>
                <c:pt idx="26">
                  <c:v>-1.488340653264022E-2</c:v>
                </c:pt>
                <c:pt idx="27">
                  <c:v>-1.472699847684824E-2</c:v>
                </c:pt>
                <c:pt idx="28">
                  <c:v>-1.3855213543982395E-2</c:v>
                </c:pt>
                <c:pt idx="29">
                  <c:v>-1.4150182173144071E-2</c:v>
                </c:pt>
                <c:pt idx="30">
                  <c:v>-1.4612212306235699E-2</c:v>
                </c:pt>
                <c:pt idx="31">
                  <c:v>-1.5005525923993349E-2</c:v>
                </c:pt>
                <c:pt idx="32">
                  <c:v>-1.6223333863518138E-2</c:v>
                </c:pt>
                <c:pt idx="33">
                  <c:v>-1.6468662009960919E-2</c:v>
                </c:pt>
                <c:pt idx="34">
                  <c:v>-1.6084182107215347E-2</c:v>
                </c:pt>
                <c:pt idx="35">
                  <c:v>-1.5566779013011468E-2</c:v>
                </c:pt>
                <c:pt idx="36">
                  <c:v>-1.5363339889854092E-2</c:v>
                </c:pt>
                <c:pt idx="37">
                  <c:v>-5.1223301170825498E-3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3C-4B85-8A51-10E6A9ACC078}"/>
            </c:ext>
          </c:extLst>
        </c:ser>
        <c:ser>
          <c:idx val="13"/>
          <c:order val="13"/>
          <c:tx>
            <c:strRef>
              <c:f>'Capital Costs'!$A$60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Costs'!$B$60:$AM$60</c:f>
              <c:numCache>
                <c:formatCode>0%</c:formatCode>
                <c:ptCount val="3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3C-4B85-8A51-10E6A9ACC078}"/>
            </c:ext>
          </c:extLst>
        </c:ser>
        <c:ser>
          <c:idx val="14"/>
          <c:order val="14"/>
          <c:tx>
            <c:strRef>
              <c:f>'Capital Costs'!$A$61</c:f>
              <c:strCache>
                <c:ptCount val="1"/>
                <c:pt idx="0">
                  <c:v>CofireNew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Costs'!$B$61:$AM$61</c:f>
              <c:numCache>
                <c:formatCode>0%</c:formatCode>
                <c:ptCount val="38"/>
                <c:pt idx="0">
                  <c:v>-4.699999999999991E-2</c:v>
                </c:pt>
                <c:pt idx="1">
                  <c:v>-4.6999999999999827E-2</c:v>
                </c:pt>
                <c:pt idx="2">
                  <c:v>-4.6999999999999965E-2</c:v>
                </c:pt>
                <c:pt idx="3">
                  <c:v>-4.6999999999999882E-2</c:v>
                </c:pt>
                <c:pt idx="4">
                  <c:v>-4.7000000000000021E-2</c:v>
                </c:pt>
                <c:pt idx="5">
                  <c:v>-4.6999999999999938E-2</c:v>
                </c:pt>
                <c:pt idx="6">
                  <c:v>-4.6999999999999972E-2</c:v>
                </c:pt>
                <c:pt idx="7">
                  <c:v>-4.6999999999999882E-2</c:v>
                </c:pt>
                <c:pt idx="8">
                  <c:v>-4.7000000000000014E-2</c:v>
                </c:pt>
                <c:pt idx="9">
                  <c:v>-3.0376523787676375E-3</c:v>
                </c:pt>
                <c:pt idx="10">
                  <c:v>-2.8510462964087928E-3</c:v>
                </c:pt>
                <c:pt idx="11">
                  <c:v>-8.5334790379325894E-3</c:v>
                </c:pt>
                <c:pt idx="12">
                  <c:v>-1.4540047004083699E-2</c:v>
                </c:pt>
                <c:pt idx="13">
                  <c:v>-1.5771008705600383E-2</c:v>
                </c:pt>
                <c:pt idx="14">
                  <c:v>-1.7227418694826305E-2</c:v>
                </c:pt>
                <c:pt idx="15">
                  <c:v>-1.8411010764630736E-2</c:v>
                </c:pt>
                <c:pt idx="16">
                  <c:v>-1.9171869337415343E-2</c:v>
                </c:pt>
                <c:pt idx="17">
                  <c:v>-1.9029461826063118E-2</c:v>
                </c:pt>
                <c:pt idx="18">
                  <c:v>-1.9961266139507033E-2</c:v>
                </c:pt>
                <c:pt idx="19">
                  <c:v>-1.919986079735863E-2</c:v>
                </c:pt>
                <c:pt idx="20">
                  <c:v>-1.7935041232624665E-2</c:v>
                </c:pt>
                <c:pt idx="21">
                  <c:v>-1.7934687023716707E-2</c:v>
                </c:pt>
                <c:pt idx="22">
                  <c:v>-1.784759383992221E-2</c:v>
                </c:pt>
                <c:pt idx="23">
                  <c:v>-1.7195293114722721E-2</c:v>
                </c:pt>
                <c:pt idx="24">
                  <c:v>-1.7016425814323163E-2</c:v>
                </c:pt>
                <c:pt idx="25">
                  <c:v>-1.7177612303971683E-2</c:v>
                </c:pt>
                <c:pt idx="26">
                  <c:v>-1.7666627180160106E-2</c:v>
                </c:pt>
                <c:pt idx="27">
                  <c:v>-1.7541660178331867E-2</c:v>
                </c:pt>
                <c:pt idx="28">
                  <c:v>-1.6763920444632503E-2</c:v>
                </c:pt>
                <c:pt idx="29">
                  <c:v>-1.7051968675511706E-2</c:v>
                </c:pt>
                <c:pt idx="30">
                  <c:v>-1.7492506955678139E-2</c:v>
                </c:pt>
                <c:pt idx="31">
                  <c:v>-1.7870070852831113E-2</c:v>
                </c:pt>
                <c:pt idx="32">
                  <c:v>-1.89983290165445E-2</c:v>
                </c:pt>
                <c:pt idx="33">
                  <c:v>-1.9240230016741907E-2</c:v>
                </c:pt>
                <c:pt idx="34">
                  <c:v>-1.8909196824460444E-2</c:v>
                </c:pt>
                <c:pt idx="35">
                  <c:v>-1.8457920347925042E-2</c:v>
                </c:pt>
                <c:pt idx="36">
                  <c:v>-1.8292948558930152E-2</c:v>
                </c:pt>
                <c:pt idx="37">
                  <c:v>-9.0176944569338689E-3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3C-4B85-8A51-10E6A9ACC078}"/>
            </c:ext>
          </c:extLst>
        </c:ser>
        <c:ser>
          <c:idx val="15"/>
          <c:order val="15"/>
          <c:tx>
            <c:strRef>
              <c:f>'Capital Costs'!$A$62</c:f>
              <c:strCache>
                <c:ptCount val="1"/>
                <c:pt idx="0">
                  <c:v>lfill-gas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Costs'!$B$62:$AM$62</c:f>
              <c:numCache>
                <c:formatCode>0%</c:formatCode>
                <c:ptCount val="38"/>
                <c:pt idx="0">
                  <c:v>-4.6999999999999979E-2</c:v>
                </c:pt>
                <c:pt idx="1">
                  <c:v>-4.6999999999999896E-2</c:v>
                </c:pt>
                <c:pt idx="2">
                  <c:v>-4.6999999999999952E-2</c:v>
                </c:pt>
                <c:pt idx="3">
                  <c:v>-4.6999999999999868E-2</c:v>
                </c:pt>
                <c:pt idx="4">
                  <c:v>-4.6999999999999917E-2</c:v>
                </c:pt>
                <c:pt idx="5">
                  <c:v>-4.6999999999999972E-2</c:v>
                </c:pt>
                <c:pt idx="6">
                  <c:v>-4.6999999999999889E-2</c:v>
                </c:pt>
                <c:pt idx="7">
                  <c:v>-4.6999999999999938E-2</c:v>
                </c:pt>
                <c:pt idx="8">
                  <c:v>-4.6999999999999972E-2</c:v>
                </c:pt>
                <c:pt idx="9">
                  <c:v>6.4252388517530197E-4</c:v>
                </c:pt>
                <c:pt idx="10">
                  <c:v>8.6831129740833134E-4</c:v>
                </c:pt>
                <c:pt idx="11">
                  <c:v>-5.2722304206574049E-3</c:v>
                </c:pt>
                <c:pt idx="12">
                  <c:v>-1.1770366541250942E-2</c:v>
                </c:pt>
                <c:pt idx="13">
                  <c:v>-1.3088899428987453E-2</c:v>
                </c:pt>
                <c:pt idx="14">
                  <c:v>-1.465371435787045E-2</c:v>
                </c:pt>
                <c:pt idx="15">
                  <c:v>-1.5923357219158253E-2</c:v>
                </c:pt>
                <c:pt idx="16">
                  <c:v>-1.6734354211038797E-2</c:v>
                </c:pt>
                <c:pt idx="17">
                  <c:v>-1.6563192760256036E-2</c:v>
                </c:pt>
                <c:pt idx="18">
                  <c:v>-1.756114424660097E-2</c:v>
                </c:pt>
                <c:pt idx="19">
                  <c:v>-1.6715386799786014E-2</c:v>
                </c:pt>
                <c:pt idx="20">
                  <c:v>-1.5320006047895168E-2</c:v>
                </c:pt>
                <c:pt idx="21">
                  <c:v>-1.5301588549796363E-2</c:v>
                </c:pt>
                <c:pt idx="22">
                  <c:v>-1.518830195796177E-2</c:v>
                </c:pt>
                <c:pt idx="23">
                  <c:v>-1.4457858933692884E-2</c:v>
                </c:pt>
                <c:pt idx="24">
                  <c:v>-1.4243272675620497E-2</c:v>
                </c:pt>
                <c:pt idx="25">
                  <c:v>-1.4399922016963537E-2</c:v>
                </c:pt>
                <c:pt idx="26">
                  <c:v>-1.491509777730291E-2</c:v>
                </c:pt>
                <c:pt idx="27">
                  <c:v>-1.4758688460816714E-2</c:v>
                </c:pt>
                <c:pt idx="28">
                  <c:v>-1.3886786069610706E-2</c:v>
                </c:pt>
                <c:pt idx="29">
                  <c:v>-1.4181759574077014E-2</c:v>
                </c:pt>
                <c:pt idx="30">
                  <c:v>-1.4643685221752916E-2</c:v>
                </c:pt>
                <c:pt idx="31">
                  <c:v>-1.5037139869811492E-2</c:v>
                </c:pt>
                <c:pt idx="32">
                  <c:v>-1.6255011809774227E-2</c:v>
                </c:pt>
                <c:pt idx="33">
                  <c:v>-1.6500209067494213E-2</c:v>
                </c:pt>
                <c:pt idx="34">
                  <c:v>-1.6115605079651728E-2</c:v>
                </c:pt>
                <c:pt idx="35">
                  <c:v>-1.5598140898093155E-2</c:v>
                </c:pt>
                <c:pt idx="36">
                  <c:v>-1.5394596011687941E-2</c:v>
                </c:pt>
                <c:pt idx="37">
                  <c:v>-5.1533061047829374E-3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3C-4B85-8A51-10E6A9ACC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8640"/>
        <c:axId val="381749424"/>
      </c:scatterChart>
      <c:valAx>
        <c:axId val="38174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749424"/>
        <c:crosses val="autoZero"/>
        <c:crossBetween val="midCat"/>
      </c:valAx>
      <c:valAx>
        <c:axId val="38174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74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7"/>
          <c:order val="2"/>
          <c:tx>
            <c:strRef>
              <c:f>'Capital Costs'!$A$5</c:f>
              <c:strCache>
                <c:ptCount val="1"/>
                <c:pt idx="0">
                  <c:v>Gas-CT</c:v>
                </c:pt>
              </c:strCache>
            </c:strRef>
          </c:tx>
          <c:spPr>
            <a:ln>
              <a:solidFill>
                <a:schemeClr val="accent2">
                  <a:shade val="53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Costs'!$B$5:$AC$5</c:f>
              <c:numCache>
                <c:formatCode>General</c:formatCode>
                <c:ptCount val="28"/>
                <c:pt idx="0">
                  <c:v>994.86865501692046</c:v>
                </c:pt>
                <c:pt idx="1">
                  <c:v>990.24368818386142</c:v>
                </c:pt>
                <c:pt idx="2">
                  <c:v>985.61872135080239</c:v>
                </c:pt>
                <c:pt idx="3">
                  <c:v>980.99375451774335</c:v>
                </c:pt>
                <c:pt idx="4">
                  <c:v>976.36878768468432</c:v>
                </c:pt>
                <c:pt idx="5">
                  <c:v>971.74382085162529</c:v>
                </c:pt>
                <c:pt idx="6">
                  <c:v>967.11885401856625</c:v>
                </c:pt>
                <c:pt idx="7">
                  <c:v>962.49388718550722</c:v>
                </c:pt>
                <c:pt idx="8">
                  <c:v>930.89841355258977</c:v>
                </c:pt>
                <c:pt idx="9">
                  <c:v>970.03271724660351</c:v>
                </c:pt>
                <c:pt idx="10">
                  <c:v>962.25192347641803</c:v>
                </c:pt>
                <c:pt idx="11">
                  <c:v>939.23716654983571</c:v>
                </c:pt>
                <c:pt idx="12">
                  <c:v>922.83899890265775</c:v>
                </c:pt>
                <c:pt idx="13">
                  <c:v>912.14280359491659</c:v>
                </c:pt>
                <c:pt idx="14">
                  <c:v>899.50621597109568</c:v>
                </c:pt>
                <c:pt idx="15">
                  <c:v>893.13853426535115</c:v>
                </c:pt>
                <c:pt idx="16">
                  <c:v>884.79605502481775</c:v>
                </c:pt>
                <c:pt idx="17">
                  <c:v>880.16454600484258</c:v>
                </c:pt>
                <c:pt idx="18">
                  <c:v>873.84391059559312</c:v>
                </c:pt>
                <c:pt idx="19">
                  <c:v>869.21217313041723</c:v>
                </c:pt>
                <c:pt idx="20">
                  <c:v>864.58117935049142</c:v>
                </c:pt>
                <c:pt idx="21">
                  <c:v>859.94903971749864</c:v>
                </c:pt>
                <c:pt idx="22">
                  <c:v>855.3176579808304</c:v>
                </c:pt>
                <c:pt idx="23">
                  <c:v>850.68607877836223</c:v>
                </c:pt>
                <c:pt idx="24">
                  <c:v>846.05506398400632</c:v>
                </c:pt>
                <c:pt idx="25">
                  <c:v>841.42344101819208</c:v>
                </c:pt>
                <c:pt idx="26">
                  <c:v>836.79199777979341</c:v>
                </c:pt>
                <c:pt idx="27">
                  <c:v>832.16062278528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42-4C4F-88F6-2F36BB1BCF01}"/>
            </c:ext>
          </c:extLst>
        </c:ser>
        <c:ser>
          <c:idx val="18"/>
          <c:order val="3"/>
          <c:tx>
            <c:strRef>
              <c:f>'Capital Costs'!$A$6</c:f>
              <c:strCache>
                <c:ptCount val="1"/>
                <c:pt idx="0">
                  <c:v>Gas-CC</c:v>
                </c:pt>
              </c:strCache>
            </c:strRef>
          </c:tx>
          <c:spPr>
            <a:ln>
              <a:solidFill>
                <a:schemeClr val="accent3">
                  <a:shade val="53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Costs'!$B$6:$AC$6</c:f>
              <c:numCache>
                <c:formatCode>General</c:formatCode>
                <c:ptCount val="28"/>
                <c:pt idx="0">
                  <c:v>1131.2356341020231</c:v>
                </c:pt>
                <c:pt idx="1">
                  <c:v>1120.1698182895339</c:v>
                </c:pt>
                <c:pt idx="2">
                  <c:v>1109.1040024770448</c:v>
                </c:pt>
                <c:pt idx="3">
                  <c:v>1098.0381866645555</c:v>
                </c:pt>
                <c:pt idx="4">
                  <c:v>1086.9723708520664</c:v>
                </c:pt>
                <c:pt idx="5">
                  <c:v>1075.9065550395771</c:v>
                </c:pt>
                <c:pt idx="6">
                  <c:v>1064.8407392270879</c:v>
                </c:pt>
                <c:pt idx="7">
                  <c:v>1053.7749234145988</c:v>
                </c:pt>
                <c:pt idx="8">
                  <c:v>1010.5183628711051</c:v>
                </c:pt>
                <c:pt idx="9">
                  <c:v>1055.9005109489731</c:v>
                </c:pt>
                <c:pt idx="10">
                  <c:v>1050.0214336355373</c:v>
                </c:pt>
                <c:pt idx="11">
                  <c:v>1035.9007203409417</c:v>
                </c:pt>
                <c:pt idx="12">
                  <c:v>1025.7714692966754</c:v>
                </c:pt>
                <c:pt idx="13">
                  <c:v>1018.3152396465058</c:v>
                </c:pt>
                <c:pt idx="14">
                  <c:v>1009.8089655016553</c:v>
                </c:pt>
                <c:pt idx="15">
                  <c:v>1004.6941312850909</c:v>
                </c:pt>
                <c:pt idx="16">
                  <c:v>998.51098281651934</c:v>
                </c:pt>
                <c:pt idx="17">
                  <c:v>994.33514073849869</c:v>
                </c:pt>
                <c:pt idx="18">
                  <c:v>989.24548772358457</c:v>
                </c:pt>
                <c:pt idx="19">
                  <c:v>985.06955921459462</c:v>
                </c:pt>
                <c:pt idx="20">
                  <c:v>980.89426606587017</c:v>
                </c:pt>
                <c:pt idx="21">
                  <c:v>976.71773597072797</c:v>
                </c:pt>
                <c:pt idx="22">
                  <c:v>972.54222067896274</c:v>
                </c:pt>
                <c:pt idx="23">
                  <c:v>968.36639789636354</c:v>
                </c:pt>
                <c:pt idx="24">
                  <c:v>964.19113590974359</c:v>
                </c:pt>
                <c:pt idx="25">
                  <c:v>960.01527870844757</c:v>
                </c:pt>
                <c:pt idx="26">
                  <c:v>955.83957080865719</c:v>
                </c:pt>
                <c:pt idx="27">
                  <c:v>951.66403497889394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42-4C4F-88F6-2F36BB1BCF01}"/>
            </c:ext>
          </c:extLst>
        </c:ser>
        <c:ser>
          <c:idx val="1"/>
          <c:order val="0"/>
          <c:tx>
            <c:strRef>
              <c:f>'Capital Costs'!$A$26</c:f>
              <c:strCache>
                <c:ptCount val="1"/>
                <c:pt idx="0">
                  <c:v>Gas-CT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Costs'!$B$26:$AC$26</c:f>
              <c:numCache>
                <c:formatCode>0.00</c:formatCode>
                <c:ptCount val="28"/>
                <c:pt idx="0">
                  <c:v>1041.6274818027157</c:v>
                </c:pt>
                <c:pt idx="1">
                  <c:v>1036.7851415285029</c:v>
                </c:pt>
                <c:pt idx="2">
                  <c:v>1031.9428012542901</c:v>
                </c:pt>
                <c:pt idx="3">
                  <c:v>1027.1004609800773</c:v>
                </c:pt>
                <c:pt idx="4">
                  <c:v>1022.2581207058644</c:v>
                </c:pt>
                <c:pt idx="5">
                  <c:v>1017.4157804316516</c:v>
                </c:pt>
                <c:pt idx="6">
                  <c:v>1012.5734401574388</c:v>
                </c:pt>
                <c:pt idx="7">
                  <c:v>1007.731099883226</c:v>
                </c:pt>
                <c:pt idx="8">
                  <c:v>974.65063898956146</c:v>
                </c:pt>
                <c:pt idx="9">
                  <c:v>969.41253840973332</c:v>
                </c:pt>
                <c:pt idx="10">
                  <c:v>949.77802610882304</c:v>
                </c:pt>
                <c:pt idx="11">
                  <c:v>938.91515237967883</c:v>
                </c:pt>
                <c:pt idx="12">
                  <c:v>935.71886259942403</c:v>
                </c:pt>
                <c:pt idx="13">
                  <c:v>929.26931248956532</c:v>
                </c:pt>
                <c:pt idx="14">
                  <c:v>915.21554643481602</c:v>
                </c:pt>
                <c:pt idx="15">
                  <c:v>907.85235181287248</c:v>
                </c:pt>
                <c:pt idx="16">
                  <c:v>902.62028277617947</c:v>
                </c:pt>
                <c:pt idx="17">
                  <c:v>897.76008895239102</c:v>
                </c:pt>
                <c:pt idx="18">
                  <c:v>893.9282204896549</c:v>
                </c:pt>
                <c:pt idx="19">
                  <c:v>888.47612337416103</c:v>
                </c:pt>
                <c:pt idx="20">
                  <c:v>882.55477886697145</c:v>
                </c:pt>
                <c:pt idx="21">
                  <c:v>877.83569411846292</c:v>
                </c:pt>
                <c:pt idx="22">
                  <c:v>873.03611526552379</c:v>
                </c:pt>
                <c:pt idx="23">
                  <c:v>867.70929130632169</c:v>
                </c:pt>
                <c:pt idx="24">
                  <c:v>862.82880995549249</c:v>
                </c:pt>
                <c:pt idx="25">
                  <c:v>858.26382213448073</c:v>
                </c:pt>
                <c:pt idx="26">
                  <c:v>853.99911448801936</c:v>
                </c:pt>
                <c:pt idx="27">
                  <c:v>849.16775811012394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242-4C4F-88F6-2F36BB1BCF01}"/>
            </c:ext>
          </c:extLst>
        </c:ser>
        <c:ser>
          <c:idx val="2"/>
          <c:order val="1"/>
          <c:tx>
            <c:strRef>
              <c:f>'Capital Costs'!$A$27</c:f>
              <c:strCache>
                <c:ptCount val="1"/>
                <c:pt idx="0">
                  <c:v>Gas-CC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Costs'!$B$27:$AC$27</c:f>
              <c:numCache>
                <c:formatCode>0.00</c:formatCode>
                <c:ptCount val="28"/>
                <c:pt idx="0">
                  <c:v>1184.4037089048181</c:v>
                </c:pt>
                <c:pt idx="1">
                  <c:v>1172.8177997491418</c:v>
                </c:pt>
                <c:pt idx="2">
                  <c:v>1161.2318905934658</c:v>
                </c:pt>
                <c:pt idx="3">
                  <c:v>1149.6459814377895</c:v>
                </c:pt>
                <c:pt idx="4">
                  <c:v>1138.0600722821134</c:v>
                </c:pt>
                <c:pt idx="5">
                  <c:v>1126.4741631264371</c:v>
                </c:pt>
                <c:pt idx="6">
                  <c:v>1114.8882539707608</c:v>
                </c:pt>
                <c:pt idx="7">
                  <c:v>1103.3023448150848</c:v>
                </c:pt>
                <c:pt idx="8">
                  <c:v>1058.0127259260469</c:v>
                </c:pt>
                <c:pt idx="9">
                  <c:v>1055.2237768408481</c:v>
                </c:pt>
                <c:pt idx="10">
                  <c:v>1042.9478470233053</c:v>
                </c:pt>
                <c:pt idx="11">
                  <c:v>1038.6442386320225</c:v>
                </c:pt>
                <c:pt idx="12">
                  <c:v>1038.6558265321919</c:v>
                </c:pt>
                <c:pt idx="13">
                  <c:v>1034.1689706341822</c:v>
                </c:pt>
                <c:pt idx="14">
                  <c:v>1025.6925434358664</c:v>
                </c:pt>
                <c:pt idx="15">
                  <c:v>1020.6766420914952</c:v>
                </c:pt>
                <c:pt idx="16">
                  <c:v>1016.5707199052349</c:v>
                </c:pt>
                <c:pt idx="17">
                  <c:v>1012.1545672233171</c:v>
                </c:pt>
                <c:pt idx="18">
                  <c:v>1008.898831339306</c:v>
                </c:pt>
                <c:pt idx="19">
                  <c:v>1003.814640049962</c:v>
                </c:pt>
                <c:pt idx="20">
                  <c:v>998.19762480554368</c:v>
                </c:pt>
                <c:pt idx="21">
                  <c:v>993.93906164218788</c:v>
                </c:pt>
                <c:pt idx="22">
                  <c:v>989.58920434314348</c:v>
                </c:pt>
                <c:pt idx="23">
                  <c:v>984.64086391694377</c:v>
                </c:pt>
                <c:pt idx="24">
                  <c:v>980.19802076234487</c:v>
                </c:pt>
                <c:pt idx="25">
                  <c:v>976.11337894541464</c:v>
                </c:pt>
                <c:pt idx="26">
                  <c:v>972.37116027334548</c:v>
                </c:pt>
                <c:pt idx="27">
                  <c:v>967.98410375833203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242-4C4F-88F6-2F36BB1B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4720"/>
        <c:axId val="381749816"/>
      </c:scatterChart>
      <c:valAx>
        <c:axId val="381744720"/>
        <c:scaling>
          <c:orientation val="minMax"/>
          <c:max val="2040"/>
        </c:scaling>
        <c:delete val="0"/>
        <c:axPos val="b"/>
        <c:numFmt formatCode="General" sourceLinked="1"/>
        <c:majorTickMark val="out"/>
        <c:minorTickMark val="none"/>
        <c:tickLblPos val="nextTo"/>
        <c:crossAx val="381749816"/>
        <c:crosses val="autoZero"/>
        <c:crossBetween val="midCat"/>
      </c:valAx>
      <c:valAx>
        <c:axId val="381749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Overnight Capital Cost ($/kW)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1744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662655669524986"/>
          <c:y val="2.58584864391951E-2"/>
          <c:w val="0.17824650627870328"/>
          <c:h val="0.9482830271216098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0"/>
          <c:tx>
            <c:strRef>
              <c:f>'RE Tech Costs'!$A$3</c:f>
              <c:strCache>
                <c:ptCount val="1"/>
                <c:pt idx="0">
                  <c:v>    Solar Thermal - AEO21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Costs'!$B$3:$AM$3</c:f>
              <c:numCache>
                <c:formatCode>0.00</c:formatCode>
                <c:ptCount val="38"/>
                <c:pt idx="8">
                  <c:v>7116.2607420000004</c:v>
                </c:pt>
                <c:pt idx="9">
                  <c:v>7134.8706050000001</c:v>
                </c:pt>
                <c:pt idx="10">
                  <c:v>7130.2124020000001</c:v>
                </c:pt>
                <c:pt idx="11">
                  <c:v>7126.8627930000002</c:v>
                </c:pt>
                <c:pt idx="12">
                  <c:v>7079.7089839999999</c:v>
                </c:pt>
                <c:pt idx="13">
                  <c:v>6987.3999020000001</c:v>
                </c:pt>
                <c:pt idx="14">
                  <c:v>6887.0122069999998</c:v>
                </c:pt>
                <c:pt idx="15">
                  <c:v>6777.3032229999999</c:v>
                </c:pt>
                <c:pt idx="16">
                  <c:v>6660.7099609999996</c:v>
                </c:pt>
                <c:pt idx="17">
                  <c:v>6540.6035160000001</c:v>
                </c:pt>
                <c:pt idx="18">
                  <c:v>6423.4560549999997</c:v>
                </c:pt>
                <c:pt idx="19">
                  <c:v>6301.9296880000002</c:v>
                </c:pt>
                <c:pt idx="20">
                  <c:v>6187.5556640000004</c:v>
                </c:pt>
                <c:pt idx="21">
                  <c:v>6083.3095700000003</c:v>
                </c:pt>
                <c:pt idx="22">
                  <c:v>5980.6430659999996</c:v>
                </c:pt>
                <c:pt idx="23">
                  <c:v>5880.0786129999997</c:v>
                </c:pt>
                <c:pt idx="24">
                  <c:v>5785.0810549999997</c:v>
                </c:pt>
                <c:pt idx="25">
                  <c:v>5692.5351559999999</c:v>
                </c:pt>
                <c:pt idx="26">
                  <c:v>5600.3168949999999</c:v>
                </c:pt>
                <c:pt idx="27">
                  <c:v>5506.5073240000002</c:v>
                </c:pt>
                <c:pt idx="28" formatCode="General">
                  <c:v>5414.8212890000004</c:v>
                </c:pt>
                <c:pt idx="29" formatCode="General">
                  <c:v>5328.9575199999999</c:v>
                </c:pt>
                <c:pt idx="30" formatCode="General">
                  <c:v>5242.6469729999999</c:v>
                </c:pt>
                <c:pt idx="31" formatCode="General">
                  <c:v>5155.1030270000001</c:v>
                </c:pt>
                <c:pt idx="32" formatCode="General">
                  <c:v>5066.7709960000002</c:v>
                </c:pt>
                <c:pt idx="33" formatCode="General">
                  <c:v>4973.6992190000001</c:v>
                </c:pt>
                <c:pt idx="34" formatCode="General">
                  <c:v>4880.8818359999996</c:v>
                </c:pt>
                <c:pt idx="35" formatCode="General">
                  <c:v>4791.3310549999997</c:v>
                </c:pt>
                <c:pt idx="36" formatCode="General">
                  <c:v>4705.5390619999998</c:v>
                </c:pt>
                <c:pt idx="37" formatCode="General">
                  <c:v>4621.935547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CDD-4EC7-B6C3-000876792C45}"/>
            </c:ext>
          </c:extLst>
        </c:ser>
        <c:ser>
          <c:idx val="6"/>
          <c:order val="1"/>
          <c:tx>
            <c:strRef>
              <c:f>'RE Tech Costs'!$A$4</c:f>
              <c:strCache>
                <c:ptCount val="1"/>
                <c:pt idx="0">
                  <c:v>    Solar PV Tracking- AEO21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Costs'!$B$4:$AM$4</c:f>
              <c:numCache>
                <c:formatCode>0.00</c:formatCode>
                <c:ptCount val="38"/>
                <c:pt idx="8">
                  <c:v>1232.071899</c:v>
                </c:pt>
                <c:pt idx="9">
                  <c:v>1178.9487300000001</c:v>
                </c:pt>
                <c:pt idx="10">
                  <c:v>1133.487061</c:v>
                </c:pt>
                <c:pt idx="11">
                  <c:v>1093.6351320000001</c:v>
                </c:pt>
                <c:pt idx="12">
                  <c:v>1069.9604489999999</c:v>
                </c:pt>
                <c:pt idx="13">
                  <c:v>1048.356567</c:v>
                </c:pt>
                <c:pt idx="14">
                  <c:v>1021.583557</c:v>
                </c:pt>
                <c:pt idx="15">
                  <c:v>995.41455099999996</c:v>
                </c:pt>
                <c:pt idx="16">
                  <c:v>970.90289299999995</c:v>
                </c:pt>
                <c:pt idx="17">
                  <c:v>948.11523399999999</c:v>
                </c:pt>
                <c:pt idx="18">
                  <c:v>926.56964100000005</c:v>
                </c:pt>
                <c:pt idx="19">
                  <c:v>907.27618399999994</c:v>
                </c:pt>
                <c:pt idx="20">
                  <c:v>889.19329800000003</c:v>
                </c:pt>
                <c:pt idx="21">
                  <c:v>872.60070800000005</c:v>
                </c:pt>
                <c:pt idx="22">
                  <c:v>856.267517</c:v>
                </c:pt>
                <c:pt idx="23">
                  <c:v>840.26757799999996</c:v>
                </c:pt>
                <c:pt idx="24">
                  <c:v>825.09393299999999</c:v>
                </c:pt>
                <c:pt idx="25">
                  <c:v>810.29937700000005</c:v>
                </c:pt>
                <c:pt idx="26">
                  <c:v>795.58062700000005</c:v>
                </c:pt>
                <c:pt idx="27">
                  <c:v>780.66595500000005</c:v>
                </c:pt>
                <c:pt idx="28" formatCode="General">
                  <c:v>766.08300799999995</c:v>
                </c:pt>
                <c:pt idx="29" formatCode="General">
                  <c:v>752.35272199999997</c:v>
                </c:pt>
                <c:pt idx="30" formatCode="General">
                  <c:v>738.58758499999999</c:v>
                </c:pt>
                <c:pt idx="31" formatCode="General">
                  <c:v>724.67779499999995</c:v>
                </c:pt>
                <c:pt idx="32" formatCode="General">
                  <c:v>710.68768299999999</c:v>
                </c:pt>
                <c:pt idx="33" formatCode="General">
                  <c:v>696.06567399999994</c:v>
                </c:pt>
                <c:pt idx="34" formatCode="General">
                  <c:v>681.51422100000002</c:v>
                </c:pt>
                <c:pt idx="35" formatCode="General">
                  <c:v>667.45373500000005</c:v>
                </c:pt>
                <c:pt idx="36" formatCode="General">
                  <c:v>653.95007299999997</c:v>
                </c:pt>
                <c:pt idx="37" formatCode="General">
                  <c:v>640.78253199999995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CDD-4EC7-B6C3-000876792C45}"/>
            </c:ext>
          </c:extLst>
        </c:ser>
        <c:ser>
          <c:idx val="7"/>
          <c:order val="2"/>
          <c:tx>
            <c:strRef>
              <c:f>'RE Tech Costs'!$A$5</c:f>
              <c:strCache>
                <c:ptCount val="1"/>
                <c:pt idx="0">
                  <c:v>    Solar PV Fixed - AEO21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Costs'!$B$5:$AM$5</c:f>
              <c:numCache>
                <c:formatCode>0.00</c:formatCode>
                <c:ptCount val="38"/>
                <c:pt idx="8">
                  <c:v>1612.3011469999999</c:v>
                </c:pt>
                <c:pt idx="9">
                  <c:v>1522.4724120000001</c:v>
                </c:pt>
                <c:pt idx="10">
                  <c:v>1449.0031739999999</c:v>
                </c:pt>
                <c:pt idx="11">
                  <c:v>1397.7854</c:v>
                </c:pt>
                <c:pt idx="12">
                  <c:v>1368.0629879999999</c:v>
                </c:pt>
                <c:pt idx="13">
                  <c:v>1339.0123289999999</c:v>
                </c:pt>
                <c:pt idx="14">
                  <c:v>1300.298096</c:v>
                </c:pt>
                <c:pt idx="15">
                  <c:v>1265.950562</c:v>
                </c:pt>
                <c:pt idx="16">
                  <c:v>1233.2329099999999</c:v>
                </c:pt>
                <c:pt idx="17">
                  <c:v>1202.3302000000001</c:v>
                </c:pt>
                <c:pt idx="18">
                  <c:v>1172.908081</c:v>
                </c:pt>
                <c:pt idx="19">
                  <c:v>1145.8520510000001</c:v>
                </c:pt>
                <c:pt idx="20">
                  <c:v>1120.3623050000001</c:v>
                </c:pt>
                <c:pt idx="21">
                  <c:v>1097.6263429999999</c:v>
                </c:pt>
                <c:pt idx="22">
                  <c:v>1078.5139160000001</c:v>
                </c:pt>
                <c:pt idx="23">
                  <c:v>1059.7921140000001</c:v>
                </c:pt>
                <c:pt idx="24">
                  <c:v>1042.0850829999999</c:v>
                </c:pt>
                <c:pt idx="25">
                  <c:v>1024.8304439999999</c:v>
                </c:pt>
                <c:pt idx="26">
                  <c:v>1007.645386</c:v>
                </c:pt>
                <c:pt idx="27">
                  <c:v>990.18505900000002</c:v>
                </c:pt>
                <c:pt idx="28">
                  <c:v>973.11779799999999</c:v>
                </c:pt>
                <c:pt idx="29">
                  <c:v>957.107483</c:v>
                </c:pt>
                <c:pt idx="30">
                  <c:v>941.02734399999997</c:v>
                </c:pt>
                <c:pt idx="31">
                  <c:v>924.73638900000003</c:v>
                </c:pt>
                <c:pt idx="32">
                  <c:v>908.315247</c:v>
                </c:pt>
                <c:pt idx="33">
                  <c:v>891.05639599999995</c:v>
                </c:pt>
                <c:pt idx="34">
                  <c:v>873.85620100000006</c:v>
                </c:pt>
                <c:pt idx="35">
                  <c:v>857.25329599999998</c:v>
                </c:pt>
                <c:pt idx="36">
                  <c:v>841.33508300000005</c:v>
                </c:pt>
                <c:pt idx="37">
                  <c:v>825.81994599999996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CDD-4EC7-B6C3-000876792C45}"/>
            </c:ext>
          </c:extLst>
        </c:ser>
        <c:ser>
          <c:idx val="8"/>
          <c:order val="3"/>
          <c:tx>
            <c:strRef>
              <c:f>'RE Tech Costs'!$A$6</c:f>
              <c:strCache>
                <c:ptCount val="1"/>
                <c:pt idx="0">
                  <c:v>    Wind - AEO21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Costs'!$B$6:$AM$6</c:f>
              <c:numCache>
                <c:formatCode>0.00</c:formatCode>
                <c:ptCount val="38"/>
                <c:pt idx="8">
                  <c:v>1267.8427730000001</c:v>
                </c:pt>
                <c:pt idx="9">
                  <c:v>1275.3027340000001</c:v>
                </c:pt>
                <c:pt idx="10">
                  <c:v>1278.665283</c:v>
                </c:pt>
                <c:pt idx="11">
                  <c:v>1282.3125</c:v>
                </c:pt>
                <c:pt idx="12">
                  <c:v>1278.103149</c:v>
                </c:pt>
                <c:pt idx="13">
                  <c:v>1265.7132570000001</c:v>
                </c:pt>
                <c:pt idx="14">
                  <c:v>1251.7978519999999</c:v>
                </c:pt>
                <c:pt idx="15">
                  <c:v>1236.1141359999999</c:v>
                </c:pt>
                <c:pt idx="16">
                  <c:v>1219.088745</c:v>
                </c:pt>
                <c:pt idx="17">
                  <c:v>1201.325928</c:v>
                </c:pt>
                <c:pt idx="18">
                  <c:v>1184.010254</c:v>
                </c:pt>
                <c:pt idx="19">
                  <c:v>1165.78772</c:v>
                </c:pt>
                <c:pt idx="20">
                  <c:v>1148.788452</c:v>
                </c:pt>
                <c:pt idx="21">
                  <c:v>1133.5792240000001</c:v>
                </c:pt>
                <c:pt idx="22">
                  <c:v>1118.580688</c:v>
                </c:pt>
                <c:pt idx="23">
                  <c:v>1103.892212</c:v>
                </c:pt>
                <c:pt idx="24">
                  <c:v>1090.169067</c:v>
                </c:pt>
                <c:pt idx="25">
                  <c:v>1076.832764</c:v>
                </c:pt>
                <c:pt idx="26">
                  <c:v>1063.4832759999999</c:v>
                </c:pt>
                <c:pt idx="27">
                  <c:v>1049.7539059999999</c:v>
                </c:pt>
                <c:pt idx="28" formatCode="General">
                  <c:v>1036.350586</c:v>
                </c:pt>
                <c:pt idx="29" formatCode="General">
                  <c:v>1023.986816</c:v>
                </c:pt>
                <c:pt idx="30" formatCode="General">
                  <c:v>1011.46521</c:v>
                </c:pt>
                <c:pt idx="31" formatCode="General">
                  <c:v>998.630493</c:v>
                </c:pt>
                <c:pt idx="32" formatCode="General">
                  <c:v>985.56488000000002</c:v>
                </c:pt>
                <c:pt idx="33" formatCode="General">
                  <c:v>971.49273700000003</c:v>
                </c:pt>
                <c:pt idx="34" formatCode="General">
                  <c:v>957.38000499999998</c:v>
                </c:pt>
                <c:pt idx="35" formatCode="General">
                  <c:v>943.81854199999998</c:v>
                </c:pt>
                <c:pt idx="36" formatCode="General">
                  <c:v>930.91204800000003</c:v>
                </c:pt>
                <c:pt idx="37" formatCode="General">
                  <c:v>918.35607900000002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CDD-4EC7-B6C3-000876792C45}"/>
            </c:ext>
          </c:extLst>
        </c:ser>
        <c:ser>
          <c:idx val="9"/>
          <c:order val="4"/>
          <c:tx>
            <c:strRef>
              <c:f>'RE Tech Costs'!$A$7</c:f>
              <c:strCache>
                <c:ptCount val="1"/>
                <c:pt idx="0">
                  <c:v>    Offshore Wind - AEO21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Costs'!$B$7:$AM$7</c:f>
              <c:numCache>
                <c:formatCode>0.00</c:formatCode>
                <c:ptCount val="38"/>
                <c:pt idx="8">
                  <c:v>5452.501953</c:v>
                </c:pt>
                <c:pt idx="9">
                  <c:v>5458.5029299999997</c:v>
                </c:pt>
                <c:pt idx="10">
                  <c:v>5446.5795900000003</c:v>
                </c:pt>
                <c:pt idx="11">
                  <c:v>5435.5576170000004</c:v>
                </c:pt>
                <c:pt idx="12">
                  <c:v>5363.3125</c:v>
                </c:pt>
                <c:pt idx="13">
                  <c:v>5284.9091799999997</c:v>
                </c:pt>
                <c:pt idx="14">
                  <c:v>5200.5180659999996</c:v>
                </c:pt>
                <c:pt idx="15">
                  <c:v>5109.2358400000003</c:v>
                </c:pt>
                <c:pt idx="16">
                  <c:v>5012.9345700000003</c:v>
                </c:pt>
                <c:pt idx="17">
                  <c:v>4296.7231449999999</c:v>
                </c:pt>
                <c:pt idx="18">
                  <c:v>4212.4848629999997</c:v>
                </c:pt>
                <c:pt idx="19">
                  <c:v>3600.1430660000001</c:v>
                </c:pt>
                <c:pt idx="20">
                  <c:v>3526.8596189999998</c:v>
                </c:pt>
                <c:pt idx="21">
                  <c:v>3459.5202640000002</c:v>
                </c:pt>
                <c:pt idx="22">
                  <c:v>3393.2404790000001</c:v>
                </c:pt>
                <c:pt idx="23">
                  <c:v>3307.8688959999999</c:v>
                </c:pt>
                <c:pt idx="24">
                  <c:v>3141.2751459999999</c:v>
                </c:pt>
                <c:pt idx="25">
                  <c:v>3082.3015140000002</c:v>
                </c:pt>
                <c:pt idx="26">
                  <c:v>3023.6655270000001</c:v>
                </c:pt>
                <c:pt idx="27">
                  <c:v>2964.334961</c:v>
                </c:pt>
                <c:pt idx="28" formatCode="General">
                  <c:v>2906.3151859999998</c:v>
                </c:pt>
                <c:pt idx="29" formatCode="General">
                  <c:v>2851.5791020000001</c:v>
                </c:pt>
                <c:pt idx="30" formatCode="General">
                  <c:v>2796.7573240000002</c:v>
                </c:pt>
                <c:pt idx="31" formatCode="General">
                  <c:v>2741.4370119999999</c:v>
                </c:pt>
                <c:pt idx="32" formatCode="General">
                  <c:v>2685.8642580000001</c:v>
                </c:pt>
                <c:pt idx="33" formatCode="General">
                  <c:v>2627.9584960000002</c:v>
                </c:pt>
                <c:pt idx="34" formatCode="General">
                  <c:v>2570.3796390000002</c:v>
                </c:pt>
                <c:pt idx="35" formatCode="General">
                  <c:v>2525.5441890000002</c:v>
                </c:pt>
                <c:pt idx="36" formatCode="General">
                  <c:v>2494.038086</c:v>
                </c:pt>
                <c:pt idx="37" formatCode="General">
                  <c:v>2463.4089359999998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CDD-4EC7-B6C3-000876792C45}"/>
            </c:ext>
          </c:extLst>
        </c:ser>
        <c:ser>
          <c:idx val="0"/>
          <c:order val="5"/>
          <c:tx>
            <c:strRef>
              <c:f>'RE Tech Costs'!$A$10</c:f>
              <c:strCache>
                <c:ptCount val="1"/>
                <c:pt idx="0">
                  <c:v>    Solar Thermal - AEO20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Costs'!$B$10:$AM$10</c:f>
              <c:numCache>
                <c:formatCode>0.00</c:formatCode>
                <c:ptCount val="38"/>
                <c:pt idx="10">
                  <c:v>3899.05069774</c:v>
                </c:pt>
                <c:pt idx="11">
                  <c:v>3863.554105532</c:v>
                </c:pt>
                <c:pt idx="12">
                  <c:v>3821.5605522599999</c:v>
                </c:pt>
                <c:pt idx="13">
                  <c:v>3782.951368856</c:v>
                </c:pt>
                <c:pt idx="14">
                  <c:v>3740.0184549200003</c:v>
                </c:pt>
                <c:pt idx="15">
                  <c:v>3695.1494979520003</c:v>
                </c:pt>
                <c:pt idx="16">
                  <c:v>3646.6315594279999</c:v>
                </c:pt>
                <c:pt idx="17">
                  <c:v>3595.5524897600003</c:v>
                </c:pt>
                <c:pt idx="18">
                  <c:v>3545.6213094279997</c:v>
                </c:pt>
                <c:pt idx="19">
                  <c:v>3495.8991506120001</c:v>
                </c:pt>
                <c:pt idx="20">
                  <c:v>3447.5539139359998</c:v>
                </c:pt>
                <c:pt idx="21">
                  <c:v>3401.0678821680003</c:v>
                </c:pt>
                <c:pt idx="22">
                  <c:v>3352.7676127</c:v>
                </c:pt>
                <c:pt idx="23">
                  <c:v>3303.6866004120002</c:v>
                </c:pt>
                <c:pt idx="24">
                  <c:v>3258.4191188560003</c:v>
                </c:pt>
                <c:pt idx="25">
                  <c:v>3212.1381557319996</c:v>
                </c:pt>
                <c:pt idx="26">
                  <c:v>3166.0948729520001</c:v>
                </c:pt>
                <c:pt idx="27">
                  <c:v>3122.7347745880002</c:v>
                </c:pt>
                <c:pt idx="28">
                  <c:v>3082.5767069680001</c:v>
                </c:pt>
                <c:pt idx="29">
                  <c:v>3040.1829006119997</c:v>
                </c:pt>
                <c:pt idx="30">
                  <c:v>2999.781221316</c:v>
                </c:pt>
                <c:pt idx="31">
                  <c:v>2959.2775030720004</c:v>
                </c:pt>
                <c:pt idx="32">
                  <c:v>2918.8254221279999</c:v>
                </c:pt>
                <c:pt idx="33">
                  <c:v>2876.8101270479997</c:v>
                </c:pt>
                <c:pt idx="34">
                  <c:v>2838.497180332</c:v>
                </c:pt>
                <c:pt idx="35">
                  <c:v>2800.0592172080001</c:v>
                </c:pt>
                <c:pt idx="36">
                  <c:v>2761.6264415959999</c:v>
                </c:pt>
                <c:pt idx="37">
                  <c:v>2723.2650696680003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CDD-4EC7-B6C3-000876792C45}"/>
            </c:ext>
          </c:extLst>
        </c:ser>
        <c:ser>
          <c:idx val="1"/>
          <c:order val="6"/>
          <c:tx>
            <c:strRef>
              <c:f>'RE Tech Costs'!$A$11</c:f>
              <c:strCache>
                <c:ptCount val="1"/>
                <c:pt idx="0">
                  <c:v>    Solar PV Tracking- AEO20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Costs'!$B$11:$AM$11</c:f>
              <c:numCache>
                <c:formatCode>0.00</c:formatCode>
                <c:ptCount val="38"/>
                <c:pt idx="8">
                  <c:v>1209.5542100399998</c:v>
                </c:pt>
                <c:pt idx="9">
                  <c:v>1135.9923601400001</c:v>
                </c:pt>
                <c:pt idx="10">
                  <c:v>1073.784749488</c:v>
                </c:pt>
                <c:pt idx="11">
                  <c:v>1024.8124482640001</c:v>
                </c:pt>
                <c:pt idx="12">
                  <c:v>998.03713037600005</c:v>
                </c:pt>
                <c:pt idx="13">
                  <c:v>978.98102970800005</c:v>
                </c:pt>
                <c:pt idx="14">
                  <c:v>955.62491675199999</c:v>
                </c:pt>
                <c:pt idx="15">
                  <c:v>934.2084910399999</c:v>
                </c:pt>
                <c:pt idx="16">
                  <c:v>914.10827151600006</c:v>
                </c:pt>
                <c:pt idx="17">
                  <c:v>894.69305353999994</c:v>
                </c:pt>
                <c:pt idx="18">
                  <c:v>876.42028944800006</c:v>
                </c:pt>
                <c:pt idx="19">
                  <c:v>860.68685194800003</c:v>
                </c:pt>
                <c:pt idx="20">
                  <c:v>845.66139446800003</c:v>
                </c:pt>
                <c:pt idx="21">
                  <c:v>831.14694031599993</c:v>
                </c:pt>
                <c:pt idx="22">
                  <c:v>816.24489421199996</c:v>
                </c:pt>
                <c:pt idx="23">
                  <c:v>801.21177791599996</c:v>
                </c:pt>
                <c:pt idx="24">
                  <c:v>787.16051818799997</c:v>
                </c:pt>
                <c:pt idx="25">
                  <c:v>772.91969466800003</c:v>
                </c:pt>
                <c:pt idx="26">
                  <c:v>758.79289318799999</c:v>
                </c:pt>
                <c:pt idx="27">
                  <c:v>745.36412781599995</c:v>
                </c:pt>
                <c:pt idx="28">
                  <c:v>732.74958222399994</c:v>
                </c:pt>
                <c:pt idx="29">
                  <c:v>719.65337320799995</c:v>
                </c:pt>
                <c:pt idx="30">
                  <c:v>707.07959401200003</c:v>
                </c:pt>
                <c:pt idx="31">
                  <c:v>694.531510508</c:v>
                </c:pt>
                <c:pt idx="32">
                  <c:v>682.04612141600001</c:v>
                </c:pt>
                <c:pt idx="33">
                  <c:v>669.24843519599995</c:v>
                </c:pt>
                <c:pt idx="34">
                  <c:v>657.36361244400007</c:v>
                </c:pt>
                <c:pt idx="35">
                  <c:v>645.49855405200003</c:v>
                </c:pt>
                <c:pt idx="36">
                  <c:v>633.68420799199998</c:v>
                </c:pt>
                <c:pt idx="37">
                  <c:v>621.93650921599999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CDD-4EC7-B6C3-000876792C45}"/>
            </c:ext>
          </c:extLst>
        </c:ser>
        <c:ser>
          <c:idx val="2"/>
          <c:order val="7"/>
          <c:tx>
            <c:strRef>
              <c:f>'RE Tech Costs'!$A$12</c:f>
              <c:strCache>
                <c:ptCount val="1"/>
                <c:pt idx="0">
                  <c:v>    Solar PV Fixed - AEO20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Costs'!$B$12:$AM$12</c:f>
              <c:numCache>
                <c:formatCode>0.00</c:formatCode>
                <c:ptCount val="3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CDD-4EC7-B6C3-000876792C45}"/>
            </c:ext>
          </c:extLst>
        </c:ser>
        <c:ser>
          <c:idx val="3"/>
          <c:order val="8"/>
          <c:tx>
            <c:strRef>
              <c:f>'RE Tech Costs'!$A$13</c:f>
              <c:strCache>
                <c:ptCount val="1"/>
                <c:pt idx="0">
                  <c:v>    Wind - AEO20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Costs'!$B$13:$AM$13</c:f>
              <c:numCache>
                <c:formatCode>0.00</c:formatCode>
                <c:ptCount val="38"/>
                <c:pt idx="9">
                  <c:v>1228.06706506</c:v>
                </c:pt>
                <c:pt idx="10">
                  <c:v>1212.3367161840001</c:v>
                </c:pt>
                <c:pt idx="11">
                  <c:v>1203.2421808439999</c:v>
                </c:pt>
                <c:pt idx="12">
                  <c:v>1192.1037576799999</c:v>
                </c:pt>
                <c:pt idx="13">
                  <c:v>1181.9987049199999</c:v>
                </c:pt>
                <c:pt idx="14">
                  <c:v>1170.5194482520001</c:v>
                </c:pt>
                <c:pt idx="15">
                  <c:v>1158.407567108</c:v>
                </c:pt>
                <c:pt idx="16">
                  <c:v>1145.1216080920001</c:v>
                </c:pt>
                <c:pt idx="17">
                  <c:v>1130.9974631120001</c:v>
                </c:pt>
                <c:pt idx="18">
                  <c:v>1117.199450312</c:v>
                </c:pt>
                <c:pt idx="19">
                  <c:v>1103.4324462040001</c:v>
                </c:pt>
                <c:pt idx="20">
                  <c:v>1090.0652003119999</c:v>
                </c:pt>
                <c:pt idx="21">
                  <c:v>1077.252752048</c:v>
                </c:pt>
                <c:pt idx="22">
                  <c:v>1063.8316454920002</c:v>
                </c:pt>
                <c:pt idx="23">
                  <c:v>1050.1272730520002</c:v>
                </c:pt>
                <c:pt idx="24">
                  <c:v>1037.6004375</c:v>
                </c:pt>
                <c:pt idx="25">
                  <c:v>1024.717634996</c:v>
                </c:pt>
                <c:pt idx="26">
                  <c:v>1011.8760320240001</c:v>
                </c:pt>
                <c:pt idx="27">
                  <c:v>999.85877996400006</c:v>
                </c:pt>
                <c:pt idx="28">
                  <c:v>988.83635527600006</c:v>
                </c:pt>
                <c:pt idx="29">
                  <c:v>977.06660502</c:v>
                </c:pt>
                <c:pt idx="30">
                  <c:v>965.90625383999998</c:v>
                </c:pt>
                <c:pt idx="31">
                  <c:v>954.68289958799994</c:v>
                </c:pt>
                <c:pt idx="32">
                  <c:v>943.44552407599997</c:v>
                </c:pt>
                <c:pt idx="33">
                  <c:v>931.67095568800005</c:v>
                </c:pt>
                <c:pt idx="34">
                  <c:v>921.06385681200004</c:v>
                </c:pt>
                <c:pt idx="35">
                  <c:v>910.38696029599998</c:v>
                </c:pt>
                <c:pt idx="36">
                  <c:v>899.68152740400001</c:v>
                </c:pt>
                <c:pt idx="37">
                  <c:v>888.96892853999998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CDD-4EC7-B6C3-000876792C45}"/>
            </c:ext>
          </c:extLst>
        </c:ser>
        <c:ser>
          <c:idx val="4"/>
          <c:order val="9"/>
          <c:tx>
            <c:strRef>
              <c:f>'RE Tech Costs'!$A$14</c:f>
              <c:strCache>
                <c:ptCount val="1"/>
                <c:pt idx="0">
                  <c:v>    Offshore Wind - AEO20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Costs'!$B$14:$AM$14</c:f>
              <c:numCache>
                <c:formatCode>0.00</c:formatCode>
                <c:ptCount val="38"/>
                <c:pt idx="10">
                  <c:v>5164.0477325800002</c:v>
                </c:pt>
                <c:pt idx="11">
                  <c:v>5100.3890778719997</c:v>
                </c:pt>
                <c:pt idx="12">
                  <c:v>5008.8440922080008</c:v>
                </c:pt>
                <c:pt idx="13">
                  <c:v>4941.6898862759999</c:v>
                </c:pt>
                <c:pt idx="14">
                  <c:v>4869.0848165959997</c:v>
                </c:pt>
                <c:pt idx="15">
                  <c:v>4794.1884159840001</c:v>
                </c:pt>
                <c:pt idx="16">
                  <c:v>4714.8136188560002</c:v>
                </c:pt>
                <c:pt idx="17">
                  <c:v>4051.112592208</c:v>
                </c:pt>
                <c:pt idx="18">
                  <c:v>3980.6110778719999</c:v>
                </c:pt>
                <c:pt idx="19">
                  <c:v>3408.1363165960001</c:v>
                </c:pt>
                <c:pt idx="20">
                  <c:v>3347.1267499999999</c:v>
                </c:pt>
                <c:pt idx="21">
                  <c:v>3288.1663852400002</c:v>
                </c:pt>
                <c:pt idx="22">
                  <c:v>3227.6996321680003</c:v>
                </c:pt>
                <c:pt idx="23">
                  <c:v>3166.7436793080001</c:v>
                </c:pt>
                <c:pt idx="24">
                  <c:v>3062.6406034840002</c:v>
                </c:pt>
                <c:pt idx="25">
                  <c:v>3005.3022551200002</c:v>
                </c:pt>
                <c:pt idx="26">
                  <c:v>2948.4432223399999</c:v>
                </c:pt>
                <c:pt idx="27">
                  <c:v>2894.3313647600003</c:v>
                </c:pt>
                <c:pt idx="28">
                  <c:v>2843.4128913959998</c:v>
                </c:pt>
                <c:pt idx="29">
                  <c:v>2790.6574498000004</c:v>
                </c:pt>
                <c:pt idx="30">
                  <c:v>2739.9610932319997</c:v>
                </c:pt>
                <c:pt idx="31">
                  <c:v>2689.3959293079997</c:v>
                </c:pt>
                <c:pt idx="32">
                  <c:v>2639.1064969280001</c:v>
                </c:pt>
                <c:pt idx="33">
                  <c:v>2587.643480532</c:v>
                </c:pt>
                <c:pt idx="34">
                  <c:v>2539.7432182319999</c:v>
                </c:pt>
                <c:pt idx="35">
                  <c:v>2491.9519129119999</c:v>
                </c:pt>
                <c:pt idx="36">
                  <c:v>2444.3891485640002</c:v>
                </c:pt>
                <c:pt idx="37">
                  <c:v>2397.1166915960002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CDD-4EC7-B6C3-000876792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3544"/>
        <c:axId val="379358480"/>
      </c:scatterChart>
      <c:valAx>
        <c:axId val="381743544"/>
        <c:scaling>
          <c:orientation val="minMax"/>
          <c:max val="20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58480"/>
        <c:crosses val="autoZero"/>
        <c:crossBetween val="midCat"/>
      </c:valAx>
      <c:valAx>
        <c:axId val="37935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Capital Cost (2020$/kW)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743544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0"/>
          <c:tx>
            <c:strRef>
              <c:f>'RE Tech Costs'!$A$4</c:f>
              <c:strCache>
                <c:ptCount val="1"/>
                <c:pt idx="0">
                  <c:v>    Solar PV Tracking- AEO21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Costs'!$B$4:$AM$4</c:f>
              <c:numCache>
                <c:formatCode>0.00</c:formatCode>
                <c:ptCount val="38"/>
                <c:pt idx="8">
                  <c:v>1232.071899</c:v>
                </c:pt>
                <c:pt idx="9">
                  <c:v>1178.9487300000001</c:v>
                </c:pt>
                <c:pt idx="10">
                  <c:v>1133.487061</c:v>
                </c:pt>
                <c:pt idx="11">
                  <c:v>1093.6351320000001</c:v>
                </c:pt>
                <c:pt idx="12">
                  <c:v>1069.9604489999999</c:v>
                </c:pt>
                <c:pt idx="13">
                  <c:v>1048.356567</c:v>
                </c:pt>
                <c:pt idx="14">
                  <c:v>1021.583557</c:v>
                </c:pt>
                <c:pt idx="15">
                  <c:v>995.41455099999996</c:v>
                </c:pt>
                <c:pt idx="16">
                  <c:v>970.90289299999995</c:v>
                </c:pt>
                <c:pt idx="17">
                  <c:v>948.11523399999999</c:v>
                </c:pt>
                <c:pt idx="18">
                  <c:v>926.56964100000005</c:v>
                </c:pt>
                <c:pt idx="19">
                  <c:v>907.27618399999994</c:v>
                </c:pt>
                <c:pt idx="20">
                  <c:v>889.19329800000003</c:v>
                </c:pt>
                <c:pt idx="21">
                  <c:v>872.60070800000005</c:v>
                </c:pt>
                <c:pt idx="22">
                  <c:v>856.267517</c:v>
                </c:pt>
                <c:pt idx="23">
                  <c:v>840.26757799999996</c:v>
                </c:pt>
                <c:pt idx="24">
                  <c:v>825.09393299999999</c:v>
                </c:pt>
                <c:pt idx="25">
                  <c:v>810.29937700000005</c:v>
                </c:pt>
                <c:pt idx="26">
                  <c:v>795.58062700000005</c:v>
                </c:pt>
                <c:pt idx="27">
                  <c:v>780.66595500000005</c:v>
                </c:pt>
                <c:pt idx="28" formatCode="General">
                  <c:v>766.08300799999995</c:v>
                </c:pt>
                <c:pt idx="29" formatCode="General">
                  <c:v>752.35272199999997</c:v>
                </c:pt>
                <c:pt idx="30" formatCode="General">
                  <c:v>738.58758499999999</c:v>
                </c:pt>
                <c:pt idx="31" formatCode="General">
                  <c:v>724.67779499999995</c:v>
                </c:pt>
                <c:pt idx="32" formatCode="General">
                  <c:v>710.68768299999999</c:v>
                </c:pt>
                <c:pt idx="33" formatCode="General">
                  <c:v>696.06567399999994</c:v>
                </c:pt>
                <c:pt idx="34" formatCode="General">
                  <c:v>681.51422100000002</c:v>
                </c:pt>
                <c:pt idx="35" formatCode="General">
                  <c:v>667.45373500000005</c:v>
                </c:pt>
                <c:pt idx="36" formatCode="General">
                  <c:v>653.95007299999997</c:v>
                </c:pt>
                <c:pt idx="37" formatCode="General">
                  <c:v>640.78253199999995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1B-4C8A-A40E-8D676E8E6D35}"/>
            </c:ext>
          </c:extLst>
        </c:ser>
        <c:ser>
          <c:idx val="7"/>
          <c:order val="1"/>
          <c:tx>
            <c:strRef>
              <c:f>'RE Tech Costs'!$A$5</c:f>
              <c:strCache>
                <c:ptCount val="1"/>
                <c:pt idx="0">
                  <c:v>    Solar PV Fixed - AEO21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Costs'!$B$5:$AM$5</c:f>
              <c:numCache>
                <c:formatCode>0.00</c:formatCode>
                <c:ptCount val="38"/>
                <c:pt idx="8">
                  <c:v>1612.3011469999999</c:v>
                </c:pt>
                <c:pt idx="9">
                  <c:v>1522.4724120000001</c:v>
                </c:pt>
                <c:pt idx="10">
                  <c:v>1449.0031739999999</c:v>
                </c:pt>
                <c:pt idx="11">
                  <c:v>1397.7854</c:v>
                </c:pt>
                <c:pt idx="12">
                  <c:v>1368.0629879999999</c:v>
                </c:pt>
                <c:pt idx="13">
                  <c:v>1339.0123289999999</c:v>
                </c:pt>
                <c:pt idx="14">
                  <c:v>1300.298096</c:v>
                </c:pt>
                <c:pt idx="15">
                  <c:v>1265.950562</c:v>
                </c:pt>
                <c:pt idx="16">
                  <c:v>1233.2329099999999</c:v>
                </c:pt>
                <c:pt idx="17">
                  <c:v>1202.3302000000001</c:v>
                </c:pt>
                <c:pt idx="18">
                  <c:v>1172.908081</c:v>
                </c:pt>
                <c:pt idx="19">
                  <c:v>1145.8520510000001</c:v>
                </c:pt>
                <c:pt idx="20">
                  <c:v>1120.3623050000001</c:v>
                </c:pt>
                <c:pt idx="21">
                  <c:v>1097.6263429999999</c:v>
                </c:pt>
                <c:pt idx="22">
                  <c:v>1078.5139160000001</c:v>
                </c:pt>
                <c:pt idx="23">
                  <c:v>1059.7921140000001</c:v>
                </c:pt>
                <c:pt idx="24">
                  <c:v>1042.0850829999999</c:v>
                </c:pt>
                <c:pt idx="25">
                  <c:v>1024.8304439999999</c:v>
                </c:pt>
                <c:pt idx="26">
                  <c:v>1007.645386</c:v>
                </c:pt>
                <c:pt idx="27">
                  <c:v>990.18505900000002</c:v>
                </c:pt>
                <c:pt idx="28">
                  <c:v>973.11779799999999</c:v>
                </c:pt>
                <c:pt idx="29">
                  <c:v>957.107483</c:v>
                </c:pt>
                <c:pt idx="30">
                  <c:v>941.02734399999997</c:v>
                </c:pt>
                <c:pt idx="31">
                  <c:v>924.73638900000003</c:v>
                </c:pt>
                <c:pt idx="32">
                  <c:v>908.315247</c:v>
                </c:pt>
                <c:pt idx="33">
                  <c:v>891.05639599999995</c:v>
                </c:pt>
                <c:pt idx="34">
                  <c:v>873.85620100000006</c:v>
                </c:pt>
                <c:pt idx="35">
                  <c:v>857.25329599999998</c:v>
                </c:pt>
                <c:pt idx="36">
                  <c:v>841.33508300000005</c:v>
                </c:pt>
                <c:pt idx="37">
                  <c:v>825.81994599999996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1B-4C8A-A40E-8D676E8E6D35}"/>
            </c:ext>
          </c:extLst>
        </c:ser>
        <c:ser>
          <c:idx val="8"/>
          <c:order val="2"/>
          <c:tx>
            <c:strRef>
              <c:f>'RE Tech Costs'!$A$6</c:f>
              <c:strCache>
                <c:ptCount val="1"/>
                <c:pt idx="0">
                  <c:v>    Wind - AEO21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Costs'!$B$6:$AM$6</c:f>
              <c:numCache>
                <c:formatCode>0.00</c:formatCode>
                <c:ptCount val="38"/>
                <c:pt idx="8">
                  <c:v>1267.8427730000001</c:v>
                </c:pt>
                <c:pt idx="9">
                  <c:v>1275.3027340000001</c:v>
                </c:pt>
                <c:pt idx="10">
                  <c:v>1278.665283</c:v>
                </c:pt>
                <c:pt idx="11">
                  <c:v>1282.3125</c:v>
                </c:pt>
                <c:pt idx="12">
                  <c:v>1278.103149</c:v>
                </c:pt>
                <c:pt idx="13">
                  <c:v>1265.7132570000001</c:v>
                </c:pt>
                <c:pt idx="14">
                  <c:v>1251.7978519999999</c:v>
                </c:pt>
                <c:pt idx="15">
                  <c:v>1236.1141359999999</c:v>
                </c:pt>
                <c:pt idx="16">
                  <c:v>1219.088745</c:v>
                </c:pt>
                <c:pt idx="17">
                  <c:v>1201.325928</c:v>
                </c:pt>
                <c:pt idx="18">
                  <c:v>1184.010254</c:v>
                </c:pt>
                <c:pt idx="19">
                  <c:v>1165.78772</c:v>
                </c:pt>
                <c:pt idx="20">
                  <c:v>1148.788452</c:v>
                </c:pt>
                <c:pt idx="21">
                  <c:v>1133.5792240000001</c:v>
                </c:pt>
                <c:pt idx="22">
                  <c:v>1118.580688</c:v>
                </c:pt>
                <c:pt idx="23">
                  <c:v>1103.892212</c:v>
                </c:pt>
                <c:pt idx="24">
                  <c:v>1090.169067</c:v>
                </c:pt>
                <c:pt idx="25">
                  <c:v>1076.832764</c:v>
                </c:pt>
                <c:pt idx="26">
                  <c:v>1063.4832759999999</c:v>
                </c:pt>
                <c:pt idx="27">
                  <c:v>1049.7539059999999</c:v>
                </c:pt>
                <c:pt idx="28" formatCode="General">
                  <c:v>1036.350586</c:v>
                </c:pt>
                <c:pt idx="29" formatCode="General">
                  <c:v>1023.986816</c:v>
                </c:pt>
                <c:pt idx="30" formatCode="General">
                  <c:v>1011.46521</c:v>
                </c:pt>
                <c:pt idx="31" formatCode="General">
                  <c:v>998.630493</c:v>
                </c:pt>
                <c:pt idx="32" formatCode="General">
                  <c:v>985.56488000000002</c:v>
                </c:pt>
                <c:pt idx="33" formatCode="General">
                  <c:v>971.49273700000003</c:v>
                </c:pt>
                <c:pt idx="34" formatCode="General">
                  <c:v>957.38000499999998</c:v>
                </c:pt>
                <c:pt idx="35" formatCode="General">
                  <c:v>943.81854199999998</c:v>
                </c:pt>
                <c:pt idx="36" formatCode="General">
                  <c:v>930.91204800000003</c:v>
                </c:pt>
                <c:pt idx="37" formatCode="General">
                  <c:v>918.35607900000002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1B-4C8A-A40E-8D676E8E6D35}"/>
            </c:ext>
          </c:extLst>
        </c:ser>
        <c:ser>
          <c:idx val="1"/>
          <c:order val="3"/>
          <c:tx>
            <c:strRef>
              <c:f>'RE Tech Costs'!$A$11</c:f>
              <c:strCache>
                <c:ptCount val="1"/>
                <c:pt idx="0">
                  <c:v>    Solar PV Tracking- AEO20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Costs'!$B$11:$AM$11</c:f>
              <c:numCache>
                <c:formatCode>0.00</c:formatCode>
                <c:ptCount val="38"/>
                <c:pt idx="8">
                  <c:v>1209.5542100399998</c:v>
                </c:pt>
                <c:pt idx="9">
                  <c:v>1135.9923601400001</c:v>
                </c:pt>
                <c:pt idx="10">
                  <c:v>1073.784749488</c:v>
                </c:pt>
                <c:pt idx="11">
                  <c:v>1024.8124482640001</c:v>
                </c:pt>
                <c:pt idx="12">
                  <c:v>998.03713037600005</c:v>
                </c:pt>
                <c:pt idx="13">
                  <c:v>978.98102970800005</c:v>
                </c:pt>
                <c:pt idx="14">
                  <c:v>955.62491675199999</c:v>
                </c:pt>
                <c:pt idx="15">
                  <c:v>934.2084910399999</c:v>
                </c:pt>
                <c:pt idx="16">
                  <c:v>914.10827151600006</c:v>
                </c:pt>
                <c:pt idx="17">
                  <c:v>894.69305353999994</c:v>
                </c:pt>
                <c:pt idx="18">
                  <c:v>876.42028944800006</c:v>
                </c:pt>
                <c:pt idx="19">
                  <c:v>860.68685194800003</c:v>
                </c:pt>
                <c:pt idx="20">
                  <c:v>845.66139446800003</c:v>
                </c:pt>
                <c:pt idx="21">
                  <c:v>831.14694031599993</c:v>
                </c:pt>
                <c:pt idx="22">
                  <c:v>816.24489421199996</c:v>
                </c:pt>
                <c:pt idx="23">
                  <c:v>801.21177791599996</c:v>
                </c:pt>
                <c:pt idx="24">
                  <c:v>787.16051818799997</c:v>
                </c:pt>
                <c:pt idx="25">
                  <c:v>772.91969466800003</c:v>
                </c:pt>
                <c:pt idx="26">
                  <c:v>758.79289318799999</c:v>
                </c:pt>
                <c:pt idx="27">
                  <c:v>745.36412781599995</c:v>
                </c:pt>
                <c:pt idx="28">
                  <c:v>732.74958222399994</c:v>
                </c:pt>
                <c:pt idx="29">
                  <c:v>719.65337320799995</c:v>
                </c:pt>
                <c:pt idx="30">
                  <c:v>707.07959401200003</c:v>
                </c:pt>
                <c:pt idx="31">
                  <c:v>694.531510508</c:v>
                </c:pt>
                <c:pt idx="32">
                  <c:v>682.04612141600001</c:v>
                </c:pt>
                <c:pt idx="33">
                  <c:v>669.24843519599995</c:v>
                </c:pt>
                <c:pt idx="34">
                  <c:v>657.36361244400007</c:v>
                </c:pt>
                <c:pt idx="35">
                  <c:v>645.49855405200003</c:v>
                </c:pt>
                <c:pt idx="36">
                  <c:v>633.68420799199998</c:v>
                </c:pt>
                <c:pt idx="37">
                  <c:v>621.93650921599999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1B-4C8A-A40E-8D676E8E6D35}"/>
            </c:ext>
          </c:extLst>
        </c:ser>
        <c:ser>
          <c:idx val="2"/>
          <c:order val="4"/>
          <c:tx>
            <c:strRef>
              <c:f>'RE Tech Costs'!$A$12</c:f>
              <c:strCache>
                <c:ptCount val="1"/>
                <c:pt idx="0">
                  <c:v>    Solar PV Fixed - AEO20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Costs'!$B$12:$AM$12</c:f>
              <c:numCache>
                <c:formatCode>0.00</c:formatCode>
                <c:ptCount val="3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1B-4C8A-A40E-8D676E8E6D35}"/>
            </c:ext>
          </c:extLst>
        </c:ser>
        <c:ser>
          <c:idx val="3"/>
          <c:order val="5"/>
          <c:tx>
            <c:strRef>
              <c:f>'RE Tech Costs'!$A$13</c:f>
              <c:strCache>
                <c:ptCount val="1"/>
                <c:pt idx="0">
                  <c:v>    Wind - AEO20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Costs'!$B$13:$AM$13</c:f>
              <c:numCache>
                <c:formatCode>0.00</c:formatCode>
                <c:ptCount val="38"/>
                <c:pt idx="9">
                  <c:v>1228.06706506</c:v>
                </c:pt>
                <c:pt idx="10">
                  <c:v>1212.3367161840001</c:v>
                </c:pt>
                <c:pt idx="11">
                  <c:v>1203.2421808439999</c:v>
                </c:pt>
                <c:pt idx="12">
                  <c:v>1192.1037576799999</c:v>
                </c:pt>
                <c:pt idx="13">
                  <c:v>1181.9987049199999</c:v>
                </c:pt>
                <c:pt idx="14">
                  <c:v>1170.5194482520001</c:v>
                </c:pt>
                <c:pt idx="15">
                  <c:v>1158.407567108</c:v>
                </c:pt>
                <c:pt idx="16">
                  <c:v>1145.1216080920001</c:v>
                </c:pt>
                <c:pt idx="17">
                  <c:v>1130.9974631120001</c:v>
                </c:pt>
                <c:pt idx="18">
                  <c:v>1117.199450312</c:v>
                </c:pt>
                <c:pt idx="19">
                  <c:v>1103.4324462040001</c:v>
                </c:pt>
                <c:pt idx="20">
                  <c:v>1090.0652003119999</c:v>
                </c:pt>
                <c:pt idx="21">
                  <c:v>1077.252752048</c:v>
                </c:pt>
                <c:pt idx="22">
                  <c:v>1063.8316454920002</c:v>
                </c:pt>
                <c:pt idx="23">
                  <c:v>1050.1272730520002</c:v>
                </c:pt>
                <c:pt idx="24">
                  <c:v>1037.6004375</c:v>
                </c:pt>
                <c:pt idx="25">
                  <c:v>1024.717634996</c:v>
                </c:pt>
                <c:pt idx="26">
                  <c:v>1011.8760320240001</c:v>
                </c:pt>
                <c:pt idx="27">
                  <c:v>999.85877996400006</c:v>
                </c:pt>
                <c:pt idx="28">
                  <c:v>988.83635527600006</c:v>
                </c:pt>
                <c:pt idx="29">
                  <c:v>977.06660502</c:v>
                </c:pt>
                <c:pt idx="30">
                  <c:v>965.90625383999998</c:v>
                </c:pt>
                <c:pt idx="31">
                  <c:v>954.68289958799994</c:v>
                </c:pt>
                <c:pt idx="32">
                  <c:v>943.44552407599997</c:v>
                </c:pt>
                <c:pt idx="33">
                  <c:v>931.67095568800005</c:v>
                </c:pt>
                <c:pt idx="34">
                  <c:v>921.06385681200004</c:v>
                </c:pt>
                <c:pt idx="35">
                  <c:v>910.38696029599998</c:v>
                </c:pt>
                <c:pt idx="36">
                  <c:v>899.68152740400001</c:v>
                </c:pt>
                <c:pt idx="37">
                  <c:v>888.96892853999998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D1B-4C8A-A40E-8D676E8E6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360832"/>
        <c:axId val="379361224"/>
      </c:scatterChart>
      <c:valAx>
        <c:axId val="379360832"/>
        <c:scaling>
          <c:orientation val="minMax"/>
          <c:max val="20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61224"/>
        <c:crosses val="autoZero"/>
        <c:crossBetween val="midCat"/>
      </c:valAx>
      <c:valAx>
        <c:axId val="379361224"/>
        <c:scaling>
          <c:orientation val="minMax"/>
          <c:max val="2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Capital Cost (2020$/kW)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6083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251459</xdr:colOff>
      <xdr:row>15</xdr:row>
      <xdr:rowOff>112394</xdr:rowOff>
    </xdr:from>
    <xdr:to>
      <xdr:col>15</xdr:col>
      <xdr:colOff>365760</xdr:colOff>
      <xdr:row>44</xdr:row>
      <xdr:rowOff>179069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13</xdr:row>
      <xdr:rowOff>123825</xdr:rowOff>
    </xdr:from>
    <xdr:to>
      <xdr:col>22</xdr:col>
      <xdr:colOff>426720</xdr:colOff>
      <xdr:row>25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57CCA8-ABCD-4710-999A-A03C7412E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26</xdr:row>
      <xdr:rowOff>0</xdr:rowOff>
    </xdr:from>
    <xdr:to>
      <xdr:col>22</xdr:col>
      <xdr:colOff>426720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80F896-45E5-45A1-BBBE-A300C9DC1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104775</xdr:colOff>
      <xdr:row>38</xdr:row>
      <xdr:rowOff>161925</xdr:rowOff>
    </xdr:from>
    <xdr:to>
      <xdr:col>22</xdr:col>
      <xdr:colOff>531495</xdr:colOff>
      <xdr:row>50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2A9D88-27AC-4FC0-8935-4550594B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14</xdr:row>
      <xdr:rowOff>0</xdr:rowOff>
    </xdr:from>
    <xdr:to>
      <xdr:col>28</xdr:col>
      <xdr:colOff>426720</xdr:colOff>
      <xdr:row>26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6B6072-E93D-4965-BDAC-E26C2D66C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46</xdr:row>
      <xdr:rowOff>0</xdr:rowOff>
    </xdr:from>
    <xdr:to>
      <xdr:col>9</xdr:col>
      <xdr:colOff>304800</xdr:colOff>
      <xdr:row>60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958BB6-71B7-45A7-B6CF-917176FAB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9</xdr:row>
      <xdr:rowOff>91440</xdr:rowOff>
    </xdr:from>
    <xdr:to>
      <xdr:col>10</xdr:col>
      <xdr:colOff>381000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12</xdr:row>
      <xdr:rowOff>0</xdr:rowOff>
    </xdr:from>
    <xdr:to>
      <xdr:col>16</xdr:col>
      <xdr:colOff>515112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FC8B68-D2FD-40AC-A3AE-3E2D17EA0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266700</xdr:colOff>
      <xdr:row>11</xdr:row>
      <xdr:rowOff>76200</xdr:rowOff>
    </xdr:from>
    <xdr:to>
      <xdr:col>22</xdr:col>
      <xdr:colOff>172212</xdr:colOff>
      <xdr:row>23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3D5305-1D91-42AE-B952-B24FA087E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10</xdr:col>
      <xdr:colOff>213360</xdr:colOff>
      <xdr:row>37</xdr:row>
      <xdr:rowOff>80772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551034-FB7A-41EA-B30D-2328F617B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0.67724</cdr:x>
      <cdr:y>0.53473</cdr:y>
    </cdr:from>
    <cdr:to>
      <cdr:x>0.97097</cdr:x>
      <cdr:y>0.62917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737BE653-3747-4F30-8449-8FAED0C174F2}"/>
            </a:ext>
          </a:extLst>
        </cdr:cNvPr>
        <cdr:cNvSpPr txBox="1"/>
      </cdr:nvSpPr>
      <cdr:spPr>
        <a:xfrm xmlns:a="http://schemas.openxmlformats.org/drawingml/2006/main">
          <a:off x="2000249" y="1222385"/>
          <a:ext cx="867537" cy="2158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Coal</a:t>
          </a:r>
        </a:p>
      </cdr:txBody>
    </cdr:sp>
  </cdr:relSizeAnchor>
  <cdr:relSizeAnchor xmlns:cdr="http://schemas.openxmlformats.org/drawingml/2006/chartDrawing">
    <cdr:from>
      <cdr:x>0.63317</cdr:x>
      <cdr:y>0.75139</cdr:y>
    </cdr:from>
    <cdr:to>
      <cdr:x>0.90084</cdr:x>
      <cdr:y>0.83472</cdr:y>
    </cdr:to>
    <cdr:sp macro="" textlink="">
      <cdr:nvSpPr>
        <cdr:cNvPr id="4" name="TextBox 7">
          <a:extLst xmlns:a="http://schemas.openxmlformats.org/drawingml/2006/main">
            <a:ext uri="{FF2B5EF4-FFF2-40B4-BE49-F238E27FC236}">
              <a16:creationId xmlns:a16="http://schemas.microsoft.com/office/drawing/2014/main" id="{1C2D78DD-0921-4C41-8E5F-6AFA6AF323F8}"/>
            </a:ext>
          </a:extLst>
        </cdr:cNvPr>
        <cdr:cNvSpPr txBox="1"/>
      </cdr:nvSpPr>
      <cdr:spPr>
        <a:xfrm xmlns:a="http://schemas.openxmlformats.org/drawingml/2006/main">
          <a:off x="1870075" y="1717678"/>
          <a:ext cx="790567" cy="1904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Uranium</a:t>
          </a:r>
        </a:p>
      </cdr:txBody>
    </cdr:sp>
  </cdr:relSizeAnchor>
  <cdr:relSizeAnchor xmlns:cdr="http://schemas.openxmlformats.org/drawingml/2006/chartDrawing">
    <cdr:from>
      <cdr:x>0.61597</cdr:x>
      <cdr:y>0.2</cdr:y>
    </cdr:from>
    <cdr:to>
      <cdr:x>0.92557</cdr:x>
      <cdr:y>0.3125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56DBC24-B06F-DE58-8180-3EB7191B427A}"/>
            </a:ext>
          </a:extLst>
        </cdr:cNvPr>
        <cdr:cNvSpPr txBox="1"/>
      </cdr:nvSpPr>
      <cdr:spPr>
        <a:xfrm xmlns:a="http://schemas.openxmlformats.org/drawingml/2006/main">
          <a:off x="1819275" y="457200"/>
          <a:ext cx="9144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>
              <a:solidFill>
                <a:schemeClr val="accent4"/>
              </a:solidFill>
            </a:rPr>
            <a:t>Natural Gas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</xdr:colOff>
      <xdr:row>13</xdr:row>
      <xdr:rowOff>85725</xdr:rowOff>
    </xdr:from>
    <xdr:to>
      <xdr:col>12</xdr:col>
      <xdr:colOff>66674</xdr:colOff>
      <xdr:row>35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13</xdr:row>
      <xdr:rowOff>114300</xdr:rowOff>
    </xdr:from>
    <xdr:to>
      <xdr:col>18</xdr:col>
      <xdr:colOff>248412</xdr:colOff>
      <xdr:row>25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54B90F-E42F-491C-9D30-4F624C0FA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352425</xdr:colOff>
      <xdr:row>25</xdr:row>
      <xdr:rowOff>152400</xdr:rowOff>
    </xdr:from>
    <xdr:to>
      <xdr:col>18</xdr:col>
      <xdr:colOff>257937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3711B5-FA22-4EA3-ACF1-E4C2A2878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9</xdr:col>
      <xdr:colOff>304800</xdr:colOff>
      <xdr:row>54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5B47F5-0B3A-46EA-84CF-9ACD60FF4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63</xdr:row>
      <xdr:rowOff>97155</xdr:rowOff>
    </xdr:from>
    <xdr:to>
      <xdr:col>13</xdr:col>
      <xdr:colOff>386715</xdr:colOff>
      <xdr:row>89</xdr:row>
      <xdr:rowOff>59055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390525</xdr:colOff>
      <xdr:row>63</xdr:row>
      <xdr:rowOff>14287</xdr:rowOff>
    </xdr:from>
    <xdr:to>
      <xdr:col>25</xdr:col>
      <xdr:colOff>28575</xdr:colOff>
      <xdr:row>89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5BD1F-9E4B-4AAD-9109-C37429AA0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91</xdr:row>
      <xdr:rowOff>0</xdr:rowOff>
    </xdr:from>
    <xdr:to>
      <xdr:col>13</xdr:col>
      <xdr:colOff>363855</xdr:colOff>
      <xdr:row>116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2622A1-18A5-4CDB-AA31-CF9BA62D0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276224</xdr:colOff>
      <xdr:row>25</xdr:row>
      <xdr:rowOff>66675</xdr:rowOff>
    </xdr:from>
    <xdr:to>
      <xdr:col>11</xdr:col>
      <xdr:colOff>561974</xdr:colOff>
      <xdr:row>45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71702-276C-4DE9-A652-90069B3DC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95250</xdr:colOff>
      <xdr:row>24</xdr:row>
      <xdr:rowOff>123825</xdr:rowOff>
    </xdr:from>
    <xdr:to>
      <xdr:col>25</xdr:col>
      <xdr:colOff>28575</xdr:colOff>
      <xdr:row>44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2D30FC-9AD8-40DC-8EB2-2EC4AB57F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NREL Template Modified">
    <a:dk1>
      <a:srgbClr val="000000"/>
    </a:dk1>
    <a:lt1>
      <a:srgbClr val="FFFFFF"/>
    </a:lt1>
    <a:dk2>
      <a:srgbClr val="6A737B"/>
    </a:dk2>
    <a:lt2>
      <a:srgbClr val="CFD4D8"/>
    </a:lt2>
    <a:accent1>
      <a:srgbClr val="00A4E4"/>
    </a:accent1>
    <a:accent2>
      <a:srgbClr val="F6A01A"/>
    </a:accent2>
    <a:accent3>
      <a:srgbClr val="5E9732"/>
    </a:accent3>
    <a:accent4>
      <a:srgbClr val="933C06"/>
    </a:accent4>
    <a:accent5>
      <a:srgbClr val="0079C1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NREL Template Modified">
    <a:dk1>
      <a:srgbClr val="000000"/>
    </a:dk1>
    <a:lt1>
      <a:srgbClr val="FFFFFF"/>
    </a:lt1>
    <a:dk2>
      <a:srgbClr val="6A737B"/>
    </a:dk2>
    <a:lt2>
      <a:srgbClr val="CFD4D8"/>
    </a:lt2>
    <a:accent1>
      <a:srgbClr val="00A4E4"/>
    </a:accent1>
    <a:accent2>
      <a:srgbClr val="F6A01A"/>
    </a:accent2>
    <a:accent3>
      <a:srgbClr val="5E9732"/>
    </a:accent3>
    <a:accent4>
      <a:srgbClr val="933C06"/>
    </a:accent4>
    <a:accent5>
      <a:srgbClr val="0079C1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NREL Template Modified">
    <a:dk1>
      <a:srgbClr val="000000"/>
    </a:dk1>
    <a:lt1>
      <a:srgbClr val="FFFFFF"/>
    </a:lt1>
    <a:dk2>
      <a:srgbClr val="6A737B"/>
    </a:dk2>
    <a:lt2>
      <a:srgbClr val="CFD4D8"/>
    </a:lt2>
    <a:accent1>
      <a:srgbClr val="00A4E4"/>
    </a:accent1>
    <a:accent2>
      <a:srgbClr val="F6A01A"/>
    </a:accent2>
    <a:accent3>
      <a:srgbClr val="5E9732"/>
    </a:accent3>
    <a:accent4>
      <a:srgbClr val="933C06"/>
    </a:accent4>
    <a:accent5>
      <a:srgbClr val="0079C1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NREL Template Modified">
    <a:dk1>
      <a:srgbClr val="000000"/>
    </a:dk1>
    <a:lt1>
      <a:srgbClr val="FFFFFF"/>
    </a:lt1>
    <a:dk2>
      <a:srgbClr val="6A737B"/>
    </a:dk2>
    <a:lt2>
      <a:srgbClr val="CFD4D8"/>
    </a:lt2>
    <a:accent1>
      <a:srgbClr val="00A4E4"/>
    </a:accent1>
    <a:accent2>
      <a:srgbClr val="F6A01A"/>
    </a:accent2>
    <a:accent3>
      <a:srgbClr val="5E9732"/>
    </a:accent3>
    <a:accent4>
      <a:srgbClr val="933C06"/>
    </a:accent4>
    <a:accent5>
      <a:srgbClr val="0079C1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Custom 3">
    <a:dk1>
      <a:srgbClr val="000000"/>
    </a:dk1>
    <a:lt1>
      <a:srgbClr val="FFFFFF"/>
    </a:lt1>
    <a:dk2>
      <a:srgbClr val="6A737B"/>
    </a:dk2>
    <a:lt2>
      <a:srgbClr val="CFD4D8"/>
    </a:lt2>
    <a:accent1>
      <a:srgbClr val="0079C1"/>
    </a:accent1>
    <a:accent2>
      <a:srgbClr val="0079C1"/>
    </a:accent2>
    <a:accent3>
      <a:srgbClr val="F6A01A"/>
    </a:accent3>
    <a:accent4>
      <a:srgbClr val="5E9732"/>
    </a:accent4>
    <a:accent5>
      <a:srgbClr val="933C06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Custom 3">
    <a:dk1>
      <a:srgbClr val="000000"/>
    </a:dk1>
    <a:lt1>
      <a:srgbClr val="FFFFFF"/>
    </a:lt1>
    <a:dk2>
      <a:srgbClr val="6A737B"/>
    </a:dk2>
    <a:lt2>
      <a:srgbClr val="CFD4D8"/>
    </a:lt2>
    <a:accent1>
      <a:srgbClr val="0079C1"/>
    </a:accent1>
    <a:accent2>
      <a:srgbClr val="0079C1"/>
    </a:accent2>
    <a:accent3>
      <a:srgbClr val="F6A01A"/>
    </a:accent3>
    <a:accent4>
      <a:srgbClr val="5E9732"/>
    </a:accent4>
    <a:accent5>
      <a:srgbClr val="933C06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Custom 3">
    <a:dk1>
      <a:srgbClr val="000000"/>
    </a:dk1>
    <a:lt1>
      <a:srgbClr val="FFFFFF"/>
    </a:lt1>
    <a:dk2>
      <a:srgbClr val="6A737B"/>
    </a:dk2>
    <a:lt2>
      <a:srgbClr val="CFD4D8"/>
    </a:lt2>
    <a:accent1>
      <a:srgbClr val="0079C1"/>
    </a:accent1>
    <a:accent2>
      <a:srgbClr val="0079C1"/>
    </a:accent2>
    <a:accent3>
      <a:srgbClr val="F6A01A"/>
    </a:accent3>
    <a:accent4>
      <a:srgbClr val="5E9732"/>
    </a:accent4>
    <a:accent5>
      <a:srgbClr val="933C06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Custom 3">
    <a:dk1>
      <a:srgbClr val="000000"/>
    </a:dk1>
    <a:lt1>
      <a:srgbClr val="FFFFFF"/>
    </a:lt1>
    <a:dk2>
      <a:srgbClr val="6A737B"/>
    </a:dk2>
    <a:lt2>
      <a:srgbClr val="CFD4D8"/>
    </a:lt2>
    <a:accent1>
      <a:srgbClr val="0079C1"/>
    </a:accent1>
    <a:accent2>
      <a:srgbClr val="0079C1"/>
    </a:accent2>
    <a:accent3>
      <a:srgbClr val="F6A01A"/>
    </a:accent3>
    <a:accent4>
      <a:srgbClr val="5E9732"/>
    </a:accent4>
    <a:accent5>
      <a:srgbClr val="933C06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"/>
  <sheetViews>
    <sheetView tabSelected="1" workbookViewId="0"/>
  </sheetViews>
  <sheetFormatPr defaultRowHeight="15" x14ac:dyDescent="0.25"/>
  <cols>
    <col min="1" max="1" width="17.85546875" bestFit="1" customWidth="1"/>
  </cols>
  <sheetData>
    <row r="1" spans="1:42" x14ac:dyDescent="0.25">
      <c r="A1" s="1" t="s">
        <v>0</v>
      </c>
      <c r="B1" s="1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  <c r="Z1" s="2">
        <v>2034</v>
      </c>
      <c r="AA1" s="2">
        <v>2035</v>
      </c>
      <c r="AB1" s="2">
        <v>2036</v>
      </c>
      <c r="AC1" s="2">
        <v>2037</v>
      </c>
      <c r="AD1" s="2">
        <v>2038</v>
      </c>
      <c r="AE1" s="2">
        <v>2039</v>
      </c>
      <c r="AF1" s="2">
        <v>2040</v>
      </c>
      <c r="AG1" s="2">
        <v>2041</v>
      </c>
      <c r="AH1" s="2">
        <v>2042</v>
      </c>
      <c r="AI1" s="2">
        <v>2043</v>
      </c>
      <c r="AJ1" s="2">
        <v>2044</v>
      </c>
      <c r="AK1" s="2">
        <v>2045</v>
      </c>
      <c r="AL1" s="2">
        <v>2046</v>
      </c>
      <c r="AM1" s="2">
        <v>2047</v>
      </c>
      <c r="AN1" s="2">
        <v>2048</v>
      </c>
      <c r="AO1" s="2">
        <v>2049</v>
      </c>
      <c r="AP1" s="2">
        <v>2050</v>
      </c>
    </row>
    <row r="2" spans="1:42" x14ac:dyDescent="0.25">
      <c r="A2" t="s">
        <v>57</v>
      </c>
      <c r="B2">
        <v>1</v>
      </c>
      <c r="C2">
        <v>0.99849258391881335</v>
      </c>
      <c r="D2">
        <v>0.9841836846213895</v>
      </c>
      <c r="E2">
        <v>0.98482262841530055</v>
      </c>
      <c r="F2">
        <v>1.0046947455113193</v>
      </c>
      <c r="G2">
        <v>0.99702483996877433</v>
      </c>
      <c r="H2">
        <v>0.99530471662763464</v>
      </c>
      <c r="I2" s="7">
        <v>0.98951929508196712</v>
      </c>
      <c r="J2" s="7">
        <v>1.0208092107728337</v>
      </c>
      <c r="K2" s="7">
        <v>1.0138515823575331</v>
      </c>
      <c r="L2" s="7">
        <v>0.98940083996877437</v>
      </c>
      <c r="M2" s="7">
        <v>1.0299690312256051</v>
      </c>
      <c r="N2" s="7">
        <v>1.0549933754879002</v>
      </c>
      <c r="O2" s="7">
        <v>1.0470268516783763</v>
      </c>
      <c r="P2" s="7">
        <v>1.0761188782201405</v>
      </c>
      <c r="Q2" s="7">
        <v>1.0910677892271663</v>
      </c>
      <c r="R2" s="7">
        <v>1.1006374301327089</v>
      </c>
      <c r="S2" s="7">
        <v>1.1166932989851679</v>
      </c>
      <c r="T2" s="7">
        <v>1.1308581061670571</v>
      </c>
      <c r="U2" s="7">
        <v>1.1475120281030444</v>
      </c>
      <c r="V2" s="7">
        <v>1.1643147853239657</v>
      </c>
      <c r="W2" s="7">
        <v>1.1821905277127243</v>
      </c>
      <c r="X2" s="7">
        <v>1.2053452131147542</v>
      </c>
      <c r="Y2" s="7">
        <v>1.2297044738485556</v>
      </c>
      <c r="Z2" s="7">
        <v>1.2572416057767368</v>
      </c>
      <c r="AA2" s="7">
        <v>1.2855879422326306</v>
      </c>
      <c r="AB2" s="7">
        <v>1.3148456057767368</v>
      </c>
      <c r="AC2" s="7">
        <v>1.3438168337236531</v>
      </c>
      <c r="AD2" s="7">
        <v>1.3719158594847776</v>
      </c>
      <c r="AE2" s="7">
        <v>1.399901351288056</v>
      </c>
      <c r="AF2" s="7">
        <v>1.4267206096799374</v>
      </c>
      <c r="AG2" s="7">
        <v>1.4520816471506632</v>
      </c>
      <c r="AH2" s="7">
        <v>1.4760840725995314</v>
      </c>
      <c r="AI2" s="7">
        <v>1.4988091530054646</v>
      </c>
      <c r="AJ2" s="7">
        <v>1.519899362997658</v>
      </c>
      <c r="AK2" s="7">
        <v>1.5403434676034347</v>
      </c>
      <c r="AL2" s="7">
        <v>1.5602183497267761</v>
      </c>
      <c r="AM2" s="7">
        <v>1.5806704402810305</v>
      </c>
      <c r="AN2" s="7">
        <v>1.6020320304449649</v>
      </c>
      <c r="AO2" s="7">
        <v>1.6240689211553474</v>
      </c>
      <c r="AP2" s="7">
        <v>1.6470536557377047</v>
      </c>
    </row>
    <row r="3" spans="1:42" x14ac:dyDescent="0.25">
      <c r="A3" t="s">
        <v>64</v>
      </c>
      <c r="B3">
        <v>1</v>
      </c>
      <c r="C3">
        <v>0.99849258391881335</v>
      </c>
      <c r="D3">
        <v>0.9841836846213895</v>
      </c>
      <c r="E3">
        <v>0.98482262841530055</v>
      </c>
      <c r="F3">
        <v>1.0046947455113193</v>
      </c>
      <c r="G3">
        <v>0.99702483996877433</v>
      </c>
      <c r="H3">
        <v>0.99530471662763464</v>
      </c>
      <c r="I3" s="7">
        <v>0.98951929508196712</v>
      </c>
      <c r="J3" s="7">
        <v>1.0208092107728337</v>
      </c>
      <c r="K3" s="7">
        <v>1.0138515823575331</v>
      </c>
      <c r="L3" s="7">
        <v>0.98940083996877437</v>
      </c>
      <c r="M3" s="7">
        <v>1.0299690312256051</v>
      </c>
      <c r="N3" s="7">
        <v>1.0549933754879002</v>
      </c>
      <c r="O3" s="7">
        <v>1.0435344957064794</v>
      </c>
      <c r="P3" s="7">
        <v>1.0761688579234974</v>
      </c>
      <c r="Q3" s="7">
        <v>1.0898130936768149</v>
      </c>
      <c r="R3" s="7">
        <v>1.1060900999219359</v>
      </c>
      <c r="S3" s="7">
        <v>1.126754555815769</v>
      </c>
      <c r="T3" s="7">
        <v>1.1430164082747853</v>
      </c>
      <c r="U3" s="7">
        <v>1.164378993754879</v>
      </c>
      <c r="V3" s="7">
        <v>1.1857879203747073</v>
      </c>
      <c r="W3" s="7">
        <v>1.2083202903981263</v>
      </c>
      <c r="X3" s="7">
        <v>1.2351856057767368</v>
      </c>
      <c r="Y3" s="7">
        <v>1.2630336416861825</v>
      </c>
      <c r="Z3" s="7">
        <v>1.2941610187353632</v>
      </c>
      <c r="AA3" s="7">
        <v>1.3308798860265418</v>
      </c>
      <c r="AB3" s="7">
        <v>1.3636362404371583</v>
      </c>
      <c r="AC3" s="7">
        <v>1.3959979375487899</v>
      </c>
      <c r="AD3" s="7">
        <v>1.4257482201405152</v>
      </c>
      <c r="AE3" s="7">
        <v>1.4555049711163153</v>
      </c>
      <c r="AF3" s="7">
        <v>1.4835642045277124</v>
      </c>
      <c r="AG3" s="7">
        <v>1.5096131100702577</v>
      </c>
      <c r="AH3" s="7">
        <v>1.5366906955503512</v>
      </c>
      <c r="AI3" s="7">
        <v>1.5628823590944574</v>
      </c>
      <c r="AJ3" s="7">
        <v>1.5877624199843872</v>
      </c>
      <c r="AK3" s="7">
        <v>1.6126907556596408</v>
      </c>
      <c r="AL3" s="7">
        <v>1.6376007166276345</v>
      </c>
      <c r="AM3" s="7">
        <v>1.6637865604996096</v>
      </c>
      <c r="AN3" s="7">
        <v>1.6901471975019515</v>
      </c>
      <c r="AO3" s="7">
        <v>1.7178489945355191</v>
      </c>
      <c r="AP3" s="7">
        <v>1.7473800554254488</v>
      </c>
    </row>
    <row r="4" spans="1:42" x14ac:dyDescent="0.25">
      <c r="A4" t="s">
        <v>65</v>
      </c>
      <c r="B4">
        <v>1</v>
      </c>
      <c r="C4">
        <v>0.99849258391881335</v>
      </c>
      <c r="D4">
        <v>0.9841836846213895</v>
      </c>
      <c r="E4">
        <v>0.98482262841530055</v>
      </c>
      <c r="F4">
        <v>1.0046947455113193</v>
      </c>
      <c r="G4">
        <v>0.99702483996877433</v>
      </c>
      <c r="H4">
        <v>0.99530471662763464</v>
      </c>
      <c r="I4" s="7">
        <v>0.98951929508196712</v>
      </c>
      <c r="J4" s="7">
        <v>1.0208092107728337</v>
      </c>
      <c r="K4" s="7">
        <v>1.0138515823575331</v>
      </c>
      <c r="L4" s="7">
        <v>0.98940083996877437</v>
      </c>
      <c r="M4" s="7">
        <v>1.0299690312256051</v>
      </c>
      <c r="N4" s="7">
        <v>1.0549933754879002</v>
      </c>
      <c r="O4" s="7">
        <v>1.0369746213895394</v>
      </c>
      <c r="P4" s="7">
        <v>1.0760407603434816</v>
      </c>
      <c r="Q4" s="7">
        <v>1.0800682576112413</v>
      </c>
      <c r="R4" s="7">
        <v>1.0859236479313035</v>
      </c>
      <c r="S4" s="7">
        <v>1.098032931303669</v>
      </c>
      <c r="T4" s="7">
        <v>1.1097590577673693</v>
      </c>
      <c r="U4" s="7">
        <v>1.1249730725995315</v>
      </c>
      <c r="V4" s="7">
        <v>1.1397565854800937</v>
      </c>
      <c r="W4" s="7">
        <v>1.155456544886807</v>
      </c>
      <c r="X4" s="7">
        <v>1.1760966510538642</v>
      </c>
      <c r="Y4" s="7">
        <v>1.1980248064012491</v>
      </c>
      <c r="Z4" s="7">
        <v>1.2220308914910225</v>
      </c>
      <c r="AA4" s="7">
        <v>1.2471941397345823</v>
      </c>
      <c r="AB4" s="7">
        <v>1.2724967338017175</v>
      </c>
      <c r="AC4" s="7">
        <v>1.2969036908665106</v>
      </c>
      <c r="AD4" s="7">
        <v>1.3213282888368463</v>
      </c>
      <c r="AE4" s="7">
        <v>1.3456928563622168</v>
      </c>
      <c r="AF4" s="7">
        <v>1.3683752607338018</v>
      </c>
      <c r="AG4" s="7">
        <v>1.3894782053083528</v>
      </c>
      <c r="AH4" s="7">
        <v>1.4100743466042154</v>
      </c>
      <c r="AI4" s="7">
        <v>1.4297110655737704</v>
      </c>
      <c r="AJ4" s="7">
        <v>1.4477380928961749</v>
      </c>
      <c r="AK4" s="7">
        <v>1.4649894621389539</v>
      </c>
      <c r="AL4" s="7">
        <v>1.4827422716627634</v>
      </c>
      <c r="AM4" s="7">
        <v>1.5003712661982824</v>
      </c>
      <c r="AN4" s="7">
        <v>1.5181806471506636</v>
      </c>
      <c r="AO4" s="7">
        <v>1.5367669679937546</v>
      </c>
      <c r="AP4" s="7">
        <v>1.5567053887587821</v>
      </c>
    </row>
    <row r="5" spans="1:42" x14ac:dyDescent="0.25">
      <c r="A5" t="s">
        <v>52</v>
      </c>
      <c r="B5">
        <v>1</v>
      </c>
      <c r="C5">
        <v>0.99849258391881335</v>
      </c>
      <c r="D5">
        <v>0.9841836846213895</v>
      </c>
      <c r="E5">
        <v>0.98482262841530055</v>
      </c>
      <c r="F5">
        <v>1.0046947455113193</v>
      </c>
      <c r="G5">
        <v>0.99702483996877433</v>
      </c>
      <c r="H5">
        <v>0.99530471662763464</v>
      </c>
      <c r="I5" s="7">
        <v>0.98951929508196712</v>
      </c>
      <c r="J5" s="7">
        <v>1.0208092107728337</v>
      </c>
      <c r="K5" s="7">
        <v>1.0138515823575331</v>
      </c>
      <c r="L5" s="7">
        <v>0.98870358391881341</v>
      </c>
      <c r="M5" s="7">
        <v>1.0292882240437158</v>
      </c>
      <c r="N5" s="7">
        <v>1.0539426736924278</v>
      </c>
      <c r="O5" s="7">
        <v>1.0447302217017955</v>
      </c>
      <c r="P5" s="7">
        <v>1.0540864777517565</v>
      </c>
      <c r="Q5" s="7">
        <v>1.0622304379391101</v>
      </c>
      <c r="R5" s="7">
        <v>1.0726637931303669</v>
      </c>
      <c r="S5" s="7">
        <v>1.0827499180327869</v>
      </c>
      <c r="T5" s="7">
        <v>1.0939845472287275</v>
      </c>
      <c r="U5" s="7">
        <v>1.1044000679156909</v>
      </c>
      <c r="V5" s="7">
        <v>1.1132752521467604</v>
      </c>
      <c r="W5" s="7">
        <v>1.1219232498048399</v>
      </c>
      <c r="X5" s="7">
        <v>1.1319729164715064</v>
      </c>
      <c r="Y5" s="7">
        <v>1.140905157689305</v>
      </c>
      <c r="Z5" s="7">
        <v>1.1504197892271661</v>
      </c>
      <c r="AA5" s="7">
        <v>1.1611145925058548</v>
      </c>
      <c r="AB5" s="7">
        <v>1.1716153645589384</v>
      </c>
      <c r="AC5" s="7">
        <v>1.1824606658860264</v>
      </c>
      <c r="AD5" s="7">
        <v>1.1929372201405151</v>
      </c>
      <c r="AE5" s="7">
        <v>1.2029088696330992</v>
      </c>
      <c r="AF5" s="7">
        <v>1.2135477540983606</v>
      </c>
      <c r="AG5" s="7">
        <v>1.2249601857923496</v>
      </c>
      <c r="AH5" s="7">
        <v>1.2367174793130367</v>
      </c>
      <c r="AI5" s="7">
        <v>1.2485335870413738</v>
      </c>
      <c r="AJ5" s="7">
        <v>1.2602757868852459</v>
      </c>
      <c r="AK5" s="7">
        <v>1.2724844176424668</v>
      </c>
      <c r="AL5" s="7">
        <v>1.2869562732240436</v>
      </c>
      <c r="AM5" s="7">
        <v>1.3011325823575333</v>
      </c>
      <c r="AN5" s="7">
        <v>1.31496050039032</v>
      </c>
      <c r="AO5" s="7">
        <v>1.3292126854020296</v>
      </c>
      <c r="AP5" s="7">
        <v>1.3455924160811865</v>
      </c>
    </row>
    <row r="6" spans="1:42" x14ac:dyDescent="0.25">
      <c r="A6" t="s">
        <v>55</v>
      </c>
      <c r="B6">
        <v>1</v>
      </c>
      <c r="C6">
        <v>0.99849258391881335</v>
      </c>
      <c r="D6">
        <v>0.9841836846213895</v>
      </c>
      <c r="E6">
        <v>0.98482262841530055</v>
      </c>
      <c r="F6">
        <v>1.0046947455113193</v>
      </c>
      <c r="G6">
        <v>0.99702483996877433</v>
      </c>
      <c r="H6">
        <v>0.99530471662763464</v>
      </c>
      <c r="I6" s="7">
        <v>0.98951929508196712</v>
      </c>
      <c r="J6" s="7">
        <v>1.0208092107728337</v>
      </c>
      <c r="K6" s="7">
        <v>1.0138515823575331</v>
      </c>
      <c r="L6" s="7">
        <v>0.98870358391881341</v>
      </c>
      <c r="M6" s="7">
        <v>1.0292882240437158</v>
      </c>
      <c r="N6" s="7">
        <v>1.0539426736924278</v>
      </c>
      <c r="O6" s="7">
        <v>1.041260074941452</v>
      </c>
      <c r="P6" s="7">
        <v>1.0565273341139736</v>
      </c>
      <c r="Q6" s="7">
        <v>1.0685432708821232</v>
      </c>
      <c r="R6" s="7">
        <v>1.0832380624512099</v>
      </c>
      <c r="S6" s="7">
        <v>1.0969937540983608</v>
      </c>
      <c r="T6" s="7">
        <v>1.1112961545667446</v>
      </c>
      <c r="U6" s="7">
        <v>1.1248584004683839</v>
      </c>
      <c r="V6" s="7">
        <v>1.1368524551131927</v>
      </c>
      <c r="W6" s="7">
        <v>1.1477849352068696</v>
      </c>
      <c r="X6" s="7">
        <v>1.1597827923497268</v>
      </c>
      <c r="Y6" s="7">
        <v>1.1706082435597189</v>
      </c>
      <c r="Z6" s="7">
        <v>1.1823762974238874</v>
      </c>
      <c r="AA6" s="7">
        <v>1.1953343965651835</v>
      </c>
      <c r="AB6" s="7">
        <v>1.2087556221701794</v>
      </c>
      <c r="AC6" s="7">
        <v>1.2228534051522246</v>
      </c>
      <c r="AD6" s="7">
        <v>1.2359303302107727</v>
      </c>
      <c r="AE6" s="7">
        <v>1.2481873497267759</v>
      </c>
      <c r="AF6" s="7">
        <v>1.2618314754098359</v>
      </c>
      <c r="AG6" s="7">
        <v>1.2759369734582355</v>
      </c>
      <c r="AH6" s="7">
        <v>1.2909689867291179</v>
      </c>
      <c r="AI6" s="7">
        <v>1.3065156401249023</v>
      </c>
      <c r="AJ6" s="7">
        <v>1.3222801967213116</v>
      </c>
      <c r="AK6" s="7">
        <v>1.338576782201405</v>
      </c>
      <c r="AL6" s="7">
        <v>1.3545812755659641</v>
      </c>
      <c r="AM6" s="7">
        <v>1.3706495690866509</v>
      </c>
      <c r="AN6" s="7">
        <v>1.3870948134270102</v>
      </c>
      <c r="AO6" s="7">
        <v>1.4037908376268537</v>
      </c>
      <c r="AP6" s="7">
        <v>1.4218971233411395</v>
      </c>
    </row>
    <row r="7" spans="1:42" x14ac:dyDescent="0.25">
      <c r="A7" t="s">
        <v>56</v>
      </c>
      <c r="B7">
        <v>1</v>
      </c>
      <c r="C7">
        <v>0.99849258391881335</v>
      </c>
      <c r="D7">
        <v>0.9841836846213895</v>
      </c>
      <c r="E7">
        <v>0.98482262841530055</v>
      </c>
      <c r="F7">
        <v>1.0046947455113193</v>
      </c>
      <c r="G7">
        <v>0.99702483996877433</v>
      </c>
      <c r="H7">
        <v>0.99530471662763464</v>
      </c>
      <c r="I7" s="7">
        <v>0.98951929508196712</v>
      </c>
      <c r="J7" s="7">
        <v>1.0208092107728337</v>
      </c>
      <c r="K7" s="7">
        <v>1.0138515823575331</v>
      </c>
      <c r="L7" s="7">
        <v>0.98870358391881341</v>
      </c>
      <c r="M7" s="7">
        <v>1.0292882240437158</v>
      </c>
      <c r="N7" s="7">
        <v>1.0539426736924278</v>
      </c>
      <c r="O7" s="7">
        <v>1.0345058110850898</v>
      </c>
      <c r="P7" s="7">
        <v>1.0393464020296643</v>
      </c>
      <c r="Q7" s="7">
        <v>1.0446468852459017</v>
      </c>
      <c r="R7" s="7">
        <v>1.0525780007806402</v>
      </c>
      <c r="S7" s="7">
        <v>1.0601979594067135</v>
      </c>
      <c r="T7" s="7">
        <v>1.0687606424668228</v>
      </c>
      <c r="U7" s="7">
        <v>1.0772994519906323</v>
      </c>
      <c r="V7" s="7">
        <v>1.0850831639344263</v>
      </c>
      <c r="W7" s="7">
        <v>1.0933879960967994</v>
      </c>
      <c r="X7" s="7">
        <v>1.1025234746291961</v>
      </c>
      <c r="Y7" s="7">
        <v>1.1095072209211552</v>
      </c>
      <c r="Z7" s="7">
        <v>1.1162232115534738</v>
      </c>
      <c r="AA7" s="7">
        <v>1.1236490663544105</v>
      </c>
      <c r="AB7" s="7">
        <v>1.1315115331772052</v>
      </c>
      <c r="AC7" s="7">
        <v>1.1399690725995315</v>
      </c>
      <c r="AD7" s="7">
        <v>1.1484517509758001</v>
      </c>
      <c r="AE7" s="7">
        <v>1.1565840850897735</v>
      </c>
      <c r="AF7" s="7">
        <v>1.1648694355971896</v>
      </c>
      <c r="AG7" s="7">
        <v>1.1736451280249804</v>
      </c>
      <c r="AH7" s="7">
        <v>1.1832602209211553</v>
      </c>
      <c r="AI7" s="7">
        <v>1.1933461225604995</v>
      </c>
      <c r="AJ7" s="7">
        <v>1.2031192107728337</v>
      </c>
      <c r="AK7" s="7">
        <v>1.2130963239656518</v>
      </c>
      <c r="AL7" s="7">
        <v>1.2235700491803279</v>
      </c>
      <c r="AM7" s="7">
        <v>1.2343561686182669</v>
      </c>
      <c r="AN7" s="7">
        <v>1.2460120593286494</v>
      </c>
      <c r="AO7" s="7">
        <v>1.2580475136612022</v>
      </c>
      <c r="AP7" s="7">
        <v>1.271015906323185</v>
      </c>
    </row>
    <row r="8" spans="1:42" x14ac:dyDescent="0.25">
      <c r="A8" t="s">
        <v>39</v>
      </c>
      <c r="B8">
        <v>1</v>
      </c>
      <c r="C8">
        <v>0.99126369591424113</v>
      </c>
      <c r="D8">
        <v>0.98252739182848958</v>
      </c>
      <c r="E8">
        <v>0.99001503243923517</v>
      </c>
      <c r="F8">
        <v>0.99750267304997642</v>
      </c>
      <c r="G8">
        <v>0.99258584736101985</v>
      </c>
      <c r="H8">
        <v>0.98766902167205861</v>
      </c>
      <c r="I8">
        <v>0.98997388736118697</v>
      </c>
      <c r="J8">
        <v>0.99227876403321735</v>
      </c>
      <c r="K8">
        <v>1.0058802563226996</v>
      </c>
      <c r="L8">
        <v>1.0194817692415241</v>
      </c>
      <c r="M8">
        <v>1.0263586529082938</v>
      </c>
      <c r="N8">
        <v>1.0332355932150001</v>
      </c>
      <c r="O8">
        <v>1.0446446323330045</v>
      </c>
      <c r="P8">
        <v>1.0560538076532606</v>
      </c>
      <c r="Q8">
        <v>1.0693015265373058</v>
      </c>
      <c r="R8">
        <v>1.0825496727527291</v>
      </c>
      <c r="S8">
        <v>1.1034848071787757</v>
      </c>
      <c r="T8">
        <v>1.1244215994286992</v>
      </c>
      <c r="U8">
        <v>1.1466021978949881</v>
      </c>
      <c r="V8">
        <v>1.1687844725289913</v>
      </c>
      <c r="W8">
        <v>1.1942890642102597</v>
      </c>
      <c r="X8">
        <v>1.2197954087845229</v>
      </c>
      <c r="Y8">
        <v>1.2501638268559254</v>
      </c>
      <c r="Z8">
        <v>1.2805341266836907</v>
      </c>
      <c r="AA8">
        <v>1.3137947749807195</v>
      </c>
      <c r="AB8">
        <v>1.347056856243507</v>
      </c>
      <c r="AC8">
        <v>1.3812830925375548</v>
      </c>
      <c r="AD8">
        <v>1.4155102736245073</v>
      </c>
      <c r="AE8">
        <v>1.4476434118984913</v>
      </c>
      <c r="AF8">
        <v>1.4797772415019252</v>
      </c>
      <c r="AG8">
        <v>1.5115136176458588</v>
      </c>
      <c r="AH8">
        <v>1.5432505257503517</v>
      </c>
      <c r="AI8">
        <v>1.5745673323163014</v>
      </c>
      <c r="AJ8">
        <v>1.6058845088774913</v>
      </c>
      <c r="AK8">
        <v>1.6373077525181059</v>
      </c>
      <c r="AL8">
        <v>1.6687313347300243</v>
      </c>
      <c r="AM8">
        <v>1.6998424249272186</v>
      </c>
      <c r="AN8">
        <v>1.7309537593042548</v>
      </c>
      <c r="AO8">
        <v>1.7619567767257913</v>
      </c>
      <c r="AP8">
        <v>1.7929601508750175</v>
      </c>
    </row>
    <row r="9" spans="1:42" x14ac:dyDescent="0.25">
      <c r="A9" t="s">
        <v>40</v>
      </c>
    </row>
    <row r="10" spans="1:42" x14ac:dyDescent="0.25">
      <c r="A10" t="s">
        <v>48</v>
      </c>
      <c r="M10">
        <f>M4/$M$4</f>
        <v>1</v>
      </c>
      <c r="N10">
        <f t="shared" ref="N10:AP10" si="0">N4/$M$4</f>
        <v>1.0242962103749056</v>
      </c>
      <c r="O10">
        <f t="shared" si="0"/>
        <v>1.006801748355092</v>
      </c>
      <c r="P10">
        <f t="shared" si="0"/>
        <v>1.0447311790171534</v>
      </c>
      <c r="Q10">
        <f t="shared" si="0"/>
        <v>1.0486414881096191</v>
      </c>
      <c r="R10">
        <f t="shared" si="0"/>
        <v>1.054326504010626</v>
      </c>
      <c r="S10">
        <f t="shared" si="0"/>
        <v>1.0660834433022435</v>
      </c>
      <c r="T10">
        <f t="shared" si="0"/>
        <v>1.0774683744100719</v>
      </c>
      <c r="U10">
        <f t="shared" si="0"/>
        <v>1.0922397067229068</v>
      </c>
      <c r="V10">
        <f t="shared" si="0"/>
        <v>1.1065930634087586</v>
      </c>
      <c r="W10">
        <f t="shared" si="0"/>
        <v>1.1218362007563265</v>
      </c>
      <c r="X10">
        <f t="shared" si="0"/>
        <v>1.1418757413068774</v>
      </c>
      <c r="Y10">
        <f t="shared" si="0"/>
        <v>1.1631658526428383</v>
      </c>
      <c r="Z10">
        <f t="shared" si="0"/>
        <v>1.1864734321544355</v>
      </c>
      <c r="AA10">
        <f t="shared" si="0"/>
        <v>1.2109045048184521</v>
      </c>
      <c r="AB10">
        <f t="shared" si="0"/>
        <v>1.2354708687575955</v>
      </c>
      <c r="AC10">
        <f t="shared" si="0"/>
        <v>1.2591676560636667</v>
      </c>
      <c r="AD10">
        <f t="shared" si="0"/>
        <v>1.2828815709774692</v>
      </c>
      <c r="AE10">
        <f t="shared" si="0"/>
        <v>1.3065372021534649</v>
      </c>
      <c r="AF10">
        <f t="shared" si="0"/>
        <v>1.3285596161134208</v>
      </c>
      <c r="AG10">
        <f t="shared" si="0"/>
        <v>1.3490485278522908</v>
      </c>
      <c r="AH10">
        <f t="shared" si="0"/>
        <v>1.3690453827784572</v>
      </c>
      <c r="AI10">
        <f t="shared" si="0"/>
        <v>1.3881107317105397</v>
      </c>
      <c r="AJ10">
        <f t="shared" si="0"/>
        <v>1.4056132262282179</v>
      </c>
      <c r="AK10">
        <f t="shared" si="0"/>
        <v>1.4223626320062255</v>
      </c>
      <c r="AL10">
        <f t="shared" si="0"/>
        <v>1.439598887646538</v>
      </c>
      <c r="AM10">
        <f t="shared" si="0"/>
        <v>1.4567149309459577</v>
      </c>
      <c r="AN10">
        <f t="shared" si="0"/>
        <v>1.4740061119547587</v>
      </c>
      <c r="AO10">
        <f t="shared" si="0"/>
        <v>1.4920516262174295</v>
      </c>
      <c r="AP10">
        <f t="shared" si="0"/>
        <v>1.5114098983213022</v>
      </c>
    </row>
    <row r="11" spans="1:42" x14ac:dyDescent="0.25">
      <c r="A11" t="s">
        <v>27</v>
      </c>
      <c r="M11">
        <f>M2/$M$2</f>
        <v>1</v>
      </c>
      <c r="N11">
        <f t="shared" ref="N11:AP11" si="1">N2/$M$2</f>
        <v>1.0242962103749056</v>
      </c>
      <c r="O11">
        <f t="shared" si="1"/>
        <v>1.0165614886813377</v>
      </c>
      <c r="P11">
        <f t="shared" si="1"/>
        <v>1.0448070238962619</v>
      </c>
      <c r="Q11">
        <f t="shared" si="1"/>
        <v>1.0593209661157066</v>
      </c>
      <c r="R11">
        <f t="shared" si="1"/>
        <v>1.0686121589724036</v>
      </c>
      <c r="S11">
        <f t="shared" si="1"/>
        <v>1.0842008498608602</v>
      </c>
      <c r="T11">
        <f t="shared" si="1"/>
        <v>1.0979535033411632</v>
      </c>
      <c r="U11">
        <f t="shared" si="1"/>
        <v>1.1141228457496142</v>
      </c>
      <c r="V11">
        <f t="shared" si="1"/>
        <v>1.1304366927794876</v>
      </c>
      <c r="W11">
        <f t="shared" si="1"/>
        <v>1.1477923043045131</v>
      </c>
      <c r="X11">
        <f t="shared" si="1"/>
        <v>1.1702732573235346</v>
      </c>
      <c r="Y11">
        <f t="shared" si="1"/>
        <v>1.1939237361197905</v>
      </c>
      <c r="Z11">
        <f t="shared" si="1"/>
        <v>1.2206596195234047</v>
      </c>
      <c r="AA11">
        <f t="shared" si="1"/>
        <v>1.2481811620130494</v>
      </c>
      <c r="AB11">
        <f t="shared" si="1"/>
        <v>1.2765875146868684</v>
      </c>
      <c r="AC11">
        <f t="shared" si="1"/>
        <v>1.3047157661862772</v>
      </c>
      <c r="AD11">
        <f t="shared" si="1"/>
        <v>1.3319971939857989</v>
      </c>
      <c r="AE11">
        <f t="shared" si="1"/>
        <v>1.3591683913275066</v>
      </c>
      <c r="AF11">
        <f t="shared" si="1"/>
        <v>1.385207289176666</v>
      </c>
      <c r="AG11">
        <f t="shared" si="1"/>
        <v>1.409830395990419</v>
      </c>
      <c r="AH11">
        <f t="shared" si="1"/>
        <v>1.4331344223457618</v>
      </c>
      <c r="AI11">
        <f t="shared" si="1"/>
        <v>1.4551982705945694</v>
      </c>
      <c r="AJ11">
        <f t="shared" si="1"/>
        <v>1.4756748182895008</v>
      </c>
      <c r="AK11">
        <f t="shared" si="1"/>
        <v>1.495524060340448</v>
      </c>
      <c r="AL11">
        <f t="shared" si="1"/>
        <v>1.514820642587869</v>
      </c>
      <c r="AM11">
        <f t="shared" si="1"/>
        <v>1.534677638219978</v>
      </c>
      <c r="AN11">
        <f t="shared" si="1"/>
        <v>1.5554176697319113</v>
      </c>
      <c r="AO11">
        <f t="shared" si="1"/>
        <v>1.5768133525556558</v>
      </c>
      <c r="AP11">
        <f t="shared" si="1"/>
        <v>1.5991292998176883</v>
      </c>
    </row>
    <row r="12" spans="1:42" x14ac:dyDescent="0.25">
      <c r="A12" t="s">
        <v>47</v>
      </c>
      <c r="M12">
        <f>M3/$M$3</f>
        <v>1</v>
      </c>
      <c r="N12">
        <f t="shared" ref="N12:AP12" si="2">N3/$M$3</f>
        <v>1.0242962103749056</v>
      </c>
      <c r="O12">
        <f t="shared" si="2"/>
        <v>1.0131707498668501</v>
      </c>
      <c r="P12">
        <f t="shared" si="2"/>
        <v>1.044855549339107</v>
      </c>
      <c r="Q12">
        <f t="shared" si="2"/>
        <v>1.0581027784689785</v>
      </c>
      <c r="R12">
        <f t="shared" si="2"/>
        <v>1.0739061723105898</v>
      </c>
      <c r="S12">
        <f t="shared" si="2"/>
        <v>1.0939693540833888</v>
      </c>
      <c r="T12">
        <f t="shared" si="2"/>
        <v>1.1097580350689382</v>
      </c>
      <c r="U12">
        <f t="shared" si="2"/>
        <v>1.1304990329362947</v>
      </c>
      <c r="V12">
        <f t="shared" si="2"/>
        <v>1.1512850235542387</v>
      </c>
      <c r="W12">
        <f t="shared" si="2"/>
        <v>1.173161768718709</v>
      </c>
      <c r="X12">
        <f t="shared" si="2"/>
        <v>1.1992453834334567</v>
      </c>
      <c r="Y12">
        <f t="shared" si="2"/>
        <v>1.2262831244384538</v>
      </c>
      <c r="Z12">
        <f t="shared" si="2"/>
        <v>1.2565047875229651</v>
      </c>
      <c r="AA12">
        <f t="shared" si="2"/>
        <v>1.2921552451367104</v>
      </c>
      <c r="AB12">
        <f t="shared" si="2"/>
        <v>1.3239584871930643</v>
      </c>
      <c r="AC12">
        <f t="shared" si="2"/>
        <v>1.3553785553024162</v>
      </c>
      <c r="AD12">
        <f t="shared" si="2"/>
        <v>1.3842631932767484</v>
      </c>
      <c r="AE12">
        <f t="shared" si="2"/>
        <v>1.4131541114244439</v>
      </c>
      <c r="AF12">
        <f t="shared" si="2"/>
        <v>1.4403969047131004</v>
      </c>
      <c r="AG12">
        <f t="shared" si="2"/>
        <v>1.4656878646864782</v>
      </c>
      <c r="AH12">
        <f t="shared" si="2"/>
        <v>1.4919775730749649</v>
      </c>
      <c r="AI12">
        <f t="shared" si="2"/>
        <v>1.517407137217238</v>
      </c>
      <c r="AJ12">
        <f t="shared" si="2"/>
        <v>1.5415632624361912</v>
      </c>
      <c r="AK12">
        <f t="shared" si="2"/>
        <v>1.5657662577879936</v>
      </c>
      <c r="AL12">
        <f t="shared" si="2"/>
        <v>1.5899514130817913</v>
      </c>
      <c r="AM12">
        <f t="shared" si="2"/>
        <v>1.6153753268870592</v>
      </c>
      <c r="AN12">
        <f t="shared" si="2"/>
        <v>1.6409689478631913</v>
      </c>
      <c r="AO12">
        <f t="shared" si="2"/>
        <v>1.6678647051080513</v>
      </c>
      <c r="AP12">
        <f t="shared" si="2"/>
        <v>1.6965365000791965</v>
      </c>
    </row>
    <row r="13" spans="1:42" x14ac:dyDescent="0.25">
      <c r="A13" t="s">
        <v>39</v>
      </c>
      <c r="M13">
        <f>M8/$M$8</f>
        <v>1</v>
      </c>
      <c r="N13">
        <f t="shared" ref="N13:AP13" si="3">N8/$M$8</f>
        <v>1.00670032866895</v>
      </c>
      <c r="O13">
        <f t="shared" si="3"/>
        <v>1.0178163640681506</v>
      </c>
      <c r="P13">
        <f t="shared" si="3"/>
        <v>1.0289325321716951</v>
      </c>
      <c r="Q13">
        <f t="shared" si="3"/>
        <v>1.0418400268827364</v>
      </c>
      <c r="R13">
        <f t="shared" si="3"/>
        <v>1.054747937950552</v>
      </c>
      <c r="S13">
        <f t="shared" si="3"/>
        <v>1.0751454221698595</v>
      </c>
      <c r="T13">
        <f t="shared" si="3"/>
        <v>1.0955445216372794</v>
      </c>
      <c r="U13">
        <f t="shared" si="3"/>
        <v>1.1171554842412754</v>
      </c>
      <c r="V13">
        <f t="shared" si="3"/>
        <v>1.1387680799661202</v>
      </c>
      <c r="W13">
        <f t="shared" si="3"/>
        <v>1.1636176699306016</v>
      </c>
      <c r="X13">
        <f t="shared" si="3"/>
        <v>1.1884689677707749</v>
      </c>
      <c r="Y13">
        <f t="shared" si="3"/>
        <v>1.2180574727103985</v>
      </c>
      <c r="Z13">
        <f t="shared" si="3"/>
        <v>1.2476478110796498</v>
      </c>
      <c r="AA13">
        <f t="shared" si="3"/>
        <v>1.2800542688054957</v>
      </c>
      <c r="AB13">
        <f t="shared" si="3"/>
        <v>1.3124621226960786</v>
      </c>
      <c r="AC13">
        <f t="shared" si="3"/>
        <v>1.345809370460848</v>
      </c>
      <c r="AD13">
        <f t="shared" si="3"/>
        <v>1.3791575387546176</v>
      </c>
      <c r="AE13">
        <f t="shared" si="3"/>
        <v>1.4104654428512329</v>
      </c>
      <c r="AF13">
        <f t="shared" si="3"/>
        <v>1.4417740205227703</v>
      </c>
      <c r="AG13">
        <f t="shared" si="3"/>
        <v>1.472695352022247</v>
      </c>
      <c r="AH13">
        <f t="shared" si="3"/>
        <v>1.503617201820622</v>
      </c>
      <c r="AI13">
        <f t="shared" si="3"/>
        <v>1.5341297390094597</v>
      </c>
      <c r="AJ13">
        <f t="shared" si="3"/>
        <v>1.5646426366914246</v>
      </c>
      <c r="AK13">
        <f t="shared" si="3"/>
        <v>1.5952588774680512</v>
      </c>
      <c r="AL13">
        <f t="shared" si="3"/>
        <v>1.6258754481208892</v>
      </c>
      <c r="AM13">
        <f t="shared" si="3"/>
        <v>1.6561875520906251</v>
      </c>
      <c r="AN13">
        <f t="shared" si="3"/>
        <v>1.6864998939692453</v>
      </c>
      <c r="AO13">
        <f t="shared" si="3"/>
        <v>1.7167067006578101</v>
      </c>
      <c r="AP13">
        <f t="shared" si="3"/>
        <v>1.7469138549126846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"/>
  <sheetViews>
    <sheetView zoomScaleNormal="100" workbookViewId="0">
      <selection activeCell="E5" sqref="E5"/>
    </sheetView>
  </sheetViews>
  <sheetFormatPr defaultRowHeight="15" x14ac:dyDescent="0.25"/>
  <cols>
    <col min="1" max="1" width="16.7109375" bestFit="1" customWidth="1"/>
  </cols>
  <sheetData>
    <row r="1" spans="1:42" x14ac:dyDescent="0.25">
      <c r="A1" s="1" t="s">
        <v>0</v>
      </c>
      <c r="B1" s="1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  <c r="Z1" s="2">
        <v>2034</v>
      </c>
      <c r="AA1" s="2">
        <v>2035</v>
      </c>
      <c r="AB1" s="2">
        <v>2036</v>
      </c>
      <c r="AC1" s="2">
        <v>2037</v>
      </c>
      <c r="AD1" s="2">
        <v>2038</v>
      </c>
      <c r="AE1" s="2">
        <v>2039</v>
      </c>
      <c r="AF1" s="2">
        <v>2040</v>
      </c>
      <c r="AG1" s="2">
        <v>2041</v>
      </c>
      <c r="AH1" s="2">
        <v>2042</v>
      </c>
      <c r="AI1" s="2">
        <v>2043</v>
      </c>
      <c r="AJ1" s="2">
        <v>2044</v>
      </c>
      <c r="AK1" s="2">
        <v>2045</v>
      </c>
      <c r="AL1" s="2">
        <v>2046</v>
      </c>
      <c r="AM1" s="2">
        <v>2047</v>
      </c>
      <c r="AN1" s="2">
        <v>2048</v>
      </c>
      <c r="AO1" s="2">
        <v>2049</v>
      </c>
      <c r="AP1" s="2">
        <v>2050</v>
      </c>
    </row>
    <row r="2" spans="1:42" x14ac:dyDescent="0.25">
      <c r="A2" t="s">
        <v>57</v>
      </c>
      <c r="C2">
        <v>3.3507873656262626</v>
      </c>
      <c r="D2">
        <v>3.327143211256832</v>
      </c>
      <c r="E2">
        <v>3.1890057967132486</v>
      </c>
      <c r="F2">
        <v>3.1677956657633817</v>
      </c>
      <c r="G2">
        <v>2.9682727874648496</v>
      </c>
      <c r="H2">
        <v>2.8090153937293492</v>
      </c>
      <c r="I2">
        <v>2.6119257488731158</v>
      </c>
      <c r="J2">
        <v>2.6267752475956456</v>
      </c>
      <c r="K2">
        <v>2.5108391279496769</v>
      </c>
      <c r="L2">
        <v>2.3780149516081392</v>
      </c>
      <c r="M2">
        <v>2.3800114247111992</v>
      </c>
      <c r="N2">
        <v>2.2867335720179991</v>
      </c>
      <c r="O2">
        <v>2.2035718140029994</v>
      </c>
      <c r="P2">
        <v>2.488794</v>
      </c>
      <c r="Q2">
        <v>2.4308079999999999</v>
      </c>
      <c r="R2">
        <v>2.3847939999999999</v>
      </c>
      <c r="S2">
        <v>2.326921</v>
      </c>
      <c r="T2">
        <v>2.2379560000000001</v>
      </c>
      <c r="U2">
        <v>2.2037680000000002</v>
      </c>
      <c r="V2">
        <v>2.1956859999999998</v>
      </c>
      <c r="W2">
        <v>2.1831230000000001</v>
      </c>
      <c r="X2">
        <v>2.1631179999999999</v>
      </c>
      <c r="Y2">
        <v>2.1573820000000001</v>
      </c>
      <c r="Z2">
        <v>2.1684130000000001</v>
      </c>
      <c r="AA2">
        <v>2.160901</v>
      </c>
      <c r="AB2">
        <v>2.1475849999999999</v>
      </c>
      <c r="AC2">
        <v>2.1557439999999999</v>
      </c>
      <c r="AD2">
        <v>2.1208109999999998</v>
      </c>
      <c r="AE2">
        <v>2.11497</v>
      </c>
      <c r="AF2">
        <v>2.120485</v>
      </c>
      <c r="AG2">
        <v>2.1159569999999999</v>
      </c>
      <c r="AH2">
        <v>2.1090740000000001</v>
      </c>
      <c r="AI2">
        <v>2.1063499999999999</v>
      </c>
      <c r="AJ2">
        <v>2.0970939999999998</v>
      </c>
      <c r="AK2">
        <v>2.102223</v>
      </c>
      <c r="AL2">
        <v>2.0948739999999999</v>
      </c>
      <c r="AM2">
        <v>2.1010049999999998</v>
      </c>
      <c r="AN2">
        <v>2.1035409999999999</v>
      </c>
      <c r="AO2">
        <v>2.107148</v>
      </c>
      <c r="AP2">
        <v>2.10446</v>
      </c>
    </row>
    <row r="3" spans="1:42" x14ac:dyDescent="0.25">
      <c r="A3" t="s">
        <v>52</v>
      </c>
      <c r="C3">
        <v>3.3507873656262626</v>
      </c>
      <c r="D3">
        <v>3.327143211256832</v>
      </c>
      <c r="E3">
        <v>3.1890057967132486</v>
      </c>
      <c r="F3">
        <v>3.1677956657633817</v>
      </c>
      <c r="G3">
        <v>2.9682727874648496</v>
      </c>
      <c r="H3">
        <v>2.8090153937293492</v>
      </c>
      <c r="I3">
        <v>2.6119257488731158</v>
      </c>
      <c r="J3">
        <v>2.6267752475956456</v>
      </c>
      <c r="K3">
        <v>2.5108391279496769</v>
      </c>
      <c r="L3">
        <v>2.3780149516081392</v>
      </c>
      <c r="M3">
        <v>2.3800114247111992</v>
      </c>
      <c r="N3">
        <v>2.2867335720179991</v>
      </c>
      <c r="O3">
        <v>2.2035718140029994</v>
      </c>
      <c r="P3">
        <v>2.2000722395399994</v>
      </c>
      <c r="Q3">
        <v>2.1821523187589995</v>
      </c>
      <c r="R3">
        <v>2.1511231869959992</v>
      </c>
      <c r="S3">
        <v>2.1302778490559993</v>
      </c>
      <c r="T3">
        <v>2.1040112235869994</v>
      </c>
      <c r="U3">
        <v>2.0917632485609996</v>
      </c>
      <c r="V3">
        <v>2.0932179232229995</v>
      </c>
      <c r="W3">
        <v>2.0858235055559993</v>
      </c>
      <c r="X3">
        <v>2.0540798907299993</v>
      </c>
      <c r="Y3">
        <v>2.0417622884189996</v>
      </c>
      <c r="Z3">
        <v>2.0402251322039993</v>
      </c>
      <c r="AA3">
        <v>2.0329378334369994</v>
      </c>
      <c r="AB3">
        <v>2.0261668477679997</v>
      </c>
      <c r="AC3">
        <v>2.0237823810539997</v>
      </c>
      <c r="AD3">
        <v>2.0510184325679996</v>
      </c>
      <c r="AE3">
        <v>2.0463459061499996</v>
      </c>
      <c r="AF3">
        <v>2.0485911182939995</v>
      </c>
      <c r="AG3">
        <v>2.0471535826559992</v>
      </c>
      <c r="AH3">
        <v>2.0453411308679996</v>
      </c>
      <c r="AI3">
        <v>2.0449255095359997</v>
      </c>
      <c r="AJ3">
        <v>2.0393221198769997</v>
      </c>
      <c r="AK3">
        <v>2.0350277231759994</v>
      </c>
      <c r="AL3">
        <v>2.0357936233109992</v>
      </c>
      <c r="AM3">
        <v>2.0302941389849996</v>
      </c>
      <c r="AN3">
        <v>2.0210433507809995</v>
      </c>
      <c r="AO3">
        <v>2.0247785868239996</v>
      </c>
      <c r="AP3">
        <v>2.0216335759199997</v>
      </c>
    </row>
    <row r="4" spans="1:42" x14ac:dyDescent="0.25">
      <c r="B4">
        <v>2023</v>
      </c>
      <c r="C4">
        <v>2024</v>
      </c>
      <c r="D4" t="s">
        <v>59</v>
      </c>
    </row>
    <row r="5" spans="1:42" x14ac:dyDescent="0.25">
      <c r="B5">
        <v>1.0409999999999999</v>
      </c>
      <c r="C5">
        <v>1.0289999999999999</v>
      </c>
      <c r="D5">
        <v>1.0711889999999997</v>
      </c>
      <c r="E5">
        <v>1.0711889999999997</v>
      </c>
      <c r="F5" t="s">
        <v>58</v>
      </c>
    </row>
    <row r="7" spans="1:42" x14ac:dyDescent="0.25">
      <c r="A7" t="s">
        <v>31</v>
      </c>
      <c r="C7">
        <f>C2</f>
        <v>3.3507873656262626</v>
      </c>
      <c r="D7">
        <f t="shared" ref="D7:AP7" si="0">D2</f>
        <v>3.327143211256832</v>
      </c>
      <c r="E7">
        <f t="shared" si="0"/>
        <v>3.1890057967132486</v>
      </c>
      <c r="F7">
        <f t="shared" si="0"/>
        <v>3.1677956657633817</v>
      </c>
      <c r="G7">
        <f t="shared" si="0"/>
        <v>2.9682727874648496</v>
      </c>
      <c r="H7">
        <f t="shared" si="0"/>
        <v>2.8090153937293492</v>
      </c>
      <c r="I7">
        <f t="shared" si="0"/>
        <v>2.6119257488731158</v>
      </c>
      <c r="J7">
        <f t="shared" si="0"/>
        <v>2.6267752475956456</v>
      </c>
      <c r="K7">
        <f t="shared" si="0"/>
        <v>2.5108391279496769</v>
      </c>
      <c r="L7">
        <f t="shared" si="0"/>
        <v>2.3780149516081392</v>
      </c>
      <c r="M7">
        <f t="shared" si="0"/>
        <v>2.3800114247111992</v>
      </c>
      <c r="N7">
        <f t="shared" si="0"/>
        <v>2.2867335720179991</v>
      </c>
      <c r="O7">
        <f t="shared" si="0"/>
        <v>2.2035718140029994</v>
      </c>
      <c r="P7">
        <f t="shared" si="0"/>
        <v>2.488794</v>
      </c>
      <c r="Q7">
        <f t="shared" si="0"/>
        <v>2.4308079999999999</v>
      </c>
      <c r="R7">
        <f t="shared" si="0"/>
        <v>2.3847939999999999</v>
      </c>
      <c r="S7">
        <f t="shared" si="0"/>
        <v>2.326921</v>
      </c>
      <c r="T7">
        <f t="shared" si="0"/>
        <v>2.2379560000000001</v>
      </c>
      <c r="U7">
        <f t="shared" si="0"/>
        <v>2.2037680000000002</v>
      </c>
      <c r="V7">
        <f t="shared" si="0"/>
        <v>2.1956859999999998</v>
      </c>
      <c r="W7">
        <f t="shared" si="0"/>
        <v>2.1831230000000001</v>
      </c>
      <c r="X7">
        <f t="shared" si="0"/>
        <v>2.1631179999999999</v>
      </c>
      <c r="Y7">
        <f t="shared" si="0"/>
        <v>2.1573820000000001</v>
      </c>
      <c r="Z7">
        <f t="shared" si="0"/>
        <v>2.1684130000000001</v>
      </c>
      <c r="AA7">
        <f t="shared" si="0"/>
        <v>2.160901</v>
      </c>
      <c r="AB7">
        <f t="shared" si="0"/>
        <v>2.1475849999999999</v>
      </c>
      <c r="AC7">
        <f t="shared" si="0"/>
        <v>2.1557439999999999</v>
      </c>
      <c r="AD7">
        <f t="shared" si="0"/>
        <v>2.1208109999999998</v>
      </c>
      <c r="AE7">
        <f t="shared" si="0"/>
        <v>2.11497</v>
      </c>
      <c r="AF7">
        <f t="shared" si="0"/>
        <v>2.120485</v>
      </c>
      <c r="AG7">
        <f t="shared" si="0"/>
        <v>2.1159569999999999</v>
      </c>
      <c r="AH7">
        <f t="shared" si="0"/>
        <v>2.1090740000000001</v>
      </c>
      <c r="AI7">
        <f t="shared" si="0"/>
        <v>2.1063499999999999</v>
      </c>
      <c r="AJ7">
        <f t="shared" si="0"/>
        <v>2.0970939999999998</v>
      </c>
      <c r="AK7">
        <f t="shared" si="0"/>
        <v>2.102223</v>
      </c>
      <c r="AL7">
        <f t="shared" si="0"/>
        <v>2.0948739999999999</v>
      </c>
      <c r="AM7">
        <f t="shared" si="0"/>
        <v>2.1010049999999998</v>
      </c>
      <c r="AN7">
        <f t="shared" si="0"/>
        <v>2.1035409999999999</v>
      </c>
      <c r="AO7">
        <f t="shared" si="0"/>
        <v>2.107148</v>
      </c>
      <c r="AP7">
        <f t="shared" si="0"/>
        <v>2.10446</v>
      </c>
    </row>
    <row r="8" spans="1:42" x14ac:dyDescent="0.25">
      <c r="A8" t="s">
        <v>30</v>
      </c>
      <c r="B8">
        <v>1.0949229190516678</v>
      </c>
      <c r="C8">
        <v>1.0803239466119727</v>
      </c>
      <c r="D8">
        <v>1.0940678831375996</v>
      </c>
      <c r="E8">
        <v>1.0176741157471558</v>
      </c>
      <c r="F8">
        <v>1.0258591619472208</v>
      </c>
      <c r="G8">
        <v>0.70544598557101179</v>
      </c>
      <c r="H8">
        <v>0.82546241996591085</v>
      </c>
      <c r="I8">
        <v>0.82674022525617574</v>
      </c>
      <c r="J8">
        <v>0.82929583690789477</v>
      </c>
      <c r="K8">
        <v>0.82895216519864678</v>
      </c>
      <c r="L8">
        <v>0.83107174829672681</v>
      </c>
      <c r="M8">
        <v>0.82909720097567974</v>
      </c>
      <c r="N8">
        <v>0.76147826680799979</v>
      </c>
      <c r="O8">
        <v>0.7614011411999998</v>
      </c>
      <c r="P8">
        <v>0.753328</v>
      </c>
      <c r="Q8">
        <v>0.75326199999999999</v>
      </c>
      <c r="R8">
        <v>0.75318600000000002</v>
      </c>
      <c r="S8">
        <v>0.75312100000000004</v>
      </c>
      <c r="T8">
        <v>0.75305599999999995</v>
      </c>
      <c r="U8">
        <v>0.75297999999999998</v>
      </c>
      <c r="V8">
        <v>0.75291399999999997</v>
      </c>
      <c r="W8">
        <v>0.75283800000000001</v>
      </c>
      <c r="X8">
        <v>0.75277300000000003</v>
      </c>
      <c r="Y8">
        <v>0.75270800000000004</v>
      </c>
      <c r="Z8">
        <v>0.75263199999999997</v>
      </c>
      <c r="AA8">
        <v>0.75256699999999999</v>
      </c>
      <c r="AB8">
        <v>0.75249100000000002</v>
      </c>
      <c r="AC8">
        <v>0.75242500000000001</v>
      </c>
      <c r="AD8">
        <v>0.75236000000000003</v>
      </c>
      <c r="AE8">
        <v>0.75228399999999995</v>
      </c>
      <c r="AF8">
        <v>0.75221899999999997</v>
      </c>
      <c r="AG8">
        <v>0.75215399999999999</v>
      </c>
      <c r="AH8">
        <v>0.75207800000000002</v>
      </c>
      <c r="AI8">
        <v>0.75201200000000001</v>
      </c>
      <c r="AJ8">
        <v>0.75193600000000005</v>
      </c>
      <c r="AK8">
        <v>0.75187099999999996</v>
      </c>
      <c r="AL8">
        <v>0.75180599999999997</v>
      </c>
      <c r="AM8">
        <v>0.75173000000000001</v>
      </c>
      <c r="AN8">
        <v>0.75166500000000003</v>
      </c>
      <c r="AO8">
        <v>0.75160000000000005</v>
      </c>
      <c r="AP8">
        <v>0.75152300000000005</v>
      </c>
    </row>
    <row r="9" spans="1:42" x14ac:dyDescent="0.25">
      <c r="A9" t="s">
        <v>63</v>
      </c>
      <c r="B9">
        <v>1.0949229190516678</v>
      </c>
      <c r="C9">
        <v>1.0803239466119727</v>
      </c>
      <c r="D9">
        <v>1.0940678831375996</v>
      </c>
      <c r="E9">
        <v>1.0176741157471558</v>
      </c>
      <c r="F9">
        <v>1.0258591619472208</v>
      </c>
      <c r="G9">
        <v>0.70544598557101179</v>
      </c>
      <c r="H9">
        <v>0.82546241996591085</v>
      </c>
      <c r="I9">
        <v>0.82674022525617574</v>
      </c>
      <c r="J9">
        <v>0.82929583690789477</v>
      </c>
      <c r="K9">
        <v>0.82895216519864678</v>
      </c>
      <c r="L9">
        <v>0.83107174829672681</v>
      </c>
      <c r="M9">
        <v>0.82909720097567974</v>
      </c>
      <c r="N9">
        <v>0.76147826680799979</v>
      </c>
      <c r="O9">
        <v>0.7614011411999998</v>
      </c>
      <c r="P9">
        <v>0.76133579867099976</v>
      </c>
      <c r="Q9">
        <v>0.76126938495299978</v>
      </c>
      <c r="R9">
        <v>0.76119333053399973</v>
      </c>
      <c r="S9">
        <v>0.76112691681599975</v>
      </c>
      <c r="T9">
        <v>0.76106050309799977</v>
      </c>
      <c r="U9">
        <v>0.76098444867899984</v>
      </c>
      <c r="V9">
        <v>0.76091803496099986</v>
      </c>
      <c r="W9">
        <v>0.76084090935299986</v>
      </c>
      <c r="X9">
        <v>0.76077556682399972</v>
      </c>
      <c r="Y9">
        <v>0.76070915310599974</v>
      </c>
      <c r="Z9">
        <v>0.7606330986869998</v>
      </c>
      <c r="AA9">
        <v>0.76056668496899982</v>
      </c>
      <c r="AB9">
        <v>0.76048955936099982</v>
      </c>
      <c r="AC9">
        <v>0.76042421683199979</v>
      </c>
      <c r="AD9">
        <v>0.76035780311399981</v>
      </c>
      <c r="AE9">
        <v>0.76028174869499987</v>
      </c>
      <c r="AF9">
        <v>0.76021533497699978</v>
      </c>
      <c r="AG9">
        <v>0.7601489212589998</v>
      </c>
      <c r="AH9">
        <v>0.76007286683999975</v>
      </c>
      <c r="AI9">
        <v>0.76000645312199977</v>
      </c>
      <c r="AJ9">
        <v>0.75992932751399977</v>
      </c>
      <c r="AK9">
        <v>0.75986398498499985</v>
      </c>
      <c r="AL9">
        <v>0.75979757126699987</v>
      </c>
      <c r="AM9">
        <v>0.75972151684799982</v>
      </c>
      <c r="AN9">
        <v>0.75965510312999973</v>
      </c>
      <c r="AO9">
        <v>0.75958868941199975</v>
      </c>
      <c r="AP9">
        <v>0.75951263499299981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2"/>
  <sheetViews>
    <sheetView workbookViewId="0">
      <selection activeCell="O9" sqref="O9"/>
    </sheetView>
  </sheetViews>
  <sheetFormatPr defaultRowHeight="15" x14ac:dyDescent="0.25"/>
  <cols>
    <col min="1" max="1" width="24.140625" bestFit="1" customWidth="1"/>
  </cols>
  <sheetData>
    <row r="1" spans="1:42" x14ac:dyDescent="0.25">
      <c r="A1" s="1" t="s">
        <v>0</v>
      </c>
      <c r="B1" s="1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  <c r="Z1" s="2">
        <v>2034</v>
      </c>
      <c r="AA1" s="2">
        <v>2035</v>
      </c>
      <c r="AB1" s="2">
        <v>2036</v>
      </c>
      <c r="AC1" s="2">
        <v>2037</v>
      </c>
      <c r="AD1" s="2">
        <v>2038</v>
      </c>
      <c r="AE1" s="2">
        <v>2039</v>
      </c>
      <c r="AF1" s="2">
        <v>2040</v>
      </c>
      <c r="AG1" s="2">
        <v>2041</v>
      </c>
      <c r="AH1" s="2">
        <v>2042</v>
      </c>
      <c r="AI1" s="2">
        <v>2043</v>
      </c>
      <c r="AJ1" s="2">
        <v>2044</v>
      </c>
      <c r="AK1" s="2">
        <v>2045</v>
      </c>
      <c r="AL1" s="2">
        <v>2046</v>
      </c>
      <c r="AM1" s="2">
        <v>2047</v>
      </c>
      <c r="AN1" s="2">
        <v>2048</v>
      </c>
      <c r="AO1" s="2">
        <v>2049</v>
      </c>
      <c r="AP1" s="2">
        <v>2050</v>
      </c>
    </row>
    <row r="2" spans="1:42" x14ac:dyDescent="0.25">
      <c r="A2" t="s">
        <v>57</v>
      </c>
      <c r="B2">
        <v>7.4287481187538065</v>
      </c>
      <c r="C2">
        <v>6.7037262880480606</v>
      </c>
      <c r="D2">
        <v>4.7928849172414028</v>
      </c>
      <c r="E2">
        <v>5.997271557758733</v>
      </c>
      <c r="F2">
        <v>6.7346123247610592</v>
      </c>
      <c r="G2">
        <v>4.2877225773695686</v>
      </c>
      <c r="H2">
        <v>3.7483609608280575</v>
      </c>
      <c r="I2">
        <v>4.3257650457209484</v>
      </c>
      <c r="J2">
        <v>4.2709841218622042</v>
      </c>
      <c r="K2">
        <v>3.5042841007231984</v>
      </c>
      <c r="L2">
        <v>2.9645882827064347</v>
      </c>
      <c r="M2">
        <v>5.9572671857168391</v>
      </c>
      <c r="N2">
        <v>7.5198121225289984</v>
      </c>
      <c r="O2">
        <f>1.0588*L2</f>
        <v>3.1389060737295731</v>
      </c>
      <c r="P2">
        <v>2.7239149999999999</v>
      </c>
      <c r="Q2">
        <v>3.1569289999999999</v>
      </c>
      <c r="R2">
        <v>3.0739700000000001</v>
      </c>
      <c r="S2">
        <v>3.0153080000000001</v>
      </c>
      <c r="T2">
        <v>3.0705049999999998</v>
      </c>
      <c r="U2">
        <v>3.2646169999999999</v>
      </c>
      <c r="V2">
        <v>3.4315820000000001</v>
      </c>
      <c r="W2">
        <v>3.5506389999999999</v>
      </c>
      <c r="X2">
        <v>4.043609</v>
      </c>
      <c r="Y2">
        <v>4.3247770000000001</v>
      </c>
      <c r="Z2">
        <v>4.4705380000000003</v>
      </c>
      <c r="AA2">
        <v>4.5190190000000001</v>
      </c>
      <c r="AB2">
        <v>4.5014159999999999</v>
      </c>
      <c r="AC2">
        <v>4.4108809999999998</v>
      </c>
      <c r="AD2">
        <v>4.3408300000000004</v>
      </c>
      <c r="AE2">
        <v>4.2817970000000001</v>
      </c>
      <c r="AF2">
        <v>4.3096769999999998</v>
      </c>
      <c r="AG2">
        <v>4.3984069999999997</v>
      </c>
      <c r="AH2">
        <v>4.4850729999999999</v>
      </c>
      <c r="AI2">
        <v>4.5699630000000004</v>
      </c>
      <c r="AJ2">
        <v>4.5927829999999998</v>
      </c>
      <c r="AK2">
        <v>4.5856329999999996</v>
      </c>
      <c r="AL2">
        <v>4.6211710000000004</v>
      </c>
      <c r="AM2">
        <v>4.6284669999999997</v>
      </c>
      <c r="AN2">
        <v>4.5858759999999998</v>
      </c>
      <c r="AO2">
        <v>4.5211319999999997</v>
      </c>
      <c r="AP2">
        <v>4.4591669999999999</v>
      </c>
    </row>
    <row r="3" spans="1:42" x14ac:dyDescent="0.25">
      <c r="A3" t="s">
        <v>60</v>
      </c>
      <c r="B3">
        <v>7.4287481187538065</v>
      </c>
      <c r="C3">
        <v>6.7037262880480606</v>
      </c>
      <c r="D3">
        <v>4.7928849172414028</v>
      </c>
      <c r="E3">
        <v>5.997271557758733</v>
      </c>
      <c r="F3">
        <v>6.7346123247610592</v>
      </c>
      <c r="G3">
        <v>4.2877225773695686</v>
      </c>
      <c r="H3">
        <v>3.7483609608280575</v>
      </c>
      <c r="I3">
        <v>4.3257650457209484</v>
      </c>
      <c r="J3">
        <v>4.2709878654333115</v>
      </c>
      <c r="K3">
        <v>3.5042841007231984</v>
      </c>
      <c r="L3">
        <v>2.9645882827064347</v>
      </c>
      <c r="M3">
        <v>5.9578710792274796</v>
      </c>
      <c r="N3">
        <v>7.5196953629279983</v>
      </c>
      <c r="O3">
        <f t="shared" ref="O3:O4" si="0">1.0588*L3</f>
        <v>3.1389060737295731</v>
      </c>
      <c r="P3">
        <v>2.7179669999999998</v>
      </c>
      <c r="Q3">
        <v>2.6831839999999998</v>
      </c>
      <c r="R3">
        <v>2.5481530000000001</v>
      </c>
      <c r="S3">
        <v>2.5562320000000001</v>
      </c>
      <c r="T3">
        <v>2.6556739999999999</v>
      </c>
      <c r="U3">
        <v>2.7328600000000001</v>
      </c>
      <c r="V3">
        <v>2.8562949999999998</v>
      </c>
      <c r="W3">
        <v>2.8866999999999998</v>
      </c>
      <c r="X3">
        <v>3.2152980000000002</v>
      </c>
      <c r="Y3">
        <v>3.2623880000000001</v>
      </c>
      <c r="Z3">
        <v>3.3154279999999998</v>
      </c>
      <c r="AA3">
        <v>3.3408679999999999</v>
      </c>
      <c r="AB3">
        <v>3.3392400000000002</v>
      </c>
      <c r="AC3">
        <v>3.311086</v>
      </c>
      <c r="AD3">
        <v>3.2859929999999999</v>
      </c>
      <c r="AE3">
        <v>3.2698520000000002</v>
      </c>
      <c r="AF3">
        <v>3.3216079999999999</v>
      </c>
      <c r="AG3">
        <v>3.391181</v>
      </c>
      <c r="AH3">
        <v>3.406933</v>
      </c>
      <c r="AI3">
        <v>3.3668330000000002</v>
      </c>
      <c r="AJ3">
        <v>3.3064499999999999</v>
      </c>
      <c r="AK3">
        <v>3.2917719999999999</v>
      </c>
      <c r="AL3">
        <v>3.3040370000000001</v>
      </c>
      <c r="AM3">
        <v>3.3022849999999999</v>
      </c>
      <c r="AN3">
        <v>3.2958889999999998</v>
      </c>
      <c r="AO3">
        <v>3.2604829999999998</v>
      </c>
      <c r="AP3">
        <v>3.2284630000000001</v>
      </c>
    </row>
    <row r="4" spans="1:42" x14ac:dyDescent="0.25">
      <c r="A4" t="s">
        <v>61</v>
      </c>
      <c r="B4">
        <v>7.4287481187538065</v>
      </c>
      <c r="C4">
        <v>6.7037262880480606</v>
      </c>
      <c r="D4">
        <v>4.7928849172414028</v>
      </c>
      <c r="E4">
        <v>5.997271557758733</v>
      </c>
      <c r="F4">
        <v>6.7346123247610592</v>
      </c>
      <c r="G4">
        <v>4.2877225773695686</v>
      </c>
      <c r="H4">
        <v>3.7483609608280575</v>
      </c>
      <c r="I4">
        <v>4.3257662935779848</v>
      </c>
      <c r="J4">
        <v>4.2709866175762752</v>
      </c>
      <c r="K4">
        <v>3.5042841007231984</v>
      </c>
      <c r="L4">
        <v>2.9645882827064347</v>
      </c>
      <c r="M4">
        <v>5.9561646751504789</v>
      </c>
      <c r="N4">
        <v>7.5195946711619985</v>
      </c>
      <c r="O4">
        <f t="shared" si="0"/>
        <v>3.1389060737295731</v>
      </c>
      <c r="P4">
        <v>2.7197610000000001</v>
      </c>
      <c r="Q4">
        <v>4.077515</v>
      </c>
      <c r="R4">
        <v>4.1087400000000001</v>
      </c>
      <c r="S4">
        <v>4.2087000000000003</v>
      </c>
      <c r="T4">
        <v>4.4981689999999999</v>
      </c>
      <c r="U4">
        <v>4.9592700000000001</v>
      </c>
      <c r="V4">
        <v>5.8689039999999997</v>
      </c>
      <c r="W4">
        <v>6.4327220000000001</v>
      </c>
      <c r="X4">
        <v>7.2855270000000001</v>
      </c>
      <c r="Y4">
        <v>7.5910529999999996</v>
      </c>
      <c r="Z4">
        <v>7.7930789999999996</v>
      </c>
      <c r="AA4">
        <v>7.9190569999999996</v>
      </c>
      <c r="AB4">
        <v>8.1221010000000007</v>
      </c>
      <c r="AC4">
        <v>8.1293340000000001</v>
      </c>
      <c r="AD4">
        <v>7.9998899999999997</v>
      </c>
      <c r="AE4">
        <v>8.1126310000000004</v>
      </c>
      <c r="AF4">
        <v>8.1274029999999993</v>
      </c>
      <c r="AG4">
        <v>8.08535</v>
      </c>
      <c r="AH4">
        <v>7.9479040000000003</v>
      </c>
      <c r="AI4">
        <v>7.7962210000000001</v>
      </c>
      <c r="AJ4">
        <v>7.8995300000000004</v>
      </c>
      <c r="AK4">
        <v>7.9028330000000002</v>
      </c>
      <c r="AL4">
        <v>7.9672159999999996</v>
      </c>
      <c r="AM4">
        <v>8.2505220000000001</v>
      </c>
      <c r="AN4">
        <v>8.5853380000000001</v>
      </c>
      <c r="AO4">
        <v>8.8874139999999997</v>
      </c>
      <c r="AP4">
        <v>9.2186009999999996</v>
      </c>
    </row>
    <row r="5" spans="1:42" x14ac:dyDescent="0.25">
      <c r="A5" t="s">
        <v>52</v>
      </c>
      <c r="B5">
        <v>7.4287481187538065</v>
      </c>
      <c r="C5">
        <v>6.7037262880480606</v>
      </c>
      <c r="D5">
        <v>4.7928849172414028</v>
      </c>
      <c r="E5">
        <v>5.997271557758733</v>
      </c>
      <c r="F5">
        <v>6.7346123247610592</v>
      </c>
      <c r="G5">
        <v>4.2877225773695686</v>
      </c>
      <c r="H5">
        <v>3.7483609608280575</v>
      </c>
      <c r="I5">
        <v>4.3257650457209484</v>
      </c>
      <c r="J5">
        <v>4.2709841218622042</v>
      </c>
      <c r="K5">
        <v>3.5042841007231984</v>
      </c>
      <c r="L5">
        <v>2.9645882827064347</v>
      </c>
      <c r="M5">
        <v>5.9572671857168391</v>
      </c>
      <c r="N5">
        <v>7.5198121225289984</v>
      </c>
      <c r="O5">
        <v>6.0220638796499983</v>
      </c>
      <c r="P5">
        <v>4.8016100484449984</v>
      </c>
      <c r="Q5">
        <v>4.1429520001799993</v>
      </c>
      <c r="R5">
        <v>3.6259951175909988</v>
      </c>
      <c r="S5">
        <v>3.305726745614999</v>
      </c>
      <c r="T5">
        <v>3.1790500768529992</v>
      </c>
      <c r="U5">
        <v>3.1739244374879991</v>
      </c>
      <c r="V5">
        <v>3.2134673794229989</v>
      </c>
      <c r="W5">
        <v>3.2900402538989995</v>
      </c>
      <c r="X5">
        <v>3.3767712136619989</v>
      </c>
      <c r="Y5">
        <v>3.5155823114159994</v>
      </c>
      <c r="Z5">
        <v>3.6326825505179992</v>
      </c>
      <c r="AA5">
        <v>3.7611073997279991</v>
      </c>
      <c r="AB5">
        <v>3.798816466094999</v>
      </c>
      <c r="AC5">
        <v>3.8495072719529992</v>
      </c>
      <c r="AD5">
        <v>3.9991984363799991</v>
      </c>
      <c r="AE5">
        <v>3.968178945317999</v>
      </c>
      <c r="AF5">
        <v>4.1177308551749991</v>
      </c>
      <c r="AG5">
        <v>4.1965318027709984</v>
      </c>
      <c r="AH5">
        <v>4.1761834965269991</v>
      </c>
      <c r="AI5">
        <v>4.120977629033999</v>
      </c>
      <c r="AJ5">
        <v>4.0473526666859989</v>
      </c>
      <c r="AK5">
        <v>4.0385100014909989</v>
      </c>
      <c r="AL5">
        <v>4.0130007066449993</v>
      </c>
      <c r="AM5">
        <v>3.9784270104809991</v>
      </c>
      <c r="AN5">
        <v>3.9607074020429991</v>
      </c>
      <c r="AO5">
        <v>3.9019141225889991</v>
      </c>
      <c r="AP5">
        <v>3.8999527755299987</v>
      </c>
    </row>
    <row r="6" spans="1:42" x14ac:dyDescent="0.25">
      <c r="A6" t="s">
        <v>53</v>
      </c>
      <c r="B6">
        <v>7.4287481187538065</v>
      </c>
      <c r="C6">
        <v>6.7037262880480606</v>
      </c>
      <c r="D6">
        <v>4.7928849172414028</v>
      </c>
      <c r="E6">
        <v>5.997271557758733</v>
      </c>
      <c r="F6">
        <v>6.7346123247610592</v>
      </c>
      <c r="G6">
        <v>4.2877225773695686</v>
      </c>
      <c r="H6">
        <v>3.7483609608280575</v>
      </c>
      <c r="I6">
        <v>4.3257650457209484</v>
      </c>
      <c r="J6">
        <v>4.2709878654333115</v>
      </c>
      <c r="K6">
        <v>3.5042841007231984</v>
      </c>
      <c r="L6">
        <v>2.9645882827064347</v>
      </c>
      <c r="M6">
        <v>5.9578710792274796</v>
      </c>
      <c r="N6">
        <v>7.5196953629279983</v>
      </c>
      <c r="O6">
        <v>5.4345617030879989</v>
      </c>
      <c r="P6">
        <v>4.1990041069829989</v>
      </c>
      <c r="Q6">
        <v>3.5908868981159987</v>
      </c>
      <c r="R6">
        <v>3.2206979051729991</v>
      </c>
      <c r="S6">
        <v>3.0126065876549992</v>
      </c>
      <c r="T6">
        <v>2.8961640585989992</v>
      </c>
      <c r="U6">
        <v>2.9272499633789995</v>
      </c>
      <c r="V6">
        <v>2.992796018288999</v>
      </c>
      <c r="W6">
        <v>3.0980778291539992</v>
      </c>
      <c r="X6">
        <v>3.1936460981669992</v>
      </c>
      <c r="Y6">
        <v>3.2712965887769991</v>
      </c>
      <c r="Z6">
        <v>3.2455473475949992</v>
      </c>
      <c r="AA6">
        <v>3.2461075794419991</v>
      </c>
      <c r="AB6">
        <v>3.2304500098289992</v>
      </c>
      <c r="AC6">
        <v>3.2459918910299987</v>
      </c>
      <c r="AD6">
        <v>3.2896471275359991</v>
      </c>
      <c r="AE6">
        <v>3.2710030829909988</v>
      </c>
      <c r="AF6">
        <v>3.3156813049919989</v>
      </c>
      <c r="AG6">
        <v>3.3170031522179992</v>
      </c>
      <c r="AH6">
        <v>3.2946270851969994</v>
      </c>
      <c r="AI6">
        <v>3.2595092250209992</v>
      </c>
      <c r="AJ6">
        <v>3.2568258965759993</v>
      </c>
      <c r="AK6">
        <v>3.2157800764739992</v>
      </c>
      <c r="AL6">
        <v>3.2006666708729994</v>
      </c>
      <c r="AM6">
        <v>3.1970556927539993</v>
      </c>
      <c r="AN6">
        <v>3.2009837428169989</v>
      </c>
      <c r="AO6">
        <v>3.1532783407019993</v>
      </c>
      <c r="AP6">
        <v>3.0993289779059991</v>
      </c>
    </row>
    <row r="7" spans="1:42" x14ac:dyDescent="0.25">
      <c r="A7" t="s">
        <v>54</v>
      </c>
      <c r="B7">
        <v>7.4287481187538065</v>
      </c>
      <c r="C7">
        <v>6.7037262880480606</v>
      </c>
      <c r="D7">
        <v>4.7928849172414028</v>
      </c>
      <c r="E7">
        <v>5.997271557758733</v>
      </c>
      <c r="F7">
        <v>6.7346123247610592</v>
      </c>
      <c r="G7">
        <v>4.2877225773695686</v>
      </c>
      <c r="H7">
        <v>3.7483609608280575</v>
      </c>
      <c r="I7">
        <v>4.3257662935779848</v>
      </c>
      <c r="J7">
        <v>4.2709866175762752</v>
      </c>
      <c r="K7">
        <v>3.5042841007231984</v>
      </c>
      <c r="L7">
        <v>2.9645882827064347</v>
      </c>
      <c r="M7">
        <v>5.9561646751504789</v>
      </c>
      <c r="N7">
        <v>7.5195946711619985</v>
      </c>
      <c r="O7">
        <v>6.9199173604259983</v>
      </c>
      <c r="P7">
        <v>6.3994234117589981</v>
      </c>
      <c r="Q7">
        <v>6.0083772977969989</v>
      </c>
      <c r="R7">
        <v>5.5816627325129984</v>
      </c>
      <c r="S7">
        <v>5.1693385202549988</v>
      </c>
      <c r="T7">
        <v>5.0321417043239984</v>
      </c>
      <c r="U7">
        <v>5.0436280639709992</v>
      </c>
      <c r="V7">
        <v>4.9803047262359987</v>
      </c>
      <c r="W7">
        <v>5.1562914382349989</v>
      </c>
      <c r="X7">
        <v>5.3918009093969985</v>
      </c>
      <c r="Y7">
        <v>5.6269333220309985</v>
      </c>
      <c r="Z7">
        <v>5.8178020628069982</v>
      </c>
      <c r="AA7">
        <v>5.9548703360579989</v>
      </c>
      <c r="AB7">
        <v>6.0205149403559979</v>
      </c>
      <c r="AC7">
        <v>6.0651117519929985</v>
      </c>
      <c r="AD7">
        <v>6.1222082680709988</v>
      </c>
      <c r="AE7">
        <v>6.148332425402999</v>
      </c>
      <c r="AF7">
        <v>6.1994795577749979</v>
      </c>
      <c r="AG7">
        <v>6.1818381461339982</v>
      </c>
      <c r="AH7">
        <v>6.1307070815969986</v>
      </c>
      <c r="AI7">
        <v>6.0538342742009981</v>
      </c>
      <c r="AJ7">
        <v>6.1060611650849985</v>
      </c>
      <c r="AK7">
        <v>6.0661722291029978</v>
      </c>
      <c r="AL7">
        <v>6.0771219230609983</v>
      </c>
      <c r="AM7">
        <v>6.0874246188629986</v>
      </c>
      <c r="AN7">
        <v>6.1275052976759987</v>
      </c>
      <c r="AO7">
        <v>6.1946592072749986</v>
      </c>
      <c r="AP7">
        <v>6.2563800462659991</v>
      </c>
    </row>
    <row r="8" spans="1:42" x14ac:dyDescent="0.25">
      <c r="B8" s="4"/>
    </row>
    <row r="9" spans="1:42" x14ac:dyDescent="0.25">
      <c r="A9" t="s">
        <v>27</v>
      </c>
      <c r="O9" t="s">
        <v>62</v>
      </c>
    </row>
    <row r="10" spans="1:42" x14ac:dyDescent="0.25">
      <c r="A10" t="s">
        <v>28</v>
      </c>
    </row>
    <row r="11" spans="1:42" x14ac:dyDescent="0.25">
      <c r="A11" t="s">
        <v>29</v>
      </c>
    </row>
    <row r="12" spans="1:42" x14ac:dyDescent="0.25">
      <c r="N12" s="1"/>
    </row>
    <row r="13" spans="1:42" x14ac:dyDescent="0.25">
      <c r="N13" s="2"/>
    </row>
    <row r="14" spans="1:42" x14ac:dyDescent="0.25">
      <c r="N14" s="2"/>
    </row>
    <row r="15" spans="1:42" x14ac:dyDescent="0.25">
      <c r="N15" s="2"/>
    </row>
    <row r="16" spans="1:42" x14ac:dyDescent="0.25">
      <c r="N16" s="2"/>
    </row>
    <row r="17" spans="14:14" x14ac:dyDescent="0.25">
      <c r="N17" s="2"/>
    </row>
    <row r="18" spans="14:14" x14ac:dyDescent="0.25">
      <c r="N18" s="2"/>
    </row>
    <row r="19" spans="14:14" x14ac:dyDescent="0.25">
      <c r="N19" s="2"/>
    </row>
    <row r="20" spans="14:14" x14ac:dyDescent="0.25">
      <c r="N20" s="2"/>
    </row>
    <row r="21" spans="14:14" x14ac:dyDescent="0.25">
      <c r="N21" s="2"/>
    </row>
    <row r="22" spans="14:14" x14ac:dyDescent="0.25">
      <c r="N22" s="2"/>
    </row>
    <row r="23" spans="14:14" x14ac:dyDescent="0.25">
      <c r="N23" s="2"/>
    </row>
    <row r="24" spans="14:14" x14ac:dyDescent="0.25">
      <c r="N24" s="2"/>
    </row>
    <row r="25" spans="14:14" x14ac:dyDescent="0.25">
      <c r="N25" s="2"/>
    </row>
    <row r="26" spans="14:14" x14ac:dyDescent="0.25">
      <c r="N26" s="2"/>
    </row>
    <row r="27" spans="14:14" x14ac:dyDescent="0.25">
      <c r="N27" s="2"/>
    </row>
    <row r="28" spans="14:14" x14ac:dyDescent="0.25">
      <c r="N28" s="2"/>
    </row>
    <row r="29" spans="14:14" x14ac:dyDescent="0.25">
      <c r="N29" s="2"/>
    </row>
    <row r="30" spans="14:14" x14ac:dyDescent="0.25">
      <c r="N30" s="2"/>
    </row>
    <row r="31" spans="14:14" x14ac:dyDescent="0.25">
      <c r="N31" s="2"/>
    </row>
    <row r="32" spans="14:14" x14ac:dyDescent="0.25">
      <c r="N32" s="2"/>
    </row>
    <row r="33" spans="14:14" x14ac:dyDescent="0.25">
      <c r="N33" s="2"/>
    </row>
    <row r="34" spans="14:14" x14ac:dyDescent="0.25">
      <c r="N34" s="2"/>
    </row>
    <row r="35" spans="14:14" x14ac:dyDescent="0.25">
      <c r="N35" s="2"/>
    </row>
    <row r="36" spans="14:14" x14ac:dyDescent="0.25">
      <c r="N36" s="2"/>
    </row>
    <row r="37" spans="14:14" x14ac:dyDescent="0.25">
      <c r="N37" s="2"/>
    </row>
    <row r="38" spans="14:14" x14ac:dyDescent="0.25">
      <c r="N38" s="2"/>
    </row>
    <row r="39" spans="14:14" x14ac:dyDescent="0.25">
      <c r="N39" s="2"/>
    </row>
    <row r="40" spans="14:14" x14ac:dyDescent="0.25">
      <c r="N40" s="2"/>
    </row>
    <row r="41" spans="14:14" x14ac:dyDescent="0.25">
      <c r="N41" s="2"/>
    </row>
    <row r="42" spans="14:14" x14ac:dyDescent="0.25">
      <c r="N42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62"/>
  <sheetViews>
    <sheetView workbookViewId="0"/>
  </sheetViews>
  <sheetFormatPr defaultRowHeight="15" x14ac:dyDescent="0.25"/>
  <cols>
    <col min="1" max="1" width="10.7109375" bestFit="1" customWidth="1"/>
  </cols>
  <sheetData>
    <row r="1" spans="1:39" x14ac:dyDescent="0.25">
      <c r="B1" t="s">
        <v>49</v>
      </c>
    </row>
    <row r="2" spans="1:39" x14ac:dyDescent="0.25">
      <c r="A2" t="s">
        <v>50</v>
      </c>
    </row>
    <row r="3" spans="1:39" x14ac:dyDescent="0.25">
      <c r="A3" t="s">
        <v>1</v>
      </c>
      <c r="B3">
        <v>2013</v>
      </c>
      <c r="C3">
        <v>2014</v>
      </c>
      <c r="D3">
        <v>2015</v>
      </c>
      <c r="E3">
        <v>2016</v>
      </c>
      <c r="F3">
        <v>2017</v>
      </c>
      <c r="G3">
        <v>2018</v>
      </c>
      <c r="H3">
        <v>2019</v>
      </c>
      <c r="I3">
        <v>2020</v>
      </c>
      <c r="J3">
        <v>2021</v>
      </c>
      <c r="K3">
        <v>2022</v>
      </c>
      <c r="L3">
        <v>2023</v>
      </c>
      <c r="M3">
        <v>2024</v>
      </c>
      <c r="N3">
        <v>2025</v>
      </c>
      <c r="O3">
        <v>2026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2032</v>
      </c>
      <c r="V3">
        <v>2033</v>
      </c>
      <c r="W3">
        <v>2034</v>
      </c>
      <c r="X3">
        <v>2035</v>
      </c>
      <c r="Y3">
        <v>2036</v>
      </c>
      <c r="Z3">
        <v>2037</v>
      </c>
      <c r="AA3">
        <v>2038</v>
      </c>
      <c r="AB3">
        <v>2039</v>
      </c>
      <c r="AC3">
        <v>2040</v>
      </c>
      <c r="AD3">
        <v>2041</v>
      </c>
      <c r="AE3">
        <v>2042</v>
      </c>
      <c r="AF3">
        <v>2043</v>
      </c>
      <c r="AG3">
        <v>2044</v>
      </c>
      <c r="AH3">
        <v>2045</v>
      </c>
      <c r="AI3">
        <v>2046</v>
      </c>
      <c r="AJ3">
        <v>2047</v>
      </c>
      <c r="AK3">
        <v>2048</v>
      </c>
      <c r="AL3">
        <v>2049</v>
      </c>
      <c r="AM3">
        <v>2050</v>
      </c>
    </row>
    <row r="4" spans="1:39" x14ac:dyDescent="0.25">
      <c r="A4" t="s">
        <v>2</v>
      </c>
      <c r="B4">
        <v>4129.5332180628911</v>
      </c>
      <c r="C4">
        <v>4051.1862596029018</v>
      </c>
      <c r="D4">
        <v>3972.8393011429125</v>
      </c>
      <c r="E4">
        <v>3894.4923426829237</v>
      </c>
      <c r="F4">
        <v>3816.1453842229344</v>
      </c>
      <c r="G4">
        <v>3737.798425762945</v>
      </c>
      <c r="H4">
        <v>3659.4514673029562</v>
      </c>
      <c r="I4">
        <v>3581.1045088429669</v>
      </c>
      <c r="J4">
        <v>2743.7524664361517</v>
      </c>
      <c r="K4">
        <v>2875.7203205069</v>
      </c>
      <c r="L4">
        <v>2866.6786798576713</v>
      </c>
      <c r="M4">
        <v>2857.6338374403972</v>
      </c>
      <c r="N4">
        <v>2848.5911839102928</v>
      </c>
      <c r="O4">
        <v>1529.3928111403081</v>
      </c>
      <c r="P4">
        <v>1524.5220040070708</v>
      </c>
      <c r="Q4">
        <v>1519.6517706585096</v>
      </c>
      <c r="R4">
        <v>1514.7810662035502</v>
      </c>
      <c r="S4">
        <v>1509.9101341807909</v>
      </c>
      <c r="T4">
        <v>1505.0390943892432</v>
      </c>
      <c r="U4">
        <v>1500.1680792834125</v>
      </c>
      <c r="V4">
        <v>1495.2981452868864</v>
      </c>
      <c r="W4">
        <v>1490.4262348108075</v>
      </c>
      <c r="X4">
        <v>1485.5558393680872</v>
      </c>
      <c r="Y4">
        <v>3595.652641384811</v>
      </c>
      <c r="Z4">
        <v>3583.8264816541755</v>
      </c>
      <c r="AA4">
        <v>3571.9983789003159</v>
      </c>
      <c r="AB4">
        <v>3560.1707851221167</v>
      </c>
      <c r="AC4">
        <v>3548.3435243904596</v>
      </c>
      <c r="AD4">
        <v>3536.5128422323583</v>
      </c>
      <c r="AE4">
        <v>3524.6849010118603</v>
      </c>
      <c r="AF4">
        <v>3512.8568061130077</v>
      </c>
      <c r="AG4">
        <v>3501.0295303877283</v>
      </c>
      <c r="AH4">
        <v>3489.2043218439308</v>
      </c>
      <c r="AI4">
        <v>3477.3760871174077</v>
      </c>
      <c r="AJ4">
        <v>3465.5483285284267</v>
      </c>
      <c r="AK4">
        <v>3453.7184636870024</v>
      </c>
      <c r="AL4">
        <v>3441.8907172973345</v>
      </c>
      <c r="AM4">
        <v>3430.0629583388372</v>
      </c>
    </row>
    <row r="5" spans="1:39" x14ac:dyDescent="0.25">
      <c r="A5" t="s">
        <v>3</v>
      </c>
      <c r="B5">
        <v>994.86865501692046</v>
      </c>
      <c r="C5">
        <v>990.24368818386142</v>
      </c>
      <c r="D5">
        <v>985.61872135080239</v>
      </c>
      <c r="E5">
        <v>980.99375451774335</v>
      </c>
      <c r="F5">
        <v>976.36878768468432</v>
      </c>
      <c r="G5">
        <v>971.74382085162529</v>
      </c>
      <c r="H5">
        <v>967.11885401856625</v>
      </c>
      <c r="I5">
        <v>962.49388718550722</v>
      </c>
      <c r="J5">
        <v>930.89841355258977</v>
      </c>
      <c r="K5">
        <v>970.03271724660351</v>
      </c>
      <c r="L5">
        <v>962.25192347641803</v>
      </c>
      <c r="M5">
        <v>939.23716654983571</v>
      </c>
      <c r="N5">
        <v>922.83899890265775</v>
      </c>
      <c r="O5">
        <v>912.14280359491659</v>
      </c>
      <c r="P5">
        <v>899.50621597109568</v>
      </c>
      <c r="Q5">
        <v>893.13853426535115</v>
      </c>
      <c r="R5">
        <v>884.79605502481775</v>
      </c>
      <c r="S5">
        <v>880.16454600484258</v>
      </c>
      <c r="T5">
        <v>873.84391059559312</v>
      </c>
      <c r="U5">
        <v>869.21217313041723</v>
      </c>
      <c r="V5">
        <v>864.58117935049142</v>
      </c>
      <c r="W5">
        <v>859.94903971749864</v>
      </c>
      <c r="X5">
        <v>855.3176579808304</v>
      </c>
      <c r="Y5">
        <v>850.68607877836223</v>
      </c>
      <c r="Z5">
        <v>846.05506398400632</v>
      </c>
      <c r="AA5">
        <v>841.42344101819208</v>
      </c>
      <c r="AB5">
        <v>836.79199777979341</v>
      </c>
      <c r="AC5">
        <v>832.16062278528</v>
      </c>
      <c r="AD5">
        <v>827.52856040199401</v>
      </c>
      <c r="AE5">
        <v>822.89708394211004</v>
      </c>
      <c r="AF5">
        <v>818.26551698092624</v>
      </c>
      <c r="AG5">
        <v>813.63406703456928</v>
      </c>
      <c r="AH5">
        <v>809.0032822595532</v>
      </c>
      <c r="AI5">
        <v>804.37169952952377</v>
      </c>
      <c r="AJ5">
        <v>799.74019534065383</v>
      </c>
      <c r="AK5">
        <v>795.85259636471767</v>
      </c>
      <c r="AL5">
        <v>794.30878663979877</v>
      </c>
      <c r="AM5">
        <v>792.76496032878958</v>
      </c>
    </row>
    <row r="6" spans="1:39" x14ac:dyDescent="0.25">
      <c r="A6" t="s">
        <v>4</v>
      </c>
      <c r="B6">
        <v>1131.2356341020231</v>
      </c>
      <c r="C6">
        <v>1120.1698182895339</v>
      </c>
      <c r="D6">
        <v>1109.1040024770448</v>
      </c>
      <c r="E6">
        <v>1098.0381866645555</v>
      </c>
      <c r="F6">
        <v>1086.9723708520664</v>
      </c>
      <c r="G6">
        <v>1075.9065550395771</v>
      </c>
      <c r="H6">
        <v>1064.8407392270879</v>
      </c>
      <c r="I6">
        <v>1053.7749234145988</v>
      </c>
      <c r="J6">
        <v>1010.5183628711051</v>
      </c>
      <c r="K6">
        <v>1055.9005109489731</v>
      </c>
      <c r="L6">
        <v>1050.0214336355373</v>
      </c>
      <c r="M6">
        <v>1035.9007203409417</v>
      </c>
      <c r="N6">
        <v>1025.7714692966754</v>
      </c>
      <c r="O6">
        <v>1018.3152396465058</v>
      </c>
      <c r="P6">
        <v>1009.8089655016553</v>
      </c>
      <c r="Q6">
        <v>1004.6941312850909</v>
      </c>
      <c r="R6">
        <v>998.51098281651934</v>
      </c>
      <c r="S6">
        <v>994.33514073849869</v>
      </c>
      <c r="T6">
        <v>989.24548772358457</v>
      </c>
      <c r="U6">
        <v>985.06955921459462</v>
      </c>
      <c r="V6">
        <v>980.89426606587017</v>
      </c>
      <c r="W6">
        <v>976.71773597072797</v>
      </c>
      <c r="X6">
        <v>972.54222067896274</v>
      </c>
      <c r="Y6">
        <v>968.36639789636354</v>
      </c>
      <c r="Z6">
        <v>964.19113590974359</v>
      </c>
      <c r="AA6">
        <v>960.01527870844757</v>
      </c>
      <c r="AB6">
        <v>955.83957080865719</v>
      </c>
      <c r="AC6">
        <v>951.66403497889394</v>
      </c>
      <c r="AD6">
        <v>947.4876925342611</v>
      </c>
      <c r="AE6">
        <v>943.31185450480803</v>
      </c>
      <c r="AF6">
        <v>939.13596280498416</v>
      </c>
      <c r="AG6">
        <v>934.96039191512023</v>
      </c>
      <c r="AH6">
        <v>930.78540889791395</v>
      </c>
      <c r="AI6">
        <v>926.60949833483119</v>
      </c>
      <c r="AJ6">
        <v>922.43371348624248</v>
      </c>
      <c r="AK6">
        <v>918.66017597612574</v>
      </c>
      <c r="AL6">
        <v>916.15479394516194</v>
      </c>
      <c r="AM6">
        <v>913.64937584956465</v>
      </c>
    </row>
    <row r="7" spans="1:39" x14ac:dyDescent="0.25">
      <c r="A7" t="s">
        <v>5</v>
      </c>
      <c r="B7">
        <v>2946.9102647407522</v>
      </c>
      <c r="C7">
        <v>2906.8143163846162</v>
      </c>
      <c r="D7">
        <v>2866.7183680284797</v>
      </c>
      <c r="E7">
        <v>2826.6224196723438</v>
      </c>
      <c r="F7">
        <v>2786.5264713162078</v>
      </c>
      <c r="G7">
        <v>2746.4305229600714</v>
      </c>
      <c r="H7">
        <v>2706.3345746039354</v>
      </c>
      <c r="I7">
        <v>2666.2386262477994</v>
      </c>
      <c r="J7">
        <v>2547.0938925540636</v>
      </c>
      <c r="K7">
        <v>2654.2175362687944</v>
      </c>
      <c r="L7">
        <v>2631.7995143901003</v>
      </c>
      <c r="M7">
        <v>2596.885643829391</v>
      </c>
      <c r="N7">
        <v>2568.0243466749757</v>
      </c>
      <c r="O7">
        <v>2543.2150796842034</v>
      </c>
      <c r="P7">
        <v>2516.8141310660008</v>
      </c>
      <c r="Q7">
        <v>2495.5545876535762</v>
      </c>
      <c r="R7">
        <v>2472.6750260803688</v>
      </c>
      <c r="S7">
        <v>2452.839134382567</v>
      </c>
      <c r="T7">
        <v>2431.6172309147119</v>
      </c>
      <c r="U7">
        <v>2411.780864468386</v>
      </c>
      <c r="V7">
        <v>2391.9462237844027</v>
      </c>
      <c r="W7">
        <v>2372.1082135984739</v>
      </c>
      <c r="X7">
        <v>2352.2722526906705</v>
      </c>
      <c r="Y7">
        <v>2332.436415260504</v>
      </c>
      <c r="Z7">
        <v>2312.6015692169822</v>
      </c>
      <c r="AA7">
        <v>2292.7653265714675</v>
      </c>
      <c r="AB7">
        <v>2272.929385558868</v>
      </c>
      <c r="AC7">
        <v>2253.0940599891369</v>
      </c>
      <c r="AD7">
        <v>2233.2563547925847</v>
      </c>
      <c r="AE7">
        <v>2213.420329095271</v>
      </c>
      <c r="AF7">
        <v>2193.5839709791594</v>
      </c>
      <c r="AG7">
        <v>2173.7484951831134</v>
      </c>
      <c r="AH7">
        <v>2153.9144555499884</v>
      </c>
      <c r="AI7">
        <v>2134.0780250568273</v>
      </c>
      <c r="AJ7">
        <v>2114.2419500148389</v>
      </c>
      <c r="AK7">
        <v>2095.0154279129783</v>
      </c>
      <c r="AL7">
        <v>2077.7116040429387</v>
      </c>
      <c r="AM7">
        <v>2060.4079817538</v>
      </c>
    </row>
    <row r="8" spans="1:39" x14ac:dyDescent="0.25">
      <c r="A8" t="s">
        <v>6</v>
      </c>
    </row>
    <row r="9" spans="1:39" x14ac:dyDescent="0.25">
      <c r="A9" t="s">
        <v>7</v>
      </c>
    </row>
    <row r="10" spans="1:39" x14ac:dyDescent="0.25">
      <c r="A10" t="s">
        <v>8</v>
      </c>
      <c r="B10">
        <v>3737.7965963422084</v>
      </c>
      <c r="C10">
        <v>3732.6411928623402</v>
      </c>
      <c r="D10">
        <v>3727.4857893824719</v>
      </c>
      <c r="E10">
        <v>3722.3303859026037</v>
      </c>
      <c r="F10">
        <v>3717.1749824227354</v>
      </c>
      <c r="G10">
        <v>3712.0195789428672</v>
      </c>
      <c r="H10">
        <v>3706.8641754629989</v>
      </c>
      <c r="I10">
        <v>3701.7087719831302</v>
      </c>
      <c r="J10">
        <v>3639.1000111986855</v>
      </c>
      <c r="K10">
        <v>3800.841939796273</v>
      </c>
      <c r="L10">
        <v>3776.78801450731</v>
      </c>
      <c r="M10">
        <v>3752.7297763390006</v>
      </c>
      <c r="N10">
        <v>3728.6745180500207</v>
      </c>
      <c r="O10">
        <v>3704.6199459263157</v>
      </c>
      <c r="P10">
        <v>3680.563480825901</v>
      </c>
      <c r="Q10">
        <v>3656.5084247833634</v>
      </c>
      <c r="R10">
        <v>3632.4521749674559</v>
      </c>
      <c r="S10">
        <v>3608.3959745762713</v>
      </c>
      <c r="T10">
        <v>3584.3387192835958</v>
      </c>
      <c r="U10">
        <v>3560.2820134737717</v>
      </c>
      <c r="V10">
        <v>3536.2278174136613</v>
      </c>
      <c r="W10">
        <v>3512.1688498448634</v>
      </c>
      <c r="X10">
        <v>3488.1131701319277</v>
      </c>
      <c r="Y10">
        <v>3464.0571053812218</v>
      </c>
      <c r="Z10">
        <v>3440.003009727815</v>
      </c>
      <c r="AA10">
        <v>3415.9464298348935</v>
      </c>
      <c r="AB10">
        <v>3391.890448633771</v>
      </c>
      <c r="AC10">
        <v>3367.8350220546763</v>
      </c>
      <c r="AD10">
        <v>3343.7764706865378</v>
      </c>
      <c r="AE10">
        <v>3319.7205128795522</v>
      </c>
      <c r="AF10">
        <v>3295.6640919552769</v>
      </c>
      <c r="AG10">
        <v>3271.6087802199422</v>
      </c>
      <c r="AH10">
        <v>3247.5553870091512</v>
      </c>
      <c r="AI10">
        <v>3223.4987461013902</v>
      </c>
      <c r="AJ10">
        <v>3199.4423442998263</v>
      </c>
      <c r="AK10">
        <v>3175.3848503353315</v>
      </c>
      <c r="AL10">
        <v>3151.3288327901278</v>
      </c>
      <c r="AM10">
        <v>3127.2726255864391</v>
      </c>
    </row>
    <row r="11" spans="1:39" x14ac:dyDescent="0.25">
      <c r="A11" t="s">
        <v>9</v>
      </c>
    </row>
    <row r="12" spans="1:39" x14ac:dyDescent="0.25">
      <c r="A12" t="s">
        <v>10</v>
      </c>
      <c r="B12">
        <v>6224.0228927794196</v>
      </c>
      <c r="C12">
        <v>6201.1914131480917</v>
      </c>
      <c r="D12">
        <v>6178.3599335167637</v>
      </c>
      <c r="E12">
        <v>6155.5284538854357</v>
      </c>
      <c r="F12">
        <v>6132.6969742541069</v>
      </c>
      <c r="G12">
        <v>6109.8654946227789</v>
      </c>
      <c r="H12">
        <v>6087.0340149914509</v>
      </c>
      <c r="I12">
        <v>6064.202535360123</v>
      </c>
      <c r="J12">
        <v>5924.8021241825209</v>
      </c>
      <c r="K12">
        <v>6180.2413578536598</v>
      </c>
      <c r="L12">
        <v>6133.1865414779086</v>
      </c>
      <c r="M12">
        <v>6086.1247640909905</v>
      </c>
      <c r="N12">
        <v>6039.067977155154</v>
      </c>
      <c r="O12">
        <v>5992.0131153510256</v>
      </c>
      <c r="P12">
        <v>5944.9548767270553</v>
      </c>
      <c r="Q12">
        <v>5897.8990723160732</v>
      </c>
      <c r="R12">
        <v>5850.8407689524865</v>
      </c>
      <c r="S12">
        <v>5803.7827612994352</v>
      </c>
      <c r="T12">
        <v>5756.723323819564</v>
      </c>
      <c r="U12">
        <v>5709.6641098065465</v>
      </c>
      <c r="V12">
        <v>5662.60943812801</v>
      </c>
      <c r="W12">
        <v>5615.5462289184934</v>
      </c>
      <c r="X12">
        <v>5568.4900420095446</v>
      </c>
      <c r="Y12">
        <v>5521.4319257163752</v>
      </c>
      <c r="Z12">
        <v>5474.3769956990527</v>
      </c>
      <c r="AA12">
        <v>5427.3183702433516</v>
      </c>
      <c r="AB12">
        <v>5380.2611856444701</v>
      </c>
      <c r="AC12">
        <v>5333.2043792424365</v>
      </c>
      <c r="AD12">
        <v>5286.1426542180234</v>
      </c>
      <c r="AE12">
        <v>5239.0842435330123</v>
      </c>
      <c r="AF12">
        <v>5192.0268314789682</v>
      </c>
      <c r="AG12">
        <v>5144.9693387642092</v>
      </c>
      <c r="AH12">
        <v>5097.9153342651443</v>
      </c>
      <c r="AI12">
        <v>5050.8574467410272</v>
      </c>
      <c r="AJ12">
        <v>5003.7996173739766</v>
      </c>
      <c r="AK12">
        <v>4956.7388013020327</v>
      </c>
      <c r="AL12">
        <v>4909.6813255990774</v>
      </c>
      <c r="AM12">
        <v>4862.6235826384127</v>
      </c>
    </row>
    <row r="13" spans="1:39" x14ac:dyDescent="0.25">
      <c r="A13" t="s">
        <v>11</v>
      </c>
      <c r="B13">
        <v>1233.4508567279229</v>
      </c>
      <c r="C13">
        <v>1228.398355582664</v>
      </c>
      <c r="D13">
        <v>1223.345854437405</v>
      </c>
      <c r="E13">
        <v>1218.2933532921461</v>
      </c>
      <c r="F13">
        <v>1213.2408521468874</v>
      </c>
      <c r="G13">
        <v>1208.1883510016285</v>
      </c>
      <c r="H13">
        <v>1203.1358498563695</v>
      </c>
      <c r="I13">
        <v>1198.0833487111106</v>
      </c>
      <c r="J13">
        <v>1158.75272608709</v>
      </c>
      <c r="K13">
        <v>1207.4657938460361</v>
      </c>
      <c r="L13">
        <v>1197.7804949866686</v>
      </c>
      <c r="M13">
        <v>1169.132468205243</v>
      </c>
      <c r="N13">
        <v>1148.7205677149154</v>
      </c>
      <c r="O13">
        <v>1135.4062565413676</v>
      </c>
      <c r="P13">
        <v>1119.6766967901183</v>
      </c>
      <c r="Q13">
        <v>1111.7504007193595</v>
      </c>
      <c r="R13">
        <v>1101.3659098265618</v>
      </c>
      <c r="S13">
        <v>1095.6007596852298</v>
      </c>
      <c r="T13">
        <v>1087.7330601295266</v>
      </c>
      <c r="U13">
        <v>1081.9675982522056</v>
      </c>
      <c r="V13">
        <v>1076.2030468674657</v>
      </c>
      <c r="W13">
        <v>1070.4371654669146</v>
      </c>
      <c r="X13">
        <v>1064.67213718771</v>
      </c>
      <c r="Y13">
        <v>1058.9069439944169</v>
      </c>
      <c r="Z13">
        <v>1053.1423533680361</v>
      </c>
      <c r="AA13">
        <v>1047.377052387116</v>
      </c>
      <c r="AB13">
        <v>1041.6120001541231</v>
      </c>
      <c r="AC13">
        <v>1035.8470444857053</v>
      </c>
      <c r="AD13">
        <v>1030.0811853018558</v>
      </c>
      <c r="AE13">
        <v>1024.3160765195694</v>
      </c>
      <c r="AF13">
        <v>1018.5508294815818</v>
      </c>
      <c r="AG13">
        <v>1012.7858121172211</v>
      </c>
      <c r="AH13">
        <v>1007.0215206097207</v>
      </c>
      <c r="AI13">
        <v>1001.2562975101761</v>
      </c>
      <c r="AJ13">
        <v>995.49110950947556</v>
      </c>
      <c r="AK13">
        <v>990.65197827114343</v>
      </c>
      <c r="AL13">
        <v>988.73026515171648</v>
      </c>
      <c r="AM13">
        <v>986.80858534423612</v>
      </c>
    </row>
    <row r="14" spans="1:39" x14ac:dyDescent="0.25">
      <c r="A14" t="s">
        <v>12</v>
      </c>
      <c r="B14">
        <v>6470.8554424932527</v>
      </c>
      <c r="C14">
        <v>6438.6428616198982</v>
      </c>
      <c r="D14">
        <v>6406.4302807465438</v>
      </c>
      <c r="E14">
        <v>6374.2176998731893</v>
      </c>
      <c r="F14">
        <v>6342.0051189998348</v>
      </c>
      <c r="G14">
        <v>6309.7925381264804</v>
      </c>
      <c r="H14">
        <v>6277.5799572531259</v>
      </c>
      <c r="I14">
        <v>6245.3673763797715</v>
      </c>
      <c r="J14">
        <v>6278.8577717390763</v>
      </c>
      <c r="K14">
        <v>6557.9252952859661</v>
      </c>
      <c r="L14">
        <v>6516.4228465354563</v>
      </c>
      <c r="M14">
        <v>6324.0399600976771</v>
      </c>
      <c r="N14">
        <v>6283.0418102855992</v>
      </c>
      <c r="O14">
        <v>6242.0450123987821</v>
      </c>
      <c r="P14">
        <v>6201.0453551681685</v>
      </c>
      <c r="Q14">
        <v>6160.047788575007</v>
      </c>
      <c r="R14">
        <v>6119.048356661192</v>
      </c>
      <c r="S14">
        <v>6078.0478561339787</v>
      </c>
      <c r="T14">
        <v>6037.0472509331976</v>
      </c>
      <c r="U14">
        <v>5996.0464949213147</v>
      </c>
      <c r="V14">
        <v>5955.0503844236109</v>
      </c>
      <c r="W14">
        <v>5914.0465688597342</v>
      </c>
      <c r="X14">
        <v>5873.0479606379158</v>
      </c>
      <c r="Y14">
        <v>5832.0483007651856</v>
      </c>
      <c r="Z14">
        <v>5791.0518390528559</v>
      </c>
      <c r="AA14">
        <v>5750.0518335698735</v>
      </c>
      <c r="AB14">
        <v>5709.0532578824104</v>
      </c>
      <c r="AC14">
        <v>5668.0548526022012</v>
      </c>
      <c r="AD14">
        <v>5627.051682269248</v>
      </c>
      <c r="AE14">
        <v>5586.0515025097648</v>
      </c>
      <c r="AF14">
        <v>5545.0521984881134</v>
      </c>
      <c r="AG14">
        <v>5504.0531488069819</v>
      </c>
      <c r="AH14">
        <v>5463.0583855059467</v>
      </c>
      <c r="AI14">
        <v>5422.0585737696247</v>
      </c>
      <c r="AJ14">
        <v>5381.0593494297709</v>
      </c>
      <c r="AK14">
        <v>5340.0567339808094</v>
      </c>
      <c r="AL14">
        <v>5299.0575911442402</v>
      </c>
      <c r="AM14">
        <v>5258.0585928012306</v>
      </c>
    </row>
    <row r="15" spans="1:39" x14ac:dyDescent="0.25">
      <c r="A15" t="s">
        <v>51</v>
      </c>
      <c r="K15">
        <v>7040.3513261630687</v>
      </c>
      <c r="L15">
        <v>6995.7950975889134</v>
      </c>
      <c r="M15">
        <v>6951.2318224885812</v>
      </c>
      <c r="N15">
        <v>6906.6736103719159</v>
      </c>
      <c r="O15">
        <v>6862.1172329929304</v>
      </c>
      <c r="P15">
        <v>6817.5572815591222</v>
      </c>
      <c r="Q15">
        <v>6772.9999225854863</v>
      </c>
      <c r="R15">
        <v>6728.44024063086</v>
      </c>
      <c r="S15">
        <v>6683.8801573849887</v>
      </c>
      <c r="T15">
        <v>6639.3183771328613</v>
      </c>
      <c r="U15">
        <v>6594.7585170279335</v>
      </c>
      <c r="V15">
        <v>6550.2023010015328</v>
      </c>
      <c r="W15">
        <v>6505.6375845217544</v>
      </c>
      <c r="X15">
        <v>6461.0792592492926</v>
      </c>
      <c r="Y15">
        <v>6416.5193913411931</v>
      </c>
      <c r="Z15">
        <v>6371.9631763180687</v>
      </c>
      <c r="AA15">
        <v>6327.403071141096</v>
      </c>
      <c r="AB15">
        <v>6282.8440200734995</v>
      </c>
      <c r="AC15">
        <v>6238.2865273084954</v>
      </c>
      <c r="AD15">
        <v>6193.7224550801257</v>
      </c>
      <c r="AE15">
        <v>6149.1631462278165</v>
      </c>
      <c r="AF15">
        <v>6104.6036017984861</v>
      </c>
      <c r="AG15">
        <v>6060.0440294378168</v>
      </c>
      <c r="AH15">
        <v>6015.4900498430861</v>
      </c>
      <c r="AI15">
        <v>5970.9298556853628</v>
      </c>
      <c r="AJ15">
        <v>5926.3705738330436</v>
      </c>
      <c r="AK15">
        <v>5881.8080235342841</v>
      </c>
      <c r="AL15">
        <v>5837.248770476549</v>
      </c>
      <c r="AM15">
        <v>5792.6896207159562</v>
      </c>
    </row>
    <row r="16" spans="1:39" x14ac:dyDescent="0.25">
      <c r="A16" t="s">
        <v>13</v>
      </c>
      <c r="B16" s="4">
        <v>2889.5179635682052</v>
      </c>
      <c r="C16" s="4">
        <v>2876.6005763284479</v>
      </c>
      <c r="D16" s="4">
        <v>2863.6831890886906</v>
      </c>
      <c r="E16" s="4">
        <v>2850.7658018489333</v>
      </c>
      <c r="F16" s="4">
        <v>2837.848414609176</v>
      </c>
      <c r="G16" s="4">
        <v>2824.9310273694182</v>
      </c>
      <c r="H16" s="4">
        <v>2812.0136401296609</v>
      </c>
      <c r="I16" s="4">
        <v>2799.0962528899036</v>
      </c>
      <c r="J16" s="4">
        <v>2747.6345819372141</v>
      </c>
      <c r="K16" s="4">
        <v>2869.7548667026763</v>
      </c>
      <c r="L16" s="4">
        <v>2851.5931254180955</v>
      </c>
      <c r="M16" s="4">
        <v>2833.4281989261813</v>
      </c>
      <c r="N16" s="4">
        <v>2815.2657329258782</v>
      </c>
      <c r="O16" s="4">
        <v>2797.1040543579747</v>
      </c>
      <c r="P16" s="4">
        <v>2694.6482228080745</v>
      </c>
      <c r="Q16" s="4">
        <v>2674.2274547596526</v>
      </c>
      <c r="R16" s="4">
        <v>2621.019257884489</v>
      </c>
      <c r="S16" s="4">
        <v>2575.6560068603712</v>
      </c>
      <c r="T16" s="4">
        <v>2532.2037461862901</v>
      </c>
      <c r="U16" s="4">
        <v>2498.349343556692</v>
      </c>
      <c r="V16" s="4">
        <v>2471.4245669976385</v>
      </c>
      <c r="W16" s="4">
        <v>2437.1957144740804</v>
      </c>
      <c r="X16" s="4">
        <v>2424.4451790451135</v>
      </c>
      <c r="Y16" s="4">
        <v>2440.330453503153</v>
      </c>
      <c r="Z16" s="4">
        <v>3050.7160251631958</v>
      </c>
      <c r="AA16" s="4">
        <v>3021.9440200358767</v>
      </c>
      <c r="AB16" s="4">
        <v>2997.2145196512233</v>
      </c>
      <c r="AC16" s="4">
        <v>2974.4334768199146</v>
      </c>
      <c r="AD16" s="4">
        <v>2951.6498469334997</v>
      </c>
      <c r="AE16" s="4">
        <v>2928.8685607471939</v>
      </c>
      <c r="AF16" s="4">
        <v>2906.0870121668486</v>
      </c>
      <c r="AG16" s="4">
        <v>2883.3058307578053</v>
      </c>
      <c r="AH16" s="4">
        <v>2860.5269210685938</v>
      </c>
      <c r="AI16" s="4">
        <v>2837.7449437014329</v>
      </c>
      <c r="AJ16" s="4">
        <v>2814.96355619621</v>
      </c>
      <c r="AK16" s="4">
        <v>2792.1807424557005</v>
      </c>
      <c r="AL16" s="4">
        <v>2769.3992843508913</v>
      </c>
      <c r="AM16" s="4">
        <v>2746.6179217143417</v>
      </c>
    </row>
    <row r="17" spans="1:39" x14ac:dyDescent="0.25">
      <c r="A17" t="s">
        <v>14</v>
      </c>
      <c r="B17" s="4">
        <v>4203.3678135109285</v>
      </c>
      <c r="C17" s="4">
        <v>4191.0834155817583</v>
      </c>
      <c r="D17" s="4">
        <v>4178.7990176525882</v>
      </c>
      <c r="E17" s="4">
        <v>4166.514619723418</v>
      </c>
      <c r="F17" s="4">
        <v>4154.2302217942488</v>
      </c>
      <c r="G17" s="4">
        <v>4141.9458238650795</v>
      </c>
      <c r="H17" s="4">
        <v>4129.6614259359103</v>
      </c>
      <c r="I17" s="4">
        <v>4117.3770280067401</v>
      </c>
      <c r="J17" s="4">
        <v>4041.8532754172998</v>
      </c>
      <c r="K17" s="4">
        <v>4221.1540925827967</v>
      </c>
      <c r="L17" s="4">
        <v>4194.0645872601735</v>
      </c>
      <c r="M17" s="4">
        <v>4167.2483207130044</v>
      </c>
      <c r="N17" s="4">
        <v>4139.8459095457156</v>
      </c>
      <c r="O17" s="4">
        <v>4113.0380365625342</v>
      </c>
      <c r="P17" s="4">
        <v>4086.228267438079</v>
      </c>
      <c r="Q17" s="4">
        <v>4059.4197027878158</v>
      </c>
      <c r="R17" s="4">
        <v>4032.6098146364734</v>
      </c>
      <c r="S17" s="4">
        <v>4005.7996206618245</v>
      </c>
      <c r="T17" s="4">
        <v>3978.988914243158</v>
      </c>
      <c r="U17" s="4">
        <v>3952.1783672694696</v>
      </c>
      <c r="V17" s="4">
        <v>3925.3705989293185</v>
      </c>
      <c r="W17" s="4">
        <v>3898.557763227835</v>
      </c>
      <c r="X17" s="4">
        <v>3871.7484653941333</v>
      </c>
      <c r="Y17" s="4">
        <v>3844.9384788099337</v>
      </c>
      <c r="Z17" s="4">
        <v>3818.1307271897463</v>
      </c>
      <c r="AA17" s="4">
        <v>3791.320680154327</v>
      </c>
      <c r="AB17" s="4">
        <v>3764.5111931944216</v>
      </c>
      <c r="AC17" s="4">
        <v>3737.7023155585807</v>
      </c>
      <c r="AD17" s="4">
        <v>3710.8897137849676</v>
      </c>
      <c r="AE17" s="4">
        <v>3684.0799566285841</v>
      </c>
      <c r="AF17" s="4">
        <v>3657.2700813850779</v>
      </c>
      <c r="AG17" s="4">
        <v>3630.4609357741419</v>
      </c>
      <c r="AH17" s="4">
        <v>3603.6541807537114</v>
      </c>
      <c r="AI17" s="4">
        <v>3576.844065126606</v>
      </c>
      <c r="AJ17" s="4">
        <v>3550.0339021494888</v>
      </c>
      <c r="AK17" s="4">
        <v>3523.2224627099472</v>
      </c>
      <c r="AL17" s="4">
        <v>3496.4129167752194</v>
      </c>
      <c r="AM17" s="4">
        <v>3469.6033390290563</v>
      </c>
    </row>
    <row r="18" spans="1:39" x14ac:dyDescent="0.25">
      <c r="A18" t="s">
        <v>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x14ac:dyDescent="0.25">
      <c r="A19" t="s">
        <v>16</v>
      </c>
      <c r="B19" s="4">
        <v>4059.7855965717149</v>
      </c>
      <c r="C19" s="4">
        <v>4054.6301930918466</v>
      </c>
      <c r="D19" s="4">
        <v>4049.4747896119784</v>
      </c>
      <c r="E19" s="4">
        <v>4044.3193861321101</v>
      </c>
      <c r="F19" s="4">
        <v>4039.1639826522419</v>
      </c>
      <c r="G19" s="4">
        <v>4034.0085791723736</v>
      </c>
      <c r="H19" s="4">
        <v>4028.8531756925049</v>
      </c>
      <c r="I19" s="4">
        <v>4023.6977722126367</v>
      </c>
      <c r="J19" s="4">
        <v>3957.2709600420712</v>
      </c>
      <c r="K19" s="4">
        <v>4119.0128886396587</v>
      </c>
      <c r="L19" s="4">
        <v>4094.9589633506957</v>
      </c>
      <c r="M19" s="4">
        <v>4070.9007251823859</v>
      </c>
      <c r="N19" s="4">
        <v>4046.8454668934064</v>
      </c>
      <c r="O19" s="4">
        <v>4022.7908947697015</v>
      </c>
      <c r="P19" s="4">
        <v>3998.7344296692863</v>
      </c>
      <c r="Q19" s="4">
        <v>3974.6793736267491</v>
      </c>
      <c r="R19" s="4">
        <v>3950.6231238108412</v>
      </c>
      <c r="S19" s="4">
        <v>3926.5669234196566</v>
      </c>
      <c r="T19" s="4">
        <v>3902.5096681269815</v>
      </c>
      <c r="U19" s="4">
        <v>3878.4529623171575</v>
      </c>
      <c r="V19" s="4">
        <v>3854.3987662570471</v>
      </c>
      <c r="W19" s="4">
        <v>3830.3397986882492</v>
      </c>
      <c r="X19" s="4">
        <v>3806.2841189753135</v>
      </c>
      <c r="Y19" s="4">
        <v>3782.2280542246071</v>
      </c>
      <c r="Z19" s="4">
        <v>3758.1739585712003</v>
      </c>
      <c r="AA19" s="4">
        <v>3734.1173786782792</v>
      </c>
      <c r="AB19" s="4">
        <v>3710.0613974771568</v>
      </c>
      <c r="AC19" s="4">
        <v>3686.0059708980616</v>
      </c>
      <c r="AD19" s="4">
        <v>3661.9474195299235</v>
      </c>
      <c r="AE19" s="4">
        <v>3637.8914617229375</v>
      </c>
      <c r="AF19" s="4">
        <v>3613.8350407986627</v>
      </c>
      <c r="AG19" s="4">
        <v>3589.779729063328</v>
      </c>
      <c r="AH19" s="4">
        <v>3565.726335852537</v>
      </c>
      <c r="AI19" s="4">
        <v>3541.669694944776</v>
      </c>
      <c r="AJ19" s="4">
        <v>3517.6132931432121</v>
      </c>
      <c r="AK19" s="4">
        <v>3493.5557991787173</v>
      </c>
      <c r="AL19" s="4">
        <v>3469.4997816335135</v>
      </c>
      <c r="AM19" s="4">
        <v>3445.4435744298244</v>
      </c>
    </row>
    <row r="20" spans="1:39" x14ac:dyDescent="0.25">
      <c r="A20" t="s">
        <v>17</v>
      </c>
      <c r="B20" s="4">
        <v>1701.5431907538425</v>
      </c>
      <c r="C20" s="4">
        <v>1688.1295594555697</v>
      </c>
      <c r="D20" s="4">
        <v>1674.715928157297</v>
      </c>
      <c r="E20" s="4">
        <v>1661.3022968590242</v>
      </c>
      <c r="F20" s="4">
        <v>1647.8886655607514</v>
      </c>
      <c r="G20" s="4">
        <v>1634.4750342624786</v>
      </c>
      <c r="H20" s="4">
        <v>1621.0614029642059</v>
      </c>
      <c r="I20" s="4">
        <v>1607.6477716659331</v>
      </c>
      <c r="J20" s="4">
        <v>1552.2276266615925</v>
      </c>
      <c r="K20" s="4">
        <v>1626.3637934299629</v>
      </c>
      <c r="L20" s="4">
        <v>1621.2504893263022</v>
      </c>
      <c r="M20" s="4">
        <v>1616.1350487609482</v>
      </c>
      <c r="N20" s="4">
        <v>1611.020860145964</v>
      </c>
      <c r="O20" s="4">
        <v>1605.9073231189825</v>
      </c>
      <c r="P20" s="4">
        <v>1600.7927849142332</v>
      </c>
      <c r="Q20" s="4">
        <v>1595.6789501003907</v>
      </c>
      <c r="R20" s="4">
        <v>1590.5645124599525</v>
      </c>
      <c r="S20" s="4">
        <v>1585.4498839790153</v>
      </c>
      <c r="T20" s="4">
        <v>1580.3349986657724</v>
      </c>
      <c r="U20" s="4">
        <v>1575.2204600511438</v>
      </c>
      <c r="V20" s="4">
        <v>1570.1068609406325</v>
      </c>
      <c r="W20" s="4">
        <v>1564.9912120038405</v>
      </c>
      <c r="X20" s="4">
        <v>1559.8770410956636</v>
      </c>
      <c r="Y20" s="4">
        <v>1554.7625059195932</v>
      </c>
      <c r="Z20" s="4">
        <v>1549.6490761331183</v>
      </c>
      <c r="AA20" s="4">
        <v>1544.5344998730588</v>
      </c>
      <c r="AB20" s="4">
        <v>1539.4202469927761</v>
      </c>
      <c r="AC20" s="4">
        <v>1534.306112236462</v>
      </c>
      <c r="AD20" s="4">
        <v>1529.190738301719</v>
      </c>
      <c r="AE20" s="4">
        <v>1524.0762170998926</v>
      </c>
      <c r="AF20" s="4">
        <v>1518.9617517408938</v>
      </c>
      <c r="AG20" s="4">
        <v>1513.8474659535839</v>
      </c>
      <c r="AH20" s="4">
        <v>1508.7343358210924</v>
      </c>
      <c r="AI20" s="4">
        <v>1503.6198689009886</v>
      </c>
      <c r="AJ20" s="4">
        <v>1498.5054659346249</v>
      </c>
      <c r="AK20" s="4">
        <v>1493.3902390068022</v>
      </c>
      <c r="AL20" s="4">
        <v>1488.275958762448</v>
      </c>
      <c r="AM20" s="4">
        <v>1483.1616569867776</v>
      </c>
    </row>
    <row r="23" spans="1:39" x14ac:dyDescent="0.25">
      <c r="A23" t="s">
        <v>41</v>
      </c>
      <c r="B23" s="4"/>
    </row>
    <row r="24" spans="1:39" x14ac:dyDescent="0.25">
      <c r="A24" t="s">
        <v>1</v>
      </c>
      <c r="B24">
        <v>2013</v>
      </c>
      <c r="C24">
        <v>2014</v>
      </c>
      <c r="D24">
        <v>2015</v>
      </c>
      <c r="E24">
        <v>2016</v>
      </c>
      <c r="F24">
        <v>2017</v>
      </c>
      <c r="G24">
        <v>2018</v>
      </c>
      <c r="H24">
        <v>2019</v>
      </c>
      <c r="I24">
        <v>2020</v>
      </c>
      <c r="J24">
        <v>2021</v>
      </c>
      <c r="K24">
        <v>2022</v>
      </c>
      <c r="L24">
        <v>2023</v>
      </c>
      <c r="M24">
        <v>2024</v>
      </c>
      <c r="N24">
        <v>2025</v>
      </c>
      <c r="O24">
        <v>2026</v>
      </c>
      <c r="P24">
        <v>2027</v>
      </c>
      <c r="Q24">
        <v>2028</v>
      </c>
      <c r="R24">
        <v>2029</v>
      </c>
      <c r="S24">
        <v>2030</v>
      </c>
      <c r="T24">
        <v>2031</v>
      </c>
      <c r="U24">
        <v>2032</v>
      </c>
      <c r="V24">
        <v>2033</v>
      </c>
      <c r="W24">
        <v>2034</v>
      </c>
      <c r="X24">
        <v>2035</v>
      </c>
      <c r="Y24">
        <v>2036</v>
      </c>
      <c r="Z24">
        <v>2037</v>
      </c>
      <c r="AA24">
        <v>2038</v>
      </c>
      <c r="AB24">
        <v>2039</v>
      </c>
      <c r="AC24">
        <v>2040</v>
      </c>
      <c r="AD24">
        <v>2041</v>
      </c>
      <c r="AE24">
        <v>2042</v>
      </c>
      <c r="AF24">
        <v>2043</v>
      </c>
      <c r="AG24">
        <v>2044</v>
      </c>
      <c r="AH24">
        <v>2045</v>
      </c>
      <c r="AI24">
        <v>2046</v>
      </c>
      <c r="AJ24">
        <v>2047</v>
      </c>
      <c r="AK24">
        <v>2048</v>
      </c>
      <c r="AL24">
        <v>2049</v>
      </c>
      <c r="AM24">
        <v>2050</v>
      </c>
    </row>
    <row r="25" spans="1:39" x14ac:dyDescent="0.25">
      <c r="A25" t="s">
        <v>2</v>
      </c>
      <c r="B25" s="4">
        <v>4323.6212793118466</v>
      </c>
      <c r="C25" s="4">
        <v>4241.5920138042384</v>
      </c>
      <c r="D25" s="4">
        <v>4159.5627482966293</v>
      </c>
      <c r="E25" s="4">
        <v>4077.5334827890206</v>
      </c>
      <c r="F25" s="4">
        <v>3995.5042172814119</v>
      </c>
      <c r="G25" s="4">
        <v>3913.4749517738032</v>
      </c>
      <c r="H25" s="4">
        <v>3831.445686266195</v>
      </c>
      <c r="I25" s="4">
        <v>3749.4164207585859</v>
      </c>
      <c r="J25" s="4">
        <v>2872.7088323586509</v>
      </c>
      <c r="K25" s="4">
        <v>2872.9503250875209</v>
      </c>
      <c r="L25" s="4">
        <v>2863.2706623428649</v>
      </c>
      <c r="M25" s="4">
        <v>2871.7777942950001</v>
      </c>
      <c r="N25" s="4">
        <v>1551.8237294612495</v>
      </c>
      <c r="O25" s="4">
        <v>1548.9139290241603</v>
      </c>
      <c r="P25" s="4">
        <v>1546.3657650617095</v>
      </c>
      <c r="Q25" s="4">
        <v>1543.3544698108039</v>
      </c>
      <c r="R25" s="4">
        <v>1539.6359557712719</v>
      </c>
      <c r="S25" s="4">
        <v>1534.4268861477026</v>
      </c>
      <c r="T25" s="4">
        <v>1530.9779520834909</v>
      </c>
      <c r="U25" s="4">
        <v>1524.7549160203671</v>
      </c>
      <c r="V25" s="4">
        <v>1517.7191217452037</v>
      </c>
      <c r="W25" s="4">
        <v>1512.7467629601774</v>
      </c>
      <c r="X25" s="4">
        <v>1507.6351575641356</v>
      </c>
      <c r="Y25" s="4">
        <v>1501.6107084694349</v>
      </c>
      <c r="Z25" s="4">
        <v>1496.3554377581081</v>
      </c>
      <c r="AA25" s="4">
        <v>1491.6471243195815</v>
      </c>
      <c r="AB25" s="4">
        <v>1487.4630084743258</v>
      </c>
      <c r="AC25" s="4">
        <v>1482.2930740302882</v>
      </c>
      <c r="AD25" s="4">
        <v>1476.0815434634505</v>
      </c>
      <c r="AE25" s="4">
        <v>1471.572679855989</v>
      </c>
      <c r="AF25" s="4">
        <v>1467.3027826156101</v>
      </c>
      <c r="AG25" s="4">
        <v>1462.929294718409</v>
      </c>
      <c r="AH25" s="4">
        <v>1459.7375713572644</v>
      </c>
      <c r="AI25" s="4">
        <v>1455.1402141928374</v>
      </c>
      <c r="AJ25" s="4">
        <v>1695.190662650336</v>
      </c>
      <c r="AK25" s="4">
        <v>1688.5439684904566</v>
      </c>
      <c r="AL25" s="4">
        <v>1682.4238755654003</v>
      </c>
      <c r="AM25" s="4">
        <v>1659.7316794497854</v>
      </c>
    </row>
    <row r="26" spans="1:39" x14ac:dyDescent="0.25">
      <c r="A26" t="s">
        <v>3</v>
      </c>
      <c r="B26" s="4">
        <v>1041.6274818027157</v>
      </c>
      <c r="C26" s="4">
        <v>1036.7851415285029</v>
      </c>
      <c r="D26" s="4">
        <v>1031.9428012542901</v>
      </c>
      <c r="E26" s="4">
        <v>1027.1004609800773</v>
      </c>
      <c r="F26" s="4">
        <v>1022.2581207058644</v>
      </c>
      <c r="G26" s="4">
        <v>1017.4157804316516</v>
      </c>
      <c r="H26" s="4">
        <v>1012.5734401574388</v>
      </c>
      <c r="I26" s="4">
        <v>1007.731099883226</v>
      </c>
      <c r="J26" s="4">
        <v>974.65063898956146</v>
      </c>
      <c r="K26" s="4">
        <v>969.41253840973332</v>
      </c>
      <c r="L26" s="4">
        <v>949.77802610882304</v>
      </c>
      <c r="M26" s="4">
        <v>938.91515237967883</v>
      </c>
      <c r="N26" s="4">
        <v>935.71886259942403</v>
      </c>
      <c r="O26" s="4">
        <v>929.26931248956532</v>
      </c>
      <c r="P26" s="4">
        <v>915.21554643481602</v>
      </c>
      <c r="Q26" s="4">
        <v>907.85235181287248</v>
      </c>
      <c r="R26" s="4">
        <v>902.62028277617947</v>
      </c>
      <c r="S26" s="4">
        <v>897.76008895239102</v>
      </c>
      <c r="T26" s="4">
        <v>893.9282204896549</v>
      </c>
      <c r="U26" s="4">
        <v>888.47612337416103</v>
      </c>
      <c r="V26" s="4">
        <v>882.55477886697145</v>
      </c>
      <c r="W26" s="4">
        <v>877.83569411846292</v>
      </c>
      <c r="X26" s="4">
        <v>873.03611526552379</v>
      </c>
      <c r="Y26" s="4">
        <v>867.70929130632169</v>
      </c>
      <c r="Z26" s="4">
        <v>862.82880995549249</v>
      </c>
      <c r="AA26" s="4">
        <v>858.26382213448073</v>
      </c>
      <c r="AB26" s="4">
        <v>853.99911448801936</v>
      </c>
      <c r="AC26" s="4">
        <v>849.16775811012394</v>
      </c>
      <c r="AD26" s="4">
        <v>843.74174658648087</v>
      </c>
      <c r="AE26" s="4">
        <v>839.29006838238729</v>
      </c>
      <c r="AF26" s="4">
        <v>834.97299101270517</v>
      </c>
      <c r="AG26" s="4">
        <v>830.59564325022984</v>
      </c>
      <c r="AH26" s="4">
        <v>826.88614495228012</v>
      </c>
      <c r="AI26" s="4">
        <v>822.3777570210658</v>
      </c>
      <c r="AJ26" s="4">
        <v>817.36037483569271</v>
      </c>
      <c r="AK26" s="4">
        <v>812.23993227224776</v>
      </c>
      <c r="AL26" s="4">
        <v>807.3744504511908</v>
      </c>
      <c r="AM26" s="4">
        <v>797.36603161914195</v>
      </c>
    </row>
    <row r="27" spans="1:39" x14ac:dyDescent="0.25">
      <c r="A27" t="s">
        <v>4</v>
      </c>
      <c r="B27" s="4">
        <v>1184.4037089048181</v>
      </c>
      <c r="C27" s="4">
        <v>1172.8177997491418</v>
      </c>
      <c r="D27" s="4">
        <v>1161.2318905934658</v>
      </c>
      <c r="E27" s="4">
        <v>1149.6459814377895</v>
      </c>
      <c r="F27" s="4">
        <v>1138.0600722821134</v>
      </c>
      <c r="G27" s="4">
        <v>1126.4741631264371</v>
      </c>
      <c r="H27" s="4">
        <v>1114.8882539707608</v>
      </c>
      <c r="I27" s="4">
        <v>1103.3023448150848</v>
      </c>
      <c r="J27" s="4">
        <v>1058.0127259260469</v>
      </c>
      <c r="K27" s="4">
        <v>1055.2237768408481</v>
      </c>
      <c r="L27" s="4">
        <v>1042.9478470233053</v>
      </c>
      <c r="M27" s="4">
        <v>1038.6442386320225</v>
      </c>
      <c r="N27" s="4">
        <v>1038.6558265321919</v>
      </c>
      <c r="O27" s="4">
        <v>1034.1689706341822</v>
      </c>
      <c r="P27" s="4">
        <v>1025.6925434358664</v>
      </c>
      <c r="Q27" s="4">
        <v>1020.6766420914952</v>
      </c>
      <c r="R27" s="4">
        <v>1016.5707199052349</v>
      </c>
      <c r="S27" s="4">
        <v>1012.1545672233171</v>
      </c>
      <c r="T27" s="4">
        <v>1008.898831339306</v>
      </c>
      <c r="U27" s="4">
        <v>1003.814640049962</v>
      </c>
      <c r="V27" s="4">
        <v>998.19762480554368</v>
      </c>
      <c r="W27" s="4">
        <v>993.93906164218788</v>
      </c>
      <c r="X27" s="4">
        <v>989.58920434314348</v>
      </c>
      <c r="Y27" s="4">
        <v>984.64086391694377</v>
      </c>
      <c r="Z27" s="4">
        <v>980.19802076234487</v>
      </c>
      <c r="AA27" s="4">
        <v>976.11337894541464</v>
      </c>
      <c r="AB27" s="4">
        <v>972.37116027334548</v>
      </c>
      <c r="AC27" s="4">
        <v>967.98410375833203</v>
      </c>
      <c r="AD27" s="4">
        <v>962.91790754206954</v>
      </c>
      <c r="AE27" s="4">
        <v>958.96305301967607</v>
      </c>
      <c r="AF27" s="4">
        <v>955.16298824017952</v>
      </c>
      <c r="AG27" s="4">
        <v>951.29484673905154</v>
      </c>
      <c r="AH27" s="4">
        <v>948.19343072953939</v>
      </c>
      <c r="AI27" s="4">
        <v>944.17748371674645</v>
      </c>
      <c r="AJ27" s="4">
        <v>939.57715603931319</v>
      </c>
      <c r="AK27" s="4">
        <v>934.85731340143286</v>
      </c>
      <c r="AL27" s="4">
        <v>930.42992494603277</v>
      </c>
      <c r="AM27" s="4">
        <v>918.35771258565717</v>
      </c>
    </row>
    <row r="28" spans="1:39" x14ac:dyDescent="0.25">
      <c r="A28" t="s">
        <v>5</v>
      </c>
      <c r="B28" s="4">
        <v>3085.4150471835674</v>
      </c>
      <c r="C28" s="4">
        <v>3043.434589254693</v>
      </c>
      <c r="D28" s="4">
        <v>3001.4541313258183</v>
      </c>
      <c r="E28" s="4">
        <v>2959.4736733969439</v>
      </c>
      <c r="F28" s="4">
        <v>2917.4932154680691</v>
      </c>
      <c r="G28" s="4">
        <v>2875.5127575391944</v>
      </c>
      <c r="H28" s="4">
        <v>2833.53229961032</v>
      </c>
      <c r="I28" s="4">
        <v>2791.5518416814457</v>
      </c>
      <c r="J28" s="4">
        <v>2666.8073055041045</v>
      </c>
      <c r="K28" s="4">
        <v>2652.5142688129558</v>
      </c>
      <c r="L28" s="4">
        <v>2620.1731301587147</v>
      </c>
      <c r="M28" s="4">
        <v>2606.4564356916585</v>
      </c>
      <c r="N28" s="4">
        <v>2599.4799372225075</v>
      </c>
      <c r="O28" s="4">
        <v>2580.3314282072838</v>
      </c>
      <c r="P28" s="4">
        <v>2555.3415332532809</v>
      </c>
      <c r="Q28" s="4">
        <v>2535.2685989810193</v>
      </c>
      <c r="R28" s="4">
        <v>2516.1007272433581</v>
      </c>
      <c r="S28" s="4">
        <v>2495.512594325277</v>
      </c>
      <c r="T28" s="4">
        <v>2477.7774034267031</v>
      </c>
      <c r="U28" s="4">
        <v>2455.5500361301051</v>
      </c>
      <c r="V28" s="4">
        <v>2432.0409328624182</v>
      </c>
      <c r="W28" s="4">
        <v>2411.8553559439042</v>
      </c>
      <c r="X28" s="4">
        <v>2391.4498698304706</v>
      </c>
      <c r="Y28" s="4">
        <v>2369.6059997602915</v>
      </c>
      <c r="Z28" s="4">
        <v>2348.9875953165179</v>
      </c>
      <c r="AA28" s="4">
        <v>2329.2283543440476</v>
      </c>
      <c r="AB28" s="4">
        <v>2310.279343358427</v>
      </c>
      <c r="AC28" s="4">
        <v>2289.7950376440936</v>
      </c>
      <c r="AD28" s="4">
        <v>2267.7146907620718</v>
      </c>
      <c r="AE28" s="4">
        <v>2248.2570705606381</v>
      </c>
      <c r="AF28" s="4">
        <v>2229.1547633616651</v>
      </c>
      <c r="AG28" s="4">
        <v>2209.8851232739985</v>
      </c>
      <c r="AH28" s="4">
        <v>2192.3797513143254</v>
      </c>
      <c r="AI28" s="4">
        <v>2172.7453489313775</v>
      </c>
      <c r="AJ28" s="4">
        <v>2151.767492433567</v>
      </c>
      <c r="AK28" s="4">
        <v>2130.5249792321765</v>
      </c>
      <c r="AL28" s="4">
        <v>2109.9568605424329</v>
      </c>
      <c r="AM28" s="4">
        <v>2071.0262092673006</v>
      </c>
    </row>
    <row r="29" spans="1:39" x14ac:dyDescent="0.25">
      <c r="A29" t="s">
        <v>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x14ac:dyDescent="0.25">
      <c r="A30" t="s">
        <v>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x14ac:dyDescent="0.25">
      <c r="A31" t="s">
        <v>8</v>
      </c>
      <c r="B31" s="4">
        <v>3913.473036370292</v>
      </c>
      <c r="C31" s="4">
        <v>3908.07532892687</v>
      </c>
      <c r="D31" s="4">
        <v>3902.6776214834476</v>
      </c>
      <c r="E31" s="4">
        <v>3897.2799140400257</v>
      </c>
      <c r="F31" s="4">
        <v>3891.8822065966037</v>
      </c>
      <c r="G31" s="4">
        <v>3886.4844991531818</v>
      </c>
      <c r="H31" s="4">
        <v>3881.0867917097594</v>
      </c>
      <c r="I31" s="4">
        <v>3875.689084266337</v>
      </c>
      <c r="J31" s="4">
        <v>3810.1377117250236</v>
      </c>
      <c r="K31" s="4">
        <v>3798.4000344999845</v>
      </c>
      <c r="L31" s="4">
        <v>3773.5088974980781</v>
      </c>
      <c r="M31" s="4">
        <v>3772.5146877472098</v>
      </c>
      <c r="N31" s="4">
        <v>3772.561806761275</v>
      </c>
      <c r="O31" s="4">
        <v>3753.1093815528998</v>
      </c>
      <c r="P31" s="4">
        <v>3734.497318499592</v>
      </c>
      <c r="Q31" s="4">
        <v>3714.7322549215223</v>
      </c>
      <c r="R31" s="4">
        <v>3693.2389707028897</v>
      </c>
      <c r="S31" s="4">
        <v>3668.1623953573285</v>
      </c>
      <c r="T31" s="4">
        <v>3647.2837187854389</v>
      </c>
      <c r="U31" s="4">
        <v>3619.7937358637259</v>
      </c>
      <c r="V31" s="4">
        <v>3590.4025836178207</v>
      </c>
      <c r="W31" s="4">
        <v>3565.9107607331844</v>
      </c>
      <c r="X31" s="4">
        <v>3541.0921485311069</v>
      </c>
      <c r="Y31" s="4">
        <v>3514.1395908047016</v>
      </c>
      <c r="Z31" s="4">
        <v>3488.9996634955241</v>
      </c>
      <c r="AA31" s="4">
        <v>3465.1356158677131</v>
      </c>
      <c r="AB31" s="4">
        <v>3442.4806855628649</v>
      </c>
      <c r="AC31" s="4">
        <v>3417.5396516158326</v>
      </c>
      <c r="AD31" s="4">
        <v>3390.2110313043254</v>
      </c>
      <c r="AE31" s="4">
        <v>3366.7996895341234</v>
      </c>
      <c r="AF31" s="4">
        <v>3343.9250919474825</v>
      </c>
      <c r="AG31" s="4">
        <v>3320.8043637287219</v>
      </c>
      <c r="AH31" s="4">
        <v>3300.3441945249965</v>
      </c>
      <c r="AI31" s="4">
        <v>3276.687251079813</v>
      </c>
      <c r="AJ31" s="4">
        <v>3251.003551816571</v>
      </c>
      <c r="AK31" s="4">
        <v>3224.914590411965</v>
      </c>
      <c r="AL31" s="4">
        <v>3199.8421792251302</v>
      </c>
      <c r="AM31" s="4">
        <v>3143.3885484136144</v>
      </c>
    </row>
    <row r="32" spans="1:39" x14ac:dyDescent="0.25">
      <c r="A32" t="s">
        <v>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x14ac:dyDescent="0.25">
      <c r="A33" t="s">
        <v>10</v>
      </c>
      <c r="B33" s="4">
        <v>6516.551968740052</v>
      </c>
      <c r="C33" s="4">
        <v>6492.6474095660515</v>
      </c>
      <c r="D33" s="4">
        <v>6468.742850392051</v>
      </c>
      <c r="E33" s="4">
        <v>6444.8382912180505</v>
      </c>
      <c r="F33" s="4">
        <v>6420.9337320440491</v>
      </c>
      <c r="G33" s="4">
        <v>6397.0291728700495</v>
      </c>
      <c r="H33" s="4">
        <v>6373.124613696049</v>
      </c>
      <c r="I33" s="4">
        <v>6349.2200545220485</v>
      </c>
      <c r="J33" s="4">
        <v>6203.267824019099</v>
      </c>
      <c r="K33" s="4">
        <v>6176.2705882555792</v>
      </c>
      <c r="L33" s="4">
        <v>6127.861862135228</v>
      </c>
      <c r="M33" s="4">
        <v>6118.2117559668295</v>
      </c>
      <c r="N33" s="4">
        <v>6110.1501546276577</v>
      </c>
      <c r="O33" s="4">
        <v>6070.4421721135031</v>
      </c>
      <c r="P33" s="4">
        <v>6032.0706875464593</v>
      </c>
      <c r="Q33" s="4">
        <v>5991.8130880703247</v>
      </c>
      <c r="R33" s="4">
        <v>5948.7508135316821</v>
      </c>
      <c r="S33" s="4">
        <v>5899.9119369764549</v>
      </c>
      <c r="T33" s="4">
        <v>5857.8179859158026</v>
      </c>
      <c r="U33" s="4">
        <v>5805.1037090728332</v>
      </c>
      <c r="V33" s="4">
        <v>5749.3602929579456</v>
      </c>
      <c r="W33" s="4">
        <v>5701.4732746613727</v>
      </c>
      <c r="X33" s="4">
        <v>5653.0659264256328</v>
      </c>
      <c r="Y33" s="4">
        <v>5601.2594235557017</v>
      </c>
      <c r="Z33" s="4">
        <v>5552.3506186603618</v>
      </c>
      <c r="AA33" s="4">
        <v>5505.4715267830934</v>
      </c>
      <c r="AB33" s="4">
        <v>5460.5079484430235</v>
      </c>
      <c r="AC33" s="4">
        <v>5411.9155490689591</v>
      </c>
      <c r="AD33" s="4">
        <v>5359.5502663441193</v>
      </c>
      <c r="AE33" s="4">
        <v>5313.3836205431326</v>
      </c>
      <c r="AF33" s="4">
        <v>5268.057239790779</v>
      </c>
      <c r="AG33" s="4">
        <v>5222.3343140831721</v>
      </c>
      <c r="AH33" s="4">
        <v>5180.7821398603583</v>
      </c>
      <c r="AI33" s="4">
        <v>5134.1979171216817</v>
      </c>
      <c r="AJ33" s="4">
        <v>5084.4384369054051</v>
      </c>
      <c r="AK33" s="4">
        <v>5034.0553335350141</v>
      </c>
      <c r="AL33" s="4">
        <v>4985.2641272371284</v>
      </c>
      <c r="AM33" s="4">
        <v>4887.6826155601293</v>
      </c>
    </row>
    <row r="34" spans="1:39" x14ac:dyDescent="0.25">
      <c r="A34" t="s">
        <v>11</v>
      </c>
      <c r="B34" s="4">
        <v>1291.4230469941351</v>
      </c>
      <c r="C34" s="4">
        <v>1286.133078295049</v>
      </c>
      <c r="D34" s="4">
        <v>1280.8431095959629</v>
      </c>
      <c r="E34" s="4">
        <v>1275.5531408968768</v>
      </c>
      <c r="F34" s="4">
        <v>1270.2631721977909</v>
      </c>
      <c r="G34" s="4">
        <v>1264.9732034987048</v>
      </c>
      <c r="H34" s="4">
        <v>1259.6832347996187</v>
      </c>
      <c r="I34" s="4">
        <v>1254.3932661005326</v>
      </c>
      <c r="J34" s="4">
        <v>1213.2141042131832</v>
      </c>
      <c r="K34" s="4">
        <v>1206.6938658772942</v>
      </c>
      <c r="L34" s="4">
        <v>1182.2534117392986</v>
      </c>
      <c r="M34" s="4">
        <v>1168.7317246824841</v>
      </c>
      <c r="N34" s="4">
        <v>1164.7530911106796</v>
      </c>
      <c r="O34" s="4">
        <v>1156.7249053794601</v>
      </c>
      <c r="P34" s="4">
        <v>1139.2312021559935</v>
      </c>
      <c r="Q34" s="4">
        <v>1130.065651782455</v>
      </c>
      <c r="R34" s="4">
        <v>1123.5530144331799</v>
      </c>
      <c r="S34" s="4">
        <v>1117.5032207011723</v>
      </c>
      <c r="T34" s="4">
        <v>1112.7333278741714</v>
      </c>
      <c r="U34" s="4">
        <v>1105.9467814573125</v>
      </c>
      <c r="V34" s="4">
        <v>1098.5760351019112</v>
      </c>
      <c r="W34" s="4">
        <v>1092.7018792124572</v>
      </c>
      <c r="X34" s="4">
        <v>1086.7275435972535</v>
      </c>
      <c r="Y34" s="4">
        <v>1080.096819775823</v>
      </c>
      <c r="Z34" s="4">
        <v>1074.0218750480685</v>
      </c>
      <c r="AA34" s="4">
        <v>1068.3394835434067</v>
      </c>
      <c r="AB34" s="4">
        <v>1063.0309108940692</v>
      </c>
      <c r="AC34" s="4">
        <v>1057.0169858030545</v>
      </c>
      <c r="AD34" s="4">
        <v>1050.2628638212673</v>
      </c>
      <c r="AE34" s="4">
        <v>1044.7215201346746</v>
      </c>
      <c r="AF34" s="4">
        <v>1039.3477770705588</v>
      </c>
      <c r="AG34" s="4">
        <v>1033.8990176481295</v>
      </c>
      <c r="AH34" s="4">
        <v>1029.2815510545274</v>
      </c>
      <c r="AI34" s="4">
        <v>1023.6696272233323</v>
      </c>
      <c r="AJ34" s="4">
        <v>1017.4241486026046</v>
      </c>
      <c r="AK34" s="4">
        <v>1011.0504136071729</v>
      </c>
      <c r="AL34" s="4">
        <v>1004.9940191382814</v>
      </c>
      <c r="AM34" s="4">
        <v>992.53583212932028</v>
      </c>
    </row>
    <row r="35" spans="1:39" x14ac:dyDescent="0.25">
      <c r="A35" t="s">
        <v>12</v>
      </c>
      <c r="B35" s="4">
        <v>6774.9856482904352</v>
      </c>
      <c r="C35" s="4">
        <v>6741.2590761160327</v>
      </c>
      <c r="D35" s="4">
        <v>6707.5325039416311</v>
      </c>
      <c r="E35" s="4">
        <v>6673.8059317672287</v>
      </c>
      <c r="F35" s="4">
        <v>6640.0793595928262</v>
      </c>
      <c r="G35" s="4">
        <v>6606.3527874184247</v>
      </c>
      <c r="H35" s="4">
        <v>6572.6262152440222</v>
      </c>
      <c r="I35" s="4">
        <v>6538.8996430696207</v>
      </c>
      <c r="J35" s="4">
        <v>6573.9640870108124</v>
      </c>
      <c r="K35" s="4">
        <v>6553.7120781250151</v>
      </c>
      <c r="L35" s="4">
        <v>6501.0866668227191</v>
      </c>
      <c r="M35" s="4">
        <v>6361.6242897989405</v>
      </c>
      <c r="N35" s="4">
        <v>6361.2522501969497</v>
      </c>
      <c r="O35" s="4">
        <v>6327.9971187392666</v>
      </c>
      <c r="P35" s="4">
        <v>6296.1573762666167</v>
      </c>
      <c r="Q35" s="4">
        <v>6262.3726438191989</v>
      </c>
      <c r="R35" s="4">
        <v>6225.6744613940882</v>
      </c>
      <c r="S35" s="4">
        <v>6182.9334931303802</v>
      </c>
      <c r="T35" s="4">
        <v>6147.2690693530903</v>
      </c>
      <c r="U35" s="4">
        <v>6100.4623808270508</v>
      </c>
      <c r="V35" s="4">
        <v>6050.4521924929668</v>
      </c>
      <c r="W35" s="4">
        <v>6008.6983166762211</v>
      </c>
      <c r="X35" s="4">
        <v>5966.3939067834717</v>
      </c>
      <c r="Y35" s="4">
        <v>5920.4950434070824</v>
      </c>
      <c r="Z35" s="4">
        <v>5877.6502963875728</v>
      </c>
      <c r="AA35" s="4">
        <v>5836.9542884130597</v>
      </c>
      <c r="AB35" s="4">
        <v>5798.2964209574029</v>
      </c>
      <c r="AC35" s="4">
        <v>5755.7861264022358</v>
      </c>
      <c r="AD35" s="4">
        <v>5709.2551641820219</v>
      </c>
      <c r="AE35" s="4">
        <v>5669.3226437529174</v>
      </c>
      <c r="AF35" s="4">
        <v>5630.291818582461</v>
      </c>
      <c r="AG35" s="4">
        <v>5590.847019881061</v>
      </c>
      <c r="AH35" s="4">
        <v>5555.8810437855946</v>
      </c>
      <c r="AI35" s="4">
        <v>5515.5324935490971</v>
      </c>
      <c r="AJ35" s="4">
        <v>5471.7726960700293</v>
      </c>
      <c r="AK35" s="4">
        <v>5427.3314034046498</v>
      </c>
      <c r="AL35" s="4">
        <v>5384.6014158801663</v>
      </c>
      <c r="AM35" s="4">
        <v>5289.0685987662837</v>
      </c>
    </row>
    <row r="36" spans="1:39" x14ac:dyDescent="0.25">
      <c r="A36" t="s">
        <v>51</v>
      </c>
      <c r="B36" s="4"/>
      <c r="C36" s="4"/>
      <c r="D36" s="4"/>
      <c r="E36" s="4"/>
      <c r="F36" s="4"/>
      <c r="G36" s="4"/>
      <c r="H36" s="4"/>
      <c r="I36" s="4"/>
      <c r="J36" s="4">
        <v>7057.5691304121601</v>
      </c>
      <c r="K36" s="4">
        <v>7035.8277184478457</v>
      </c>
      <c r="L36" s="4">
        <v>6989.721180740733</v>
      </c>
      <c r="M36" s="4">
        <v>6987.8800366002733</v>
      </c>
      <c r="N36" s="4">
        <v>6987.9673530388463</v>
      </c>
      <c r="O36" s="4">
        <v>6951.9351202179914</v>
      </c>
      <c r="P36" s="4">
        <v>6917.4595650875908</v>
      </c>
      <c r="Q36" s="4">
        <v>6880.8486159265112</v>
      </c>
      <c r="R36" s="4">
        <v>6841.036459643401</v>
      </c>
      <c r="S36" s="4">
        <v>6794.5859377720153</v>
      </c>
      <c r="T36" s="4">
        <v>6755.9122768201396</v>
      </c>
      <c r="U36" s="4">
        <v>6704.9927873265815</v>
      </c>
      <c r="V36" s="4">
        <v>6650.5517686522489</v>
      </c>
      <c r="W36" s="4">
        <v>6605.1849249595507</v>
      </c>
      <c r="X36" s="4">
        <v>6559.2122473854779</v>
      </c>
      <c r="Y36" s="4">
        <v>6509.2882070041214</v>
      </c>
      <c r="Z36" s="4">
        <v>6462.720740522519</v>
      </c>
      <c r="AA36" s="4">
        <v>6418.5174404960771</v>
      </c>
      <c r="AB36" s="4">
        <v>6376.5535087105754</v>
      </c>
      <c r="AC36" s="4">
        <v>6330.3552202183491</v>
      </c>
      <c r="AD36" s="4">
        <v>6279.733415998805</v>
      </c>
      <c r="AE36" s="4">
        <v>6236.3685636145092</v>
      </c>
      <c r="AF36" s="4">
        <v>6193.9976916506166</v>
      </c>
      <c r="AG36" s="4">
        <v>6151.1699029763295</v>
      </c>
      <c r="AH36" s="4">
        <v>6113.2714583956258</v>
      </c>
      <c r="AI36" s="4">
        <v>6069.4518848629123</v>
      </c>
      <c r="AJ36" s="4">
        <v>6021.8774323300095</v>
      </c>
      <c r="AK36" s="4">
        <v>5973.5534792265853</v>
      </c>
      <c r="AL36" s="4">
        <v>5927.1108889028328</v>
      </c>
      <c r="AM36" s="4">
        <v>5822.5414872976226</v>
      </c>
    </row>
    <row r="37" spans="1:39" x14ac:dyDescent="0.25">
      <c r="A37" t="s">
        <v>13</v>
      </c>
      <c r="B37" s="4">
        <v>3025.3253078559105</v>
      </c>
      <c r="C37" s="4">
        <v>3011.8008034158847</v>
      </c>
      <c r="D37" s="4">
        <v>2998.2762989758589</v>
      </c>
      <c r="E37" s="4">
        <v>2984.7517945358331</v>
      </c>
      <c r="F37" s="4">
        <v>2971.2272900958069</v>
      </c>
      <c r="G37" s="4">
        <v>2957.7027856557806</v>
      </c>
      <c r="H37" s="4">
        <v>2944.1782812157549</v>
      </c>
      <c r="I37" s="4">
        <v>2930.6537767757286</v>
      </c>
      <c r="J37" s="4">
        <v>2876.7734072882631</v>
      </c>
      <c r="K37" s="4">
        <v>2867.911055168051</v>
      </c>
      <c r="L37" s="4">
        <v>2849.117397117574</v>
      </c>
      <c r="M37" s="4">
        <v>2848.366666965424</v>
      </c>
      <c r="N37" s="4">
        <v>2848.402459371121</v>
      </c>
      <c r="O37" s="4">
        <v>2833.7150796454634</v>
      </c>
      <c r="P37" s="4">
        <v>2704.5736960933905</v>
      </c>
      <c r="Q37" s="4">
        <v>2663.7925644512707</v>
      </c>
      <c r="R37" s="4">
        <v>2625.1872926357241</v>
      </c>
      <c r="S37" s="4">
        <v>2581.2252259765587</v>
      </c>
      <c r="T37" s="4">
        <v>2547.1261049400218</v>
      </c>
      <c r="U37" s="4">
        <v>2513.3046453839243</v>
      </c>
      <c r="V37" s="4">
        <v>2483.8130511733898</v>
      </c>
      <c r="W37" s="4">
        <v>2463.890093743938</v>
      </c>
      <c r="X37" s="4">
        <v>2440.5033119235327</v>
      </c>
      <c r="Y37" s="4">
        <v>2436.435457373349</v>
      </c>
      <c r="Z37" s="4">
        <v>3091.5370390167564</v>
      </c>
      <c r="AA37" s="4">
        <v>3064.7000706555305</v>
      </c>
      <c r="AB37" s="4">
        <v>3040.1130916978636</v>
      </c>
      <c r="AC37" s="4">
        <v>3016.527606412877</v>
      </c>
      <c r="AD37" s="4">
        <v>2990.8357509429466</v>
      </c>
      <c r="AE37" s="4">
        <v>2968.6012827805525</v>
      </c>
      <c r="AF37" s="4">
        <v>3572.0577710165926</v>
      </c>
      <c r="AG37" s="4">
        <v>3536.5093937703946</v>
      </c>
      <c r="AH37" s="4">
        <v>3512.7614180355176</v>
      </c>
      <c r="AI37" s="4">
        <v>3485.6092608312765</v>
      </c>
      <c r="AJ37" s="4">
        <v>3456.3005566870743</v>
      </c>
      <c r="AK37" s="4">
        <v>3426.563471590845</v>
      </c>
      <c r="AL37" s="4">
        <v>3397.9075744094976</v>
      </c>
      <c r="AM37" s="4">
        <v>3335.9488376239356</v>
      </c>
    </row>
    <row r="38" spans="1:39" x14ac:dyDescent="0.25">
      <c r="A38" t="s">
        <v>14</v>
      </c>
      <c r="B38" s="4">
        <v>4400.9261007459418</v>
      </c>
      <c r="C38" s="4">
        <v>4388.064336114101</v>
      </c>
      <c r="D38" s="4">
        <v>4375.2025714822594</v>
      </c>
      <c r="E38" s="4">
        <v>4362.3408068504186</v>
      </c>
      <c r="F38" s="4">
        <v>4349.4790422185779</v>
      </c>
      <c r="G38" s="4">
        <v>4336.6172775867381</v>
      </c>
      <c r="H38" s="4">
        <v>4323.7555129548982</v>
      </c>
      <c r="I38" s="4">
        <v>4310.8937483230566</v>
      </c>
      <c r="J38" s="4">
        <v>4231.8203793619123</v>
      </c>
      <c r="K38" s="4">
        <v>4218.5967342888307</v>
      </c>
      <c r="L38" s="4">
        <v>4190.7902560510865</v>
      </c>
      <c r="M38" s="4">
        <v>4188.4896766451757</v>
      </c>
      <c r="N38" s="4">
        <v>4188.4407215950823</v>
      </c>
      <c r="O38" s="4">
        <v>4166.7415462399822</v>
      </c>
      <c r="P38" s="4">
        <v>4145.9753062088639</v>
      </c>
      <c r="Q38" s="4">
        <v>4123.9288908383014</v>
      </c>
      <c r="R38" s="4">
        <v>4099.9635492269581</v>
      </c>
      <c r="S38" s="4">
        <v>4072.0201480520691</v>
      </c>
      <c r="T38" s="4">
        <v>4048.7365032036746</v>
      </c>
      <c r="U38" s="4">
        <v>4018.1142677846528</v>
      </c>
      <c r="V38" s="4">
        <v>3985.3821816870968</v>
      </c>
      <c r="W38" s="4">
        <v>3958.0877867115169</v>
      </c>
      <c r="X38" s="4">
        <v>3930.4304149118857</v>
      </c>
      <c r="Y38" s="4">
        <v>3900.4057116254094</v>
      </c>
      <c r="Z38" s="4">
        <v>3872.3921709942447</v>
      </c>
      <c r="AA38" s="4">
        <v>3845.7950703383108</v>
      </c>
      <c r="AB38" s="4">
        <v>3820.5399436794087</v>
      </c>
      <c r="AC38" s="4">
        <v>3792.7474518667241</v>
      </c>
      <c r="AD38" s="4">
        <v>3762.3048832076261</v>
      </c>
      <c r="AE38" s="4">
        <v>3736.2103591553073</v>
      </c>
      <c r="AF38" s="4">
        <v>3710.7108882755206</v>
      </c>
      <c r="AG38" s="4">
        <v>3684.937911461946</v>
      </c>
      <c r="AH38" s="4">
        <v>3662.1174656567418</v>
      </c>
      <c r="AI38" s="4">
        <v>3635.7499010975107</v>
      </c>
      <c r="AJ38" s="4">
        <v>3607.1332939184495</v>
      </c>
      <c r="AK38" s="4">
        <v>3578.067688200631</v>
      </c>
      <c r="AL38" s="4">
        <v>3550.1294968109132</v>
      </c>
      <c r="AM38" s="4">
        <v>3487.375792706895</v>
      </c>
    </row>
    <row r="39" spans="1:39" x14ac:dyDescent="0.25">
      <c r="A39" t="s">
        <v>15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x14ac:dyDescent="0.25">
      <c r="A40" t="s">
        <v>16</v>
      </c>
      <c r="B40" s="4">
        <v>4250.5955196105851</v>
      </c>
      <c r="C40" s="4">
        <v>4245.1978121671627</v>
      </c>
      <c r="D40" s="4">
        <v>4239.8001047237412</v>
      </c>
      <c r="E40" s="4">
        <v>4234.4023972803188</v>
      </c>
      <c r="F40" s="4">
        <v>4229.0046898368973</v>
      </c>
      <c r="G40" s="4">
        <v>4223.6069823934749</v>
      </c>
      <c r="H40" s="4">
        <v>4218.2092749500525</v>
      </c>
      <c r="I40" s="4">
        <v>4212.8115675066301</v>
      </c>
      <c r="J40" s="4">
        <v>4143.2626951640486</v>
      </c>
      <c r="K40" s="4">
        <v>4131.5250179390096</v>
      </c>
      <c r="L40" s="4">
        <v>4106.6338809371027</v>
      </c>
      <c r="M40" s="4">
        <v>4105.6396711862344</v>
      </c>
      <c r="N40" s="4">
        <v>4105.6867902002996</v>
      </c>
      <c r="O40" s="4">
        <v>4086.2343649919244</v>
      </c>
      <c r="P40" s="4">
        <v>4067.6223019386166</v>
      </c>
      <c r="Q40" s="4">
        <v>4047.8572383605469</v>
      </c>
      <c r="R40" s="4">
        <v>4026.3639541419143</v>
      </c>
      <c r="S40" s="4">
        <v>4001.2873787963531</v>
      </c>
      <c r="T40" s="4">
        <v>3980.4087022244635</v>
      </c>
      <c r="U40" s="4">
        <v>3952.9187193027501</v>
      </c>
      <c r="V40" s="4">
        <v>3923.5275670568449</v>
      </c>
      <c r="W40" s="4">
        <v>3899.035744172209</v>
      </c>
      <c r="X40" s="4">
        <v>3874.217131970131</v>
      </c>
      <c r="Y40" s="4">
        <v>3847.2645742437267</v>
      </c>
      <c r="Z40" s="4">
        <v>3822.1246469345483</v>
      </c>
      <c r="AA40" s="4">
        <v>3798.2605993067377</v>
      </c>
      <c r="AB40" s="4">
        <v>3775.6056690018895</v>
      </c>
      <c r="AC40" s="4">
        <v>3750.6646350548576</v>
      </c>
      <c r="AD40" s="4">
        <v>3723.3360147433505</v>
      </c>
      <c r="AE40" s="4">
        <v>3699.9246729731485</v>
      </c>
      <c r="AF40" s="4">
        <v>3677.0500753865067</v>
      </c>
      <c r="AG40" s="4">
        <v>3653.9293471677465</v>
      </c>
      <c r="AH40" s="4">
        <v>3633.4691779640211</v>
      </c>
      <c r="AI40" s="4">
        <v>3609.8122345188376</v>
      </c>
      <c r="AJ40" s="4">
        <v>3584.1285352555956</v>
      </c>
      <c r="AK40" s="4">
        <v>3558.0395738509897</v>
      </c>
      <c r="AL40" s="4">
        <v>3532.9671626641548</v>
      </c>
      <c r="AM40" s="4">
        <v>3476.5135318526386</v>
      </c>
    </row>
    <row r="41" spans="1:39" x14ac:dyDescent="0.25">
      <c r="A41" t="s">
        <v>17</v>
      </c>
      <c r="B41" s="4">
        <v>1781.5157207192731</v>
      </c>
      <c r="C41" s="4">
        <v>1767.4716487499813</v>
      </c>
      <c r="D41" s="4">
        <v>1753.4275767806898</v>
      </c>
      <c r="E41" s="4">
        <v>1739.3835048113981</v>
      </c>
      <c r="F41" s="4">
        <v>1725.3394328421066</v>
      </c>
      <c r="G41" s="4">
        <v>1711.2953608728151</v>
      </c>
      <c r="H41" s="4">
        <v>1697.2512889035233</v>
      </c>
      <c r="I41" s="4">
        <v>1683.2072169342318</v>
      </c>
      <c r="J41" s="4">
        <v>1625.1823251146873</v>
      </c>
      <c r="K41" s="4">
        <v>1625.3188158466999</v>
      </c>
      <c r="L41" s="4">
        <v>1619.8427392104913</v>
      </c>
      <c r="M41" s="4">
        <v>1624.6556851289163</v>
      </c>
      <c r="N41" s="4">
        <v>1629.9831661754833</v>
      </c>
      <c r="O41" s="4">
        <v>1626.9268825635613</v>
      </c>
      <c r="P41" s="4">
        <v>1624.2503451305063</v>
      </c>
      <c r="Q41" s="4">
        <v>1621.0875160299306</v>
      </c>
      <c r="R41" s="4">
        <v>1617.1815824069656</v>
      </c>
      <c r="S41" s="4">
        <v>1611.7099960190853</v>
      </c>
      <c r="T41" s="4">
        <v>1608.087489535294</v>
      </c>
      <c r="U41" s="4">
        <v>1601.5508793358356</v>
      </c>
      <c r="V41" s="4">
        <v>1594.1609075460847</v>
      </c>
      <c r="W41" s="4">
        <v>1588.9380636139704</v>
      </c>
      <c r="X41" s="4">
        <v>1583.5689246131165</v>
      </c>
      <c r="Y41" s="4">
        <v>1577.2410429055735</v>
      </c>
      <c r="Z41" s="4">
        <v>1571.7211504760057</v>
      </c>
      <c r="AA41" s="4">
        <v>1566.7756762237407</v>
      </c>
      <c r="AB41" s="4">
        <v>1562.3808504970332</v>
      </c>
      <c r="AC41" s="4">
        <v>1556.9504581504868</v>
      </c>
      <c r="AD41" s="4">
        <v>1550.426282944145</v>
      </c>
      <c r="AE41" s="4">
        <v>1545.6902995833721</v>
      </c>
      <c r="AF41" s="4">
        <v>1541.2049494972698</v>
      </c>
      <c r="AG41" s="4">
        <v>1536.6114020406876</v>
      </c>
      <c r="AH41" s="4">
        <v>1533.2588302676761</v>
      </c>
      <c r="AI41" s="4">
        <v>1528.4299110958932</v>
      </c>
      <c r="AJ41" s="4">
        <v>1522.6547882333268</v>
      </c>
      <c r="AK41" s="4">
        <v>1516.6843503706673</v>
      </c>
      <c r="AL41" s="4">
        <v>1511.1873659015034</v>
      </c>
      <c r="AM41" s="4">
        <v>1490.8048430081076</v>
      </c>
    </row>
    <row r="45" spans="1:39" x14ac:dyDescent="0.25">
      <c r="A45" t="s">
        <v>25</v>
      </c>
    </row>
    <row r="46" spans="1:39" x14ac:dyDescent="0.25">
      <c r="A46" t="s">
        <v>1</v>
      </c>
      <c r="B46">
        <v>2013</v>
      </c>
      <c r="C46">
        <v>2014</v>
      </c>
      <c r="D46">
        <v>2015</v>
      </c>
      <c r="E46">
        <v>2016</v>
      </c>
      <c r="F46">
        <v>2017</v>
      </c>
      <c r="G46">
        <v>2018</v>
      </c>
      <c r="H46">
        <v>2019</v>
      </c>
      <c r="I46">
        <v>2020</v>
      </c>
      <c r="J46">
        <v>2021</v>
      </c>
      <c r="K46">
        <v>2022</v>
      </c>
      <c r="L46">
        <v>2023</v>
      </c>
      <c r="M46">
        <v>2024</v>
      </c>
      <c r="N46">
        <v>2025</v>
      </c>
      <c r="O46">
        <v>2026</v>
      </c>
      <c r="P46">
        <v>2027</v>
      </c>
      <c r="Q46">
        <v>2028</v>
      </c>
      <c r="R46">
        <v>2029</v>
      </c>
      <c r="S46">
        <v>2030</v>
      </c>
      <c r="T46">
        <v>2031</v>
      </c>
      <c r="U46">
        <v>2032</v>
      </c>
      <c r="V46">
        <v>2033</v>
      </c>
      <c r="W46">
        <v>2034</v>
      </c>
      <c r="X46">
        <v>2035</v>
      </c>
      <c r="Y46">
        <v>2036</v>
      </c>
      <c r="Z46">
        <v>2037</v>
      </c>
      <c r="AA46">
        <v>2038</v>
      </c>
      <c r="AB46">
        <v>2039</v>
      </c>
      <c r="AC46">
        <v>2040</v>
      </c>
      <c r="AD46">
        <v>2041</v>
      </c>
      <c r="AE46">
        <v>2042</v>
      </c>
      <c r="AF46">
        <v>2043</v>
      </c>
      <c r="AG46">
        <v>2044</v>
      </c>
      <c r="AH46">
        <v>2045</v>
      </c>
      <c r="AI46">
        <v>2046</v>
      </c>
      <c r="AJ46">
        <v>2047</v>
      </c>
      <c r="AK46">
        <v>2048</v>
      </c>
      <c r="AL46">
        <v>2049</v>
      </c>
      <c r="AM46">
        <v>2050</v>
      </c>
    </row>
    <row r="47" spans="1:39" x14ac:dyDescent="0.25">
      <c r="A47" t="s">
        <v>2</v>
      </c>
      <c r="B47" s="5">
        <f t="shared" ref="B47:I50" si="0">(B4-B25)/B4</f>
        <v>-4.6999999999999896E-2</v>
      </c>
      <c r="C47" s="5">
        <f t="shared" si="0"/>
        <v>-4.7000000000000042E-2</v>
      </c>
      <c r="D47" s="5">
        <f t="shared" si="0"/>
        <v>-4.6999999999999958E-2</v>
      </c>
      <c r="E47" s="5">
        <f t="shared" si="0"/>
        <v>-4.6999999999999875E-2</v>
      </c>
      <c r="F47" s="5">
        <f t="shared" si="0"/>
        <v>-4.699999999999991E-2</v>
      </c>
      <c r="G47" s="5">
        <f t="shared" si="0"/>
        <v>-4.6999999999999938E-2</v>
      </c>
      <c r="H47" s="5">
        <f t="shared" si="0"/>
        <v>-4.6999999999999972E-2</v>
      </c>
      <c r="I47" s="5">
        <f t="shared" si="0"/>
        <v>-4.6999999999999882E-2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x14ac:dyDescent="0.25">
      <c r="A48" t="s">
        <v>3</v>
      </c>
      <c r="B48" s="5">
        <f t="shared" si="0"/>
        <v>-4.6999999999999972E-2</v>
      </c>
      <c r="C48" s="5">
        <f t="shared" si="0"/>
        <v>-4.6999999999999979E-2</v>
      </c>
      <c r="D48" s="5">
        <f t="shared" si="0"/>
        <v>-4.6999999999999986E-2</v>
      </c>
      <c r="E48" s="5">
        <f t="shared" si="0"/>
        <v>-4.6999999999999993E-2</v>
      </c>
      <c r="F48" s="5">
        <f t="shared" si="0"/>
        <v>-4.6999999999999882E-2</v>
      </c>
      <c r="G48" s="5">
        <f t="shared" si="0"/>
        <v>-4.6999999999999889E-2</v>
      </c>
      <c r="H48" s="5">
        <f t="shared" si="0"/>
        <v>-4.6999999999999896E-2</v>
      </c>
      <c r="I48" s="5">
        <f t="shared" si="0"/>
        <v>-4.6999999999999903E-2</v>
      </c>
      <c r="J48" s="5">
        <f t="shared" ref="J48:AM48" si="1">(J5-J26)/J5</f>
        <v>-4.6999999999999965E-2</v>
      </c>
      <c r="K48" s="5">
        <f t="shared" si="1"/>
        <v>6.3933806132905147E-4</v>
      </c>
      <c r="L48" s="5">
        <f t="shared" si="1"/>
        <v>1.296323453688652E-2</v>
      </c>
      <c r="M48" s="5">
        <f t="shared" si="1"/>
        <v>3.4284649460769649E-4</v>
      </c>
      <c r="N48" s="5">
        <f t="shared" si="1"/>
        <v>-1.395678304891931E-2</v>
      </c>
      <c r="O48" s="5">
        <f t="shared" si="1"/>
        <v>-1.8776126750274329E-2</v>
      </c>
      <c r="P48" s="5">
        <f t="shared" si="1"/>
        <v>-1.7464393446976614E-2</v>
      </c>
      <c r="Q48" s="5">
        <f t="shared" si="1"/>
        <v>-1.6474283644724995E-2</v>
      </c>
      <c r="R48" s="5">
        <f t="shared" si="1"/>
        <v>-2.0145012684151E-2</v>
      </c>
      <c r="S48" s="5">
        <f t="shared" si="1"/>
        <v>-1.9991197131736808E-2</v>
      </c>
      <c r="T48" s="5">
        <f t="shared" si="1"/>
        <v>-2.2983864338395124E-2</v>
      </c>
      <c r="U48" s="5">
        <f t="shared" si="1"/>
        <v>-2.2162540791813588E-2</v>
      </c>
      <c r="V48" s="5">
        <f t="shared" si="1"/>
        <v>-2.0788793401658963E-2</v>
      </c>
      <c r="W48" s="5">
        <f t="shared" si="1"/>
        <v>-2.0799667858039848E-2</v>
      </c>
      <c r="X48" s="5">
        <f t="shared" si="1"/>
        <v>-2.0715645373815605E-2</v>
      </c>
      <c r="Y48" s="5">
        <f t="shared" si="1"/>
        <v>-2.0011156821098851E-2</v>
      </c>
      <c r="Z48" s="5">
        <f t="shared" si="1"/>
        <v>-1.9825832484826604E-2</v>
      </c>
      <c r="AA48" s="5">
        <f t="shared" si="1"/>
        <v>-2.0014157314075298E-2</v>
      </c>
      <c r="AB48" s="5">
        <f t="shared" si="1"/>
        <v>-2.0563194621698696E-2</v>
      </c>
      <c r="AC48" s="5">
        <f t="shared" si="1"/>
        <v>-2.0437322866732478E-2</v>
      </c>
      <c r="AD48" s="5">
        <f t="shared" si="1"/>
        <v>-1.9592298030911309E-2</v>
      </c>
      <c r="AE48" s="5">
        <f t="shared" si="1"/>
        <v>-1.9921062743042211E-2</v>
      </c>
      <c r="AF48" s="5">
        <f t="shared" si="1"/>
        <v>-2.0418157291318902E-2</v>
      </c>
      <c r="AG48" s="5">
        <f t="shared" si="1"/>
        <v>-2.0846688828406568E-2</v>
      </c>
      <c r="AH48" s="5">
        <f t="shared" si="1"/>
        <v>-2.2104808577265503E-2</v>
      </c>
      <c r="AI48" s="5">
        <f t="shared" si="1"/>
        <v>-2.2385244908633365E-2</v>
      </c>
      <c r="AJ48" s="5">
        <f t="shared" si="1"/>
        <v>-2.2032379512365849E-2</v>
      </c>
      <c r="AK48" s="5">
        <f t="shared" si="1"/>
        <v>-2.0590918446938403E-2</v>
      </c>
      <c r="AL48" s="5">
        <f t="shared" si="1"/>
        <v>-1.6449098928723059E-2</v>
      </c>
      <c r="AM48" s="5">
        <f t="shared" si="1"/>
        <v>-5.8038277681245233E-3</v>
      </c>
    </row>
    <row r="49" spans="1:39" x14ac:dyDescent="0.25">
      <c r="A49" t="s">
        <v>4</v>
      </c>
      <c r="B49" s="5">
        <f t="shared" si="0"/>
        <v>-4.6999999999999917E-2</v>
      </c>
      <c r="C49" s="5">
        <f t="shared" si="0"/>
        <v>-4.699999999999991E-2</v>
      </c>
      <c r="D49" s="5">
        <f t="shared" si="0"/>
        <v>-4.6999999999999896E-2</v>
      </c>
      <c r="E49" s="5">
        <f t="shared" si="0"/>
        <v>-4.6999999999999896E-2</v>
      </c>
      <c r="F49" s="5">
        <f t="shared" si="0"/>
        <v>-4.6999999999999882E-2</v>
      </c>
      <c r="G49" s="5">
        <f t="shared" si="0"/>
        <v>-4.6999999999999875E-2</v>
      </c>
      <c r="H49" s="5">
        <f t="shared" si="0"/>
        <v>-4.6999999999999868E-2</v>
      </c>
      <c r="I49" s="5">
        <f t="shared" si="0"/>
        <v>-4.6999999999999854E-2</v>
      </c>
      <c r="J49" s="5">
        <f t="shared" ref="J49:AM49" si="2">(J6-J27)/J6</f>
        <v>-4.6999999999999861E-2</v>
      </c>
      <c r="K49" s="5">
        <f t="shared" si="2"/>
        <v>6.4090707515307801E-4</v>
      </c>
      <c r="L49" s="5">
        <f t="shared" si="2"/>
        <v>6.7366116401460664E-3</v>
      </c>
      <c r="M49" s="5">
        <f t="shared" si="2"/>
        <v>-2.6484374778481235E-3</v>
      </c>
      <c r="N49" s="5">
        <f t="shared" si="2"/>
        <v>-1.256065080884998E-2</v>
      </c>
      <c r="O49" s="5">
        <f t="shared" si="2"/>
        <v>-1.556858855729174E-2</v>
      </c>
      <c r="P49" s="5">
        <f t="shared" si="2"/>
        <v>-1.572928987248632E-2</v>
      </c>
      <c r="Q49" s="5">
        <f t="shared" si="2"/>
        <v>-1.5907837329517695E-2</v>
      </c>
      <c r="R49" s="5">
        <f t="shared" si="2"/>
        <v>-1.8086668448827788E-2</v>
      </c>
      <c r="S49" s="5">
        <f t="shared" si="2"/>
        <v>-1.7920946122434993E-2</v>
      </c>
      <c r="T49" s="5">
        <f t="shared" si="2"/>
        <v>-1.9867003549287787E-2</v>
      </c>
      <c r="U49" s="5">
        <f t="shared" si="2"/>
        <v>-1.9029195106092835E-2</v>
      </c>
      <c r="V49" s="5">
        <f t="shared" si="2"/>
        <v>-1.7640391363559604E-2</v>
      </c>
      <c r="W49" s="5">
        <f t="shared" si="2"/>
        <v>-1.7631834702319799E-2</v>
      </c>
      <c r="X49" s="5">
        <f t="shared" si="2"/>
        <v>-1.7528271062905321E-2</v>
      </c>
      <c r="Y49" s="5">
        <f t="shared" si="2"/>
        <v>-1.6806103615257785E-2</v>
      </c>
      <c r="Z49" s="5">
        <f t="shared" si="2"/>
        <v>-1.6601360722423873E-2</v>
      </c>
      <c r="AA49" s="5">
        <f t="shared" si="2"/>
        <v>-1.6768587536048988E-2</v>
      </c>
      <c r="AB49" s="5">
        <f t="shared" si="2"/>
        <v>-1.7295359984628254E-2</v>
      </c>
      <c r="AC49" s="5">
        <f t="shared" si="2"/>
        <v>-1.7148981341719018E-2</v>
      </c>
      <c r="AD49" s="5">
        <f t="shared" si="2"/>
        <v>-1.628539888105247E-2</v>
      </c>
      <c r="AE49" s="5">
        <f t="shared" si="2"/>
        <v>-1.6591754296445417E-2</v>
      </c>
      <c r="AF49" s="5">
        <f t="shared" si="2"/>
        <v>-1.7065713666556116E-2</v>
      </c>
      <c r="AG49" s="5">
        <f t="shared" si="2"/>
        <v>-1.7470745247798927E-2</v>
      </c>
      <c r="AH49" s="5">
        <f t="shared" si="2"/>
        <v>-1.8702508295910233E-2</v>
      </c>
      <c r="AI49" s="5">
        <f t="shared" si="2"/>
        <v>-1.8959427259795967E-2</v>
      </c>
      <c r="AJ49" s="5">
        <f t="shared" si="2"/>
        <v>-1.8585012995978704E-2</v>
      </c>
      <c r="AK49" s="5">
        <f t="shared" si="2"/>
        <v>-1.7631261100544377E-2</v>
      </c>
      <c r="AL49" s="5">
        <f t="shared" si="2"/>
        <v>-1.5581571034954701E-2</v>
      </c>
      <c r="AM49" s="5">
        <f t="shared" si="2"/>
        <v>-5.153329997860976E-3</v>
      </c>
    </row>
    <row r="50" spans="1:39" x14ac:dyDescent="0.25">
      <c r="A50" t="s">
        <v>5</v>
      </c>
      <c r="B50" s="5">
        <f t="shared" si="0"/>
        <v>-4.6999999999999952E-2</v>
      </c>
      <c r="C50" s="5">
        <f t="shared" si="0"/>
        <v>-4.6999999999999965E-2</v>
      </c>
      <c r="D50" s="5">
        <f t="shared" si="0"/>
        <v>-4.6999999999999986E-2</v>
      </c>
      <c r="E50" s="5">
        <f t="shared" si="0"/>
        <v>-4.7E-2</v>
      </c>
      <c r="F50" s="5">
        <f t="shared" si="0"/>
        <v>-4.6999999999999847E-2</v>
      </c>
      <c r="G50" s="5">
        <f t="shared" si="0"/>
        <v>-4.6999999999999868E-2</v>
      </c>
      <c r="H50" s="5">
        <f t="shared" si="0"/>
        <v>-4.6999999999999882E-2</v>
      </c>
      <c r="I50" s="5">
        <f t="shared" si="0"/>
        <v>-4.6999999999999896E-2</v>
      </c>
      <c r="J50" s="5">
        <f t="shared" ref="J50:AM50" si="3">(J7-J28)/J7</f>
        <v>-4.6999999999999986E-2</v>
      </c>
      <c r="K50" s="5">
        <f t="shared" si="3"/>
        <v>6.4172112216280769E-4</v>
      </c>
      <c r="L50" s="5">
        <f t="shared" si="3"/>
        <v>4.4176557400421616E-3</v>
      </c>
      <c r="M50" s="5">
        <f t="shared" si="3"/>
        <v>-3.6854883791318177E-3</v>
      </c>
      <c r="N50" s="5">
        <f t="shared" si="3"/>
        <v>-1.2248945609982163E-2</v>
      </c>
      <c r="O50" s="5">
        <f t="shared" si="3"/>
        <v>-1.459426252210224E-2</v>
      </c>
      <c r="P50" s="5">
        <f t="shared" si="3"/>
        <v>-1.5308004556920454E-2</v>
      </c>
      <c r="Q50" s="5">
        <f t="shared" si="3"/>
        <v>-1.59139020736805E-2</v>
      </c>
      <c r="R50" s="5">
        <f t="shared" si="3"/>
        <v>-1.7562235516175688E-2</v>
      </c>
      <c r="S50" s="5">
        <f t="shared" si="3"/>
        <v>-1.7397577910649178E-2</v>
      </c>
      <c r="T50" s="5">
        <f t="shared" si="3"/>
        <v>-1.8983321850629842E-2</v>
      </c>
      <c r="U50" s="5">
        <f t="shared" si="3"/>
        <v>-1.8148071537737707E-2</v>
      </c>
      <c r="V50" s="5">
        <f t="shared" si="3"/>
        <v>-1.6762378969615764E-2</v>
      </c>
      <c r="W50" s="5">
        <f t="shared" si="3"/>
        <v>-1.6756040941797581E-2</v>
      </c>
      <c r="X50" s="5">
        <f t="shared" si="3"/>
        <v>-1.6655222240957168E-2</v>
      </c>
      <c r="Y50" s="5">
        <f t="shared" si="3"/>
        <v>-1.5935947602514249E-2</v>
      </c>
      <c r="Z50" s="5">
        <f t="shared" si="3"/>
        <v>-1.5733806715289712E-2</v>
      </c>
      <c r="AA50" s="5">
        <f t="shared" si="3"/>
        <v>-1.5903515004348823E-2</v>
      </c>
      <c r="AB50" s="5">
        <f t="shared" si="3"/>
        <v>-1.6432520093612749E-2</v>
      </c>
      <c r="AC50" s="5">
        <f t="shared" si="3"/>
        <v>-1.6289145804739998E-2</v>
      </c>
      <c r="AD50" s="5">
        <f t="shared" si="3"/>
        <v>-1.5429637486775402E-2</v>
      </c>
      <c r="AE50" s="5">
        <f t="shared" si="3"/>
        <v>-1.5738873004571417E-2</v>
      </c>
      <c r="AF50" s="5">
        <f t="shared" si="3"/>
        <v>-1.6215833473029906E-2</v>
      </c>
      <c r="AG50" s="5">
        <f t="shared" si="3"/>
        <v>-1.6624107237319101E-2</v>
      </c>
      <c r="AH50" s="5">
        <f t="shared" si="3"/>
        <v>-1.7858321004914364E-2</v>
      </c>
      <c r="AI50" s="5">
        <f t="shared" si="3"/>
        <v>-1.8118983195809145E-2</v>
      </c>
      <c r="AJ50" s="5">
        <f t="shared" si="3"/>
        <v>-1.7748934751041459E-2</v>
      </c>
      <c r="AK50" s="5">
        <f t="shared" si="3"/>
        <v>-1.6949541681691691E-2</v>
      </c>
      <c r="AL50" s="5">
        <f t="shared" si="3"/>
        <v>-1.551960167943876E-2</v>
      </c>
      <c r="AM50" s="5">
        <f t="shared" si="3"/>
        <v>-5.1534587361006566E-3</v>
      </c>
    </row>
    <row r="51" spans="1:39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x14ac:dyDescent="0.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x14ac:dyDescent="0.25">
      <c r="A53" t="s">
        <v>8</v>
      </c>
      <c r="B53" s="5">
        <f t="shared" ref="B53:AM53" si="4">(B10-B31)/B10</f>
        <v>-4.6999999999999938E-2</v>
      </c>
      <c r="C53" s="5">
        <f t="shared" si="4"/>
        <v>-4.6999999999999965E-2</v>
      </c>
      <c r="D53" s="5">
        <f t="shared" si="4"/>
        <v>-4.6999999999999875E-2</v>
      </c>
      <c r="E53" s="5">
        <f t="shared" si="4"/>
        <v>-4.6999999999999903E-2</v>
      </c>
      <c r="F53" s="5">
        <f t="shared" si="4"/>
        <v>-4.6999999999999938E-2</v>
      </c>
      <c r="G53" s="5">
        <f t="shared" si="4"/>
        <v>-4.6999999999999965E-2</v>
      </c>
      <c r="H53" s="5">
        <f t="shared" si="4"/>
        <v>-4.6999999999999875E-2</v>
      </c>
      <c r="I53" s="5">
        <f t="shared" si="4"/>
        <v>-4.699999999999991E-2</v>
      </c>
      <c r="J53" s="5">
        <f t="shared" si="4"/>
        <v>-4.6999999999999965E-2</v>
      </c>
      <c r="K53" s="5">
        <f t="shared" si="4"/>
        <v>6.4246431053099342E-4</v>
      </c>
      <c r="L53" s="5">
        <f t="shared" si="4"/>
        <v>8.6822903394000411E-4</v>
      </c>
      <c r="M53" s="5">
        <f t="shared" si="4"/>
        <v>-5.2721385730870422E-3</v>
      </c>
      <c r="N53" s="5">
        <f t="shared" si="4"/>
        <v>-1.1770211773326352E-2</v>
      </c>
      <c r="O53" s="5">
        <f t="shared" si="4"/>
        <v>-1.3088909614035886E-2</v>
      </c>
      <c r="P53" s="5">
        <f t="shared" si="4"/>
        <v>-1.465369038047089E-2</v>
      </c>
      <c r="Q53" s="5">
        <f t="shared" si="4"/>
        <v>-1.5923340896338439E-2</v>
      </c>
      <c r="R53" s="5">
        <f t="shared" si="4"/>
        <v>-1.673436918298267E-2</v>
      </c>
      <c r="S53" s="5">
        <f t="shared" si="4"/>
        <v>-1.6563154709780828E-2</v>
      </c>
      <c r="T53" s="5">
        <f t="shared" si="4"/>
        <v>-1.7561119199812663E-2</v>
      </c>
      <c r="U53" s="5">
        <f t="shared" si="4"/>
        <v>-1.6715451799810814E-2</v>
      </c>
      <c r="V53" s="5">
        <f t="shared" si="4"/>
        <v>-1.5319931011622972E-2</v>
      </c>
      <c r="W53" s="5">
        <f t="shared" si="4"/>
        <v>-1.5301630754653151E-2</v>
      </c>
      <c r="X53" s="5">
        <f t="shared" si="4"/>
        <v>-1.5188434495998696E-2</v>
      </c>
      <c r="Y53" s="5">
        <f t="shared" si="4"/>
        <v>-1.445775398612204E-2</v>
      </c>
      <c r="Z53" s="5">
        <f t="shared" si="4"/>
        <v>-1.4243200842892855E-2</v>
      </c>
      <c r="AA53" s="5">
        <f t="shared" si="4"/>
        <v>-1.4399870443869095E-2</v>
      </c>
      <c r="AB53" s="5">
        <f t="shared" si="4"/>
        <v>-1.4915056277678793E-2</v>
      </c>
      <c r="AC53" s="5">
        <f t="shared" si="4"/>
        <v>-1.4758629575278912E-2</v>
      </c>
      <c r="AD53" s="5">
        <f t="shared" si="4"/>
        <v>-1.3886861464831635E-2</v>
      </c>
      <c r="AE53" s="5">
        <f t="shared" si="4"/>
        <v>-1.4181668749497951E-2</v>
      </c>
      <c r="AF53" s="5">
        <f t="shared" si="4"/>
        <v>-1.464378609155308E-2</v>
      </c>
      <c r="AG53" s="5">
        <f t="shared" si="4"/>
        <v>-1.50371229610994E-2</v>
      </c>
      <c r="AH53" s="5">
        <f t="shared" si="4"/>
        <v>-1.6254936783221839E-2</v>
      </c>
      <c r="AI53" s="5">
        <f t="shared" si="4"/>
        <v>-1.6500240629145822E-2</v>
      </c>
      <c r="AJ53" s="5">
        <f t="shared" si="4"/>
        <v>-1.6115685787745738E-2</v>
      </c>
      <c r="AK53" s="5">
        <f t="shared" si="4"/>
        <v>-1.5598027455287194E-2</v>
      </c>
      <c r="AL53" s="5">
        <f t="shared" si="4"/>
        <v>-1.5394568135896371E-2</v>
      </c>
      <c r="AM53" s="5">
        <f t="shared" si="4"/>
        <v>-5.1533475832326123E-3</v>
      </c>
    </row>
    <row r="54" spans="1:39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x14ac:dyDescent="0.25">
      <c r="A55" t="s">
        <v>10</v>
      </c>
      <c r="B55" s="5">
        <f t="shared" ref="B55:AM55" si="5">(B12-B33)/B12</f>
        <v>-4.6999999999999938E-2</v>
      </c>
      <c r="C55" s="5">
        <f t="shared" si="5"/>
        <v>-4.6999999999999917E-2</v>
      </c>
      <c r="D55" s="5">
        <f t="shared" si="5"/>
        <v>-4.6999999999999896E-2</v>
      </c>
      <c r="E55" s="5">
        <f t="shared" si="5"/>
        <v>-4.6999999999999882E-2</v>
      </c>
      <c r="F55" s="5">
        <f t="shared" si="5"/>
        <v>-4.6999999999999868E-2</v>
      </c>
      <c r="G55" s="5">
        <f t="shared" si="5"/>
        <v>-4.6999999999999993E-2</v>
      </c>
      <c r="H55" s="5">
        <f t="shared" si="5"/>
        <v>-4.6999999999999979E-2</v>
      </c>
      <c r="I55" s="5">
        <f t="shared" si="5"/>
        <v>-4.6999999999999958E-2</v>
      </c>
      <c r="J55" s="5">
        <f t="shared" si="5"/>
        <v>-4.6999999999999938E-2</v>
      </c>
      <c r="K55" s="5">
        <f t="shared" si="5"/>
        <v>6.4249426003963736E-4</v>
      </c>
      <c r="L55" s="5">
        <f t="shared" si="5"/>
        <v>8.6817501908192853E-4</v>
      </c>
      <c r="M55" s="5">
        <f t="shared" si="5"/>
        <v>-5.2721547979359268E-3</v>
      </c>
      <c r="N55" s="5">
        <f t="shared" si="5"/>
        <v>-1.1770388699282135E-2</v>
      </c>
      <c r="O55" s="5">
        <f t="shared" si="5"/>
        <v>-1.3088932759768001E-2</v>
      </c>
      <c r="P55" s="5">
        <f t="shared" si="5"/>
        <v>-1.4653737938439141E-2</v>
      </c>
      <c r="Q55" s="5">
        <f t="shared" si="5"/>
        <v>-1.5923299907770718E-2</v>
      </c>
      <c r="R55" s="5">
        <f t="shared" si="5"/>
        <v>-1.6734354675785337E-2</v>
      </c>
      <c r="S55" s="5">
        <f t="shared" si="5"/>
        <v>-1.656319328800944E-2</v>
      </c>
      <c r="T55" s="5">
        <f t="shared" si="5"/>
        <v>-1.7561146577592109E-2</v>
      </c>
      <c r="U55" s="5">
        <f t="shared" si="5"/>
        <v>-1.6715449005549353E-2</v>
      </c>
      <c r="V55" s="5">
        <f t="shared" si="5"/>
        <v>-1.531994317775418E-2</v>
      </c>
      <c r="W55" s="5">
        <f t="shared" si="5"/>
        <v>-1.5301636250518072E-2</v>
      </c>
      <c r="X55" s="5">
        <f t="shared" si="5"/>
        <v>-1.5188297685375166E-2</v>
      </c>
      <c r="Y55" s="5">
        <f t="shared" si="5"/>
        <v>-1.4457752791902676E-2</v>
      </c>
      <c r="Z55" s="5">
        <f t="shared" si="5"/>
        <v>-1.4243378383068807E-2</v>
      </c>
      <c r="AA55" s="5">
        <f t="shared" si="5"/>
        <v>-1.439995799182083E-2</v>
      </c>
      <c r="AB55" s="5">
        <f t="shared" si="5"/>
        <v>-1.4915031079284137E-2</v>
      </c>
      <c r="AC55" s="5">
        <f t="shared" si="5"/>
        <v>-1.4758701191515788E-2</v>
      </c>
      <c r="AD55" s="5">
        <f t="shared" si="5"/>
        <v>-1.388680119472771E-2</v>
      </c>
      <c r="AE55" s="5">
        <f t="shared" si="5"/>
        <v>-1.4181748862281308E-2</v>
      </c>
      <c r="AF55" s="5">
        <f t="shared" si="5"/>
        <v>-1.4643685554712984E-2</v>
      </c>
      <c r="AG55" s="5">
        <f t="shared" si="5"/>
        <v>-1.5037013872184812E-2</v>
      </c>
      <c r="AH55" s="5">
        <f t="shared" si="5"/>
        <v>-1.625503763042762E-2</v>
      </c>
      <c r="AI55" s="5">
        <f t="shared" si="5"/>
        <v>-1.650026183859702E-2</v>
      </c>
      <c r="AJ55" s="5">
        <f t="shared" si="5"/>
        <v>-1.6115517346345733E-2</v>
      </c>
      <c r="AK55" s="5">
        <f t="shared" si="5"/>
        <v>-1.559826638689777E-2</v>
      </c>
      <c r="AL55" s="5">
        <f t="shared" si="5"/>
        <v>-1.5394645115552065E-2</v>
      </c>
      <c r="AM55" s="5">
        <f t="shared" si="5"/>
        <v>-5.1533976454989795E-3</v>
      </c>
    </row>
    <row r="56" spans="1:39" x14ac:dyDescent="0.25">
      <c r="A56" t="s">
        <v>11</v>
      </c>
      <c r="B56" s="5">
        <f t="shared" ref="B56:AM56" si="6">(B13-B34)/B13</f>
        <v>-4.6999999999999889E-2</v>
      </c>
      <c r="C56" s="5">
        <f t="shared" si="6"/>
        <v>-4.6999999999999882E-2</v>
      </c>
      <c r="D56" s="5">
        <f t="shared" si="6"/>
        <v>-4.6999999999999882E-2</v>
      </c>
      <c r="E56" s="5">
        <f t="shared" si="6"/>
        <v>-4.6999999999999875E-2</v>
      </c>
      <c r="F56" s="5">
        <f t="shared" si="6"/>
        <v>-4.6999999999999868E-2</v>
      </c>
      <c r="G56" s="5">
        <f t="shared" si="6"/>
        <v>-4.6999999999999861E-2</v>
      </c>
      <c r="H56" s="5">
        <f t="shared" si="6"/>
        <v>-4.6999999999999861E-2</v>
      </c>
      <c r="I56" s="5">
        <f t="shared" si="6"/>
        <v>-4.6999999999999854E-2</v>
      </c>
      <c r="J56" s="5">
        <f t="shared" si="6"/>
        <v>-4.6999999999999993E-2</v>
      </c>
      <c r="K56" s="5">
        <f t="shared" si="6"/>
        <v>6.3929593092916113E-4</v>
      </c>
      <c r="L56" s="5">
        <f t="shared" si="6"/>
        <v>1.2963212635669793E-2</v>
      </c>
      <c r="M56" s="5">
        <f t="shared" si="6"/>
        <v>3.4276998856598275E-4</v>
      </c>
      <c r="N56" s="5">
        <f t="shared" si="6"/>
        <v>-1.3956852385482041E-2</v>
      </c>
      <c r="O56" s="5">
        <f t="shared" si="6"/>
        <v>-1.8776229843080628E-2</v>
      </c>
      <c r="P56" s="5">
        <f t="shared" si="6"/>
        <v>-1.7464421133291382E-2</v>
      </c>
      <c r="Q56" s="5">
        <f t="shared" si="6"/>
        <v>-1.6474247323180272E-2</v>
      </c>
      <c r="R56" s="5">
        <f t="shared" si="6"/>
        <v>-2.0145080221442457E-2</v>
      </c>
      <c r="S56" s="5">
        <f t="shared" si="6"/>
        <v>-1.999127950790678E-2</v>
      </c>
      <c r="T56" s="5">
        <f t="shared" si="6"/>
        <v>-2.2983826327451884E-2</v>
      </c>
      <c r="U56" s="5">
        <f t="shared" si="6"/>
        <v>-2.2162570527844372E-2</v>
      </c>
      <c r="V56" s="5">
        <f t="shared" si="6"/>
        <v>-2.0788817035565187E-2</v>
      </c>
      <c r="W56" s="5">
        <f t="shared" si="6"/>
        <v>-2.0799645662369134E-2</v>
      </c>
      <c r="X56" s="5">
        <f t="shared" si="6"/>
        <v>-2.0715679164669501E-2</v>
      </c>
      <c r="Y56" s="5">
        <f t="shared" si="6"/>
        <v>-2.0011083978232716E-2</v>
      </c>
      <c r="Z56" s="5">
        <f t="shared" si="6"/>
        <v>-1.9825925349273067E-2</v>
      </c>
      <c r="AA56" s="5">
        <f t="shared" si="6"/>
        <v>-2.0014216569395348E-2</v>
      </c>
      <c r="AB56" s="5">
        <f t="shared" si="6"/>
        <v>-2.0563233465798057E-2</v>
      </c>
      <c r="AC56" s="5">
        <f t="shared" si="6"/>
        <v>-2.0437323666700223E-2</v>
      </c>
      <c r="AD56" s="5">
        <f t="shared" si="6"/>
        <v>-1.9592318360321648E-2</v>
      </c>
      <c r="AE56" s="5">
        <f t="shared" si="6"/>
        <v>-1.9921042032688824E-2</v>
      </c>
      <c r="AF56" s="5">
        <f t="shared" si="6"/>
        <v>-2.0418173533432931E-2</v>
      </c>
      <c r="AG56" s="5">
        <f t="shared" si="6"/>
        <v>-2.0846664001711708E-2</v>
      </c>
      <c r="AH56" s="5">
        <f t="shared" si="6"/>
        <v>-2.2104820988660647E-2</v>
      </c>
      <c r="AI56" s="5">
        <f t="shared" si="6"/>
        <v>-2.2385207233044609E-2</v>
      </c>
      <c r="AJ56" s="5">
        <f t="shared" si="6"/>
        <v>-2.2032380684882766E-2</v>
      </c>
      <c r="AK56" s="5">
        <f t="shared" si="6"/>
        <v>-2.0590919700809791E-2</v>
      </c>
      <c r="AL56" s="5">
        <f t="shared" si="6"/>
        <v>-1.6449131335197157E-2</v>
      </c>
      <c r="AM56" s="5">
        <f t="shared" si="6"/>
        <v>-5.8038072126077849E-3</v>
      </c>
    </row>
    <row r="57" spans="1:39" x14ac:dyDescent="0.25">
      <c r="A57" t="s">
        <v>12</v>
      </c>
      <c r="B57" s="5">
        <f t="shared" ref="B57:AM57" si="7">(B14-B35)/B14</f>
        <v>-4.6999999999999945E-2</v>
      </c>
      <c r="C57" s="5">
        <f t="shared" si="7"/>
        <v>-4.6999999999999889E-2</v>
      </c>
      <c r="D57" s="5">
        <f t="shared" si="7"/>
        <v>-4.6999999999999972E-2</v>
      </c>
      <c r="E57" s="5">
        <f t="shared" si="7"/>
        <v>-4.6999999999999917E-2</v>
      </c>
      <c r="F57" s="5">
        <f t="shared" si="7"/>
        <v>-4.6999999999999861E-2</v>
      </c>
      <c r="G57" s="5">
        <f t="shared" si="7"/>
        <v>-4.6999999999999952E-2</v>
      </c>
      <c r="H57" s="5">
        <f t="shared" si="7"/>
        <v>-4.6999999999999896E-2</v>
      </c>
      <c r="I57" s="5">
        <f t="shared" si="7"/>
        <v>-4.6999999999999986E-2</v>
      </c>
      <c r="J57" s="5">
        <f t="shared" si="7"/>
        <v>-4.6999999999999924E-2</v>
      </c>
      <c r="K57" s="5">
        <f t="shared" si="7"/>
        <v>6.4246190239153486E-4</v>
      </c>
      <c r="L57" s="5">
        <f t="shared" si="7"/>
        <v>2.3534660156209683E-3</v>
      </c>
      <c r="M57" s="5">
        <f t="shared" si="7"/>
        <v>-5.9430885855254641E-3</v>
      </c>
      <c r="N57" s="5">
        <f t="shared" si="7"/>
        <v>-1.2447862400552031E-2</v>
      </c>
      <c r="O57" s="5">
        <f t="shared" si="7"/>
        <v>-1.3769863269129748E-2</v>
      </c>
      <c r="P57" s="5">
        <f t="shared" si="7"/>
        <v>-1.5338062479929852E-2</v>
      </c>
      <c r="Q57" s="5">
        <f t="shared" si="7"/>
        <v>-1.6611048932765264E-2</v>
      </c>
      <c r="R57" s="5">
        <f t="shared" si="7"/>
        <v>-1.7425275715761118E-2</v>
      </c>
      <c r="S57" s="5">
        <f t="shared" si="7"/>
        <v>-1.7256467780284196E-2</v>
      </c>
      <c r="T57" s="5">
        <f t="shared" si="7"/>
        <v>-1.8257570934674207E-2</v>
      </c>
      <c r="U57" s="5">
        <f t="shared" si="7"/>
        <v>-1.7414122120997053E-2</v>
      </c>
      <c r="V57" s="5">
        <f t="shared" si="7"/>
        <v>-1.6020319209875133E-2</v>
      </c>
      <c r="W57" s="5">
        <f t="shared" si="7"/>
        <v>-1.6004565861025406E-2</v>
      </c>
      <c r="X57" s="5">
        <f t="shared" si="7"/>
        <v>-1.5893952641145619E-2</v>
      </c>
      <c r="Y57" s="5">
        <f t="shared" si="7"/>
        <v>-1.5165639597033577E-2</v>
      </c>
      <c r="Z57" s="5">
        <f t="shared" si="7"/>
        <v>-1.495383908510829E-2</v>
      </c>
      <c r="AA57" s="5">
        <f t="shared" si="7"/>
        <v>-1.5113334167847582E-2</v>
      </c>
      <c r="AB57" s="5">
        <f t="shared" si="7"/>
        <v>-1.5631867324372162E-2</v>
      </c>
      <c r="AC57" s="5">
        <f t="shared" si="7"/>
        <v>-1.5478197738287101E-2</v>
      </c>
      <c r="AD57" s="5">
        <f t="shared" si="7"/>
        <v>-1.4608623939210615E-2</v>
      </c>
      <c r="AE57" s="5">
        <f t="shared" si="7"/>
        <v>-1.4906976995421482E-2</v>
      </c>
      <c r="AF57" s="5">
        <f t="shared" si="7"/>
        <v>-1.537219435329908E-2</v>
      </c>
      <c r="AG57" s="5">
        <f t="shared" si="7"/>
        <v>-1.5769083024369399E-2</v>
      </c>
      <c r="AH57" s="5">
        <f t="shared" si="7"/>
        <v>-1.6990969477081896E-2</v>
      </c>
      <c r="AI57" s="5">
        <f t="shared" si="7"/>
        <v>-1.7239562890683745E-2</v>
      </c>
      <c r="AJ57" s="5">
        <f t="shared" si="7"/>
        <v>-1.6857897441675908E-2</v>
      </c>
      <c r="AK57" s="5">
        <f t="shared" si="7"/>
        <v>-1.6343397415326786E-2</v>
      </c>
      <c r="AL57" s="5">
        <f t="shared" si="7"/>
        <v>-1.6143214763109308E-2</v>
      </c>
      <c r="AM57" s="5">
        <f t="shared" si="7"/>
        <v>-5.8976151402170881E-3</v>
      </c>
    </row>
    <row r="58" spans="1:39" x14ac:dyDescent="0.25">
      <c r="A58" t="s">
        <v>13</v>
      </c>
      <c r="B58" s="5">
        <f t="shared" ref="B58:I59" si="8">(B16-B37)/B16</f>
        <v>-4.6999999999999875E-2</v>
      </c>
      <c r="C58" s="5">
        <f t="shared" si="8"/>
        <v>-4.6999999999999917E-2</v>
      </c>
      <c r="D58" s="5">
        <f t="shared" si="8"/>
        <v>-4.6999999999999958E-2</v>
      </c>
      <c r="E58" s="5">
        <f t="shared" si="8"/>
        <v>-4.7E-2</v>
      </c>
      <c r="F58" s="5">
        <f t="shared" si="8"/>
        <v>-4.6999999999999882E-2</v>
      </c>
      <c r="G58" s="5">
        <f t="shared" si="8"/>
        <v>-4.6999999999999931E-2</v>
      </c>
      <c r="H58" s="5">
        <f t="shared" si="8"/>
        <v>-4.6999999999999972E-2</v>
      </c>
      <c r="I58" s="5">
        <f t="shared" si="8"/>
        <v>-4.6999999999999847E-2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x14ac:dyDescent="0.25">
      <c r="A59" t="s">
        <v>14</v>
      </c>
      <c r="B59" s="5">
        <f t="shared" si="8"/>
        <v>-4.699999999999991E-2</v>
      </c>
      <c r="C59" s="5">
        <f t="shared" si="8"/>
        <v>-4.7000000000000007E-2</v>
      </c>
      <c r="D59" s="5">
        <f t="shared" si="8"/>
        <v>-4.6999999999999889E-2</v>
      </c>
      <c r="E59" s="5">
        <f t="shared" si="8"/>
        <v>-4.6999999999999986E-2</v>
      </c>
      <c r="F59" s="5">
        <f t="shared" si="8"/>
        <v>-4.6999999999999854E-2</v>
      </c>
      <c r="G59" s="5">
        <f t="shared" si="8"/>
        <v>-4.6999999999999945E-2</v>
      </c>
      <c r="H59" s="5">
        <f t="shared" si="8"/>
        <v>-4.7000000000000035E-2</v>
      </c>
      <c r="I59" s="5">
        <f t="shared" si="8"/>
        <v>-4.699999999999991E-2</v>
      </c>
      <c r="J59" s="5">
        <f t="shared" ref="J59:AM59" si="9">(J17-J38)/J17</f>
        <v>-4.6999999999999861E-2</v>
      </c>
      <c r="K59" s="5">
        <f t="shared" si="9"/>
        <v>6.0584338734746823E-4</v>
      </c>
      <c r="L59" s="5">
        <f t="shared" si="9"/>
        <v>7.8070595742208012E-4</v>
      </c>
      <c r="M59" s="5">
        <f t="shared" si="9"/>
        <v>-5.0972138681039557E-3</v>
      </c>
      <c r="N59" s="5">
        <f t="shared" si="9"/>
        <v>-1.1738314205684837E-2</v>
      </c>
      <c r="O59" s="5">
        <f t="shared" si="9"/>
        <v>-1.3056895948944497E-2</v>
      </c>
      <c r="P59" s="5">
        <f t="shared" si="9"/>
        <v>-1.4621561709337446E-2</v>
      </c>
      <c r="Q59" s="5">
        <f t="shared" si="9"/>
        <v>-1.5891233913601928E-2</v>
      </c>
      <c r="R59" s="5">
        <f t="shared" si="9"/>
        <v>-1.6702269172192752E-2</v>
      </c>
      <c r="S59" s="5">
        <f t="shared" si="9"/>
        <v>-1.6531163228604991E-2</v>
      </c>
      <c r="T59" s="5">
        <f t="shared" si="9"/>
        <v>-1.7528972928486604E-2</v>
      </c>
      <c r="U59" s="5">
        <f t="shared" si="9"/>
        <v>-1.6683432372698766E-2</v>
      </c>
      <c r="V59" s="5">
        <f t="shared" si="9"/>
        <v>-1.5288131717842657E-2</v>
      </c>
      <c r="W59" s="5">
        <f t="shared" si="9"/>
        <v>-1.5269755406777292E-2</v>
      </c>
      <c r="X59" s="5">
        <f t="shared" si="9"/>
        <v>-1.5156446768754318E-2</v>
      </c>
      <c r="Y59" s="5">
        <f t="shared" si="9"/>
        <v>-1.4426039095596557E-2</v>
      </c>
      <c r="Z59" s="5">
        <f t="shared" si="9"/>
        <v>-1.4211520684216172E-2</v>
      </c>
      <c r="AA59" s="5">
        <f t="shared" si="9"/>
        <v>-1.4368183221516999E-2</v>
      </c>
      <c r="AB59" s="5">
        <f t="shared" si="9"/>
        <v>-1.488340653264022E-2</v>
      </c>
      <c r="AC59" s="5">
        <f t="shared" si="9"/>
        <v>-1.472699847684824E-2</v>
      </c>
      <c r="AD59" s="5">
        <f t="shared" si="9"/>
        <v>-1.3855213543982395E-2</v>
      </c>
      <c r="AE59" s="5">
        <f t="shared" si="9"/>
        <v>-1.4150182173144071E-2</v>
      </c>
      <c r="AF59" s="5">
        <f t="shared" si="9"/>
        <v>-1.4612212306235699E-2</v>
      </c>
      <c r="AG59" s="5">
        <f t="shared" si="9"/>
        <v>-1.5005525923993349E-2</v>
      </c>
      <c r="AH59" s="5">
        <f t="shared" si="9"/>
        <v>-1.6223333863518138E-2</v>
      </c>
      <c r="AI59" s="5">
        <f t="shared" si="9"/>
        <v>-1.6468662009960919E-2</v>
      </c>
      <c r="AJ59" s="5">
        <f t="shared" si="9"/>
        <v>-1.6084182107215347E-2</v>
      </c>
      <c r="AK59" s="5">
        <f t="shared" si="9"/>
        <v>-1.5566779013011468E-2</v>
      </c>
      <c r="AL59" s="5">
        <f t="shared" si="9"/>
        <v>-1.5363339889854092E-2</v>
      </c>
      <c r="AM59" s="5">
        <f t="shared" si="9"/>
        <v>-5.1223301170825498E-3</v>
      </c>
    </row>
    <row r="60" spans="1:39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x14ac:dyDescent="0.25">
      <c r="A61" t="s">
        <v>16</v>
      </c>
      <c r="B61" s="5">
        <f t="shared" ref="B61:AM61" si="10">(B19-B40)/B19</f>
        <v>-4.699999999999991E-2</v>
      </c>
      <c r="C61" s="5">
        <f t="shared" si="10"/>
        <v>-4.6999999999999827E-2</v>
      </c>
      <c r="D61" s="5">
        <f t="shared" si="10"/>
        <v>-4.6999999999999965E-2</v>
      </c>
      <c r="E61" s="5">
        <f t="shared" si="10"/>
        <v>-4.6999999999999882E-2</v>
      </c>
      <c r="F61" s="5">
        <f t="shared" si="10"/>
        <v>-4.7000000000000021E-2</v>
      </c>
      <c r="G61" s="5">
        <f t="shared" si="10"/>
        <v>-4.6999999999999938E-2</v>
      </c>
      <c r="H61" s="5">
        <f t="shared" si="10"/>
        <v>-4.6999999999999972E-2</v>
      </c>
      <c r="I61" s="5">
        <f t="shared" si="10"/>
        <v>-4.6999999999999882E-2</v>
      </c>
      <c r="J61" s="5">
        <f t="shared" si="10"/>
        <v>-4.7000000000000014E-2</v>
      </c>
      <c r="K61" s="5">
        <f t="shared" si="10"/>
        <v>-3.0376523787676375E-3</v>
      </c>
      <c r="L61" s="5">
        <f t="shared" si="10"/>
        <v>-2.8510462964087928E-3</v>
      </c>
      <c r="M61" s="5">
        <f t="shared" si="10"/>
        <v>-8.5334790379325894E-3</v>
      </c>
      <c r="N61" s="5">
        <f t="shared" si="10"/>
        <v>-1.4540047004083699E-2</v>
      </c>
      <c r="O61" s="5">
        <f t="shared" si="10"/>
        <v>-1.5771008705600383E-2</v>
      </c>
      <c r="P61" s="5">
        <f t="shared" si="10"/>
        <v>-1.7227418694826305E-2</v>
      </c>
      <c r="Q61" s="5">
        <f t="shared" si="10"/>
        <v>-1.8411010764630736E-2</v>
      </c>
      <c r="R61" s="5">
        <f t="shared" si="10"/>
        <v>-1.9171869337415343E-2</v>
      </c>
      <c r="S61" s="5">
        <f t="shared" si="10"/>
        <v>-1.9029461826063118E-2</v>
      </c>
      <c r="T61" s="5">
        <f t="shared" si="10"/>
        <v>-1.9961266139507033E-2</v>
      </c>
      <c r="U61" s="5">
        <f t="shared" si="10"/>
        <v>-1.919986079735863E-2</v>
      </c>
      <c r="V61" s="5">
        <f t="shared" si="10"/>
        <v>-1.7935041232624665E-2</v>
      </c>
      <c r="W61" s="5">
        <f t="shared" si="10"/>
        <v>-1.7934687023716707E-2</v>
      </c>
      <c r="X61" s="5">
        <f t="shared" si="10"/>
        <v>-1.784759383992221E-2</v>
      </c>
      <c r="Y61" s="5">
        <f t="shared" si="10"/>
        <v>-1.7195293114722721E-2</v>
      </c>
      <c r="Z61" s="5">
        <f t="shared" si="10"/>
        <v>-1.7016425814323163E-2</v>
      </c>
      <c r="AA61" s="5">
        <f t="shared" si="10"/>
        <v>-1.7177612303971683E-2</v>
      </c>
      <c r="AB61" s="5">
        <f t="shared" si="10"/>
        <v>-1.7666627180160106E-2</v>
      </c>
      <c r="AC61" s="5">
        <f t="shared" si="10"/>
        <v>-1.7541660178331867E-2</v>
      </c>
      <c r="AD61" s="5">
        <f t="shared" si="10"/>
        <v>-1.6763920444632503E-2</v>
      </c>
      <c r="AE61" s="5">
        <f t="shared" si="10"/>
        <v>-1.7051968675511706E-2</v>
      </c>
      <c r="AF61" s="5">
        <f t="shared" si="10"/>
        <v>-1.7492506955678139E-2</v>
      </c>
      <c r="AG61" s="5">
        <f t="shared" si="10"/>
        <v>-1.7870070852831113E-2</v>
      </c>
      <c r="AH61" s="5">
        <f t="shared" si="10"/>
        <v>-1.89983290165445E-2</v>
      </c>
      <c r="AI61" s="5">
        <f t="shared" si="10"/>
        <v>-1.9240230016741907E-2</v>
      </c>
      <c r="AJ61" s="5">
        <f t="shared" si="10"/>
        <v>-1.8909196824460444E-2</v>
      </c>
      <c r="AK61" s="5">
        <f t="shared" si="10"/>
        <v>-1.8457920347925042E-2</v>
      </c>
      <c r="AL61" s="5">
        <f t="shared" si="10"/>
        <v>-1.8292948558930152E-2</v>
      </c>
      <c r="AM61" s="5">
        <f t="shared" si="10"/>
        <v>-9.0176944569338689E-3</v>
      </c>
    </row>
    <row r="62" spans="1:39" x14ac:dyDescent="0.25">
      <c r="A62" t="s">
        <v>17</v>
      </c>
      <c r="B62" s="5">
        <f t="shared" ref="B62:AM62" si="11">(B20-B41)/B20</f>
        <v>-4.6999999999999979E-2</v>
      </c>
      <c r="C62" s="5">
        <f t="shared" si="11"/>
        <v>-4.6999999999999896E-2</v>
      </c>
      <c r="D62" s="5">
        <f t="shared" si="11"/>
        <v>-4.6999999999999952E-2</v>
      </c>
      <c r="E62" s="5">
        <f t="shared" si="11"/>
        <v>-4.6999999999999868E-2</v>
      </c>
      <c r="F62" s="5">
        <f t="shared" si="11"/>
        <v>-4.6999999999999917E-2</v>
      </c>
      <c r="G62" s="5">
        <f t="shared" si="11"/>
        <v>-4.6999999999999972E-2</v>
      </c>
      <c r="H62" s="5">
        <f t="shared" si="11"/>
        <v>-4.6999999999999889E-2</v>
      </c>
      <c r="I62" s="5">
        <f t="shared" si="11"/>
        <v>-4.6999999999999938E-2</v>
      </c>
      <c r="J62" s="5">
        <f t="shared" si="11"/>
        <v>-4.6999999999999972E-2</v>
      </c>
      <c r="K62" s="5">
        <f t="shared" si="11"/>
        <v>6.4252388517530197E-4</v>
      </c>
      <c r="L62" s="5">
        <f t="shared" si="11"/>
        <v>8.6831129740833134E-4</v>
      </c>
      <c r="M62" s="5">
        <f t="shared" si="11"/>
        <v>-5.2722304206574049E-3</v>
      </c>
      <c r="N62" s="5">
        <f t="shared" si="11"/>
        <v>-1.1770366541250942E-2</v>
      </c>
      <c r="O62" s="5">
        <f t="shared" si="11"/>
        <v>-1.3088899428987453E-2</v>
      </c>
      <c r="P62" s="5">
        <f t="shared" si="11"/>
        <v>-1.465371435787045E-2</v>
      </c>
      <c r="Q62" s="5">
        <f t="shared" si="11"/>
        <v>-1.5923357219158253E-2</v>
      </c>
      <c r="R62" s="5">
        <f t="shared" si="11"/>
        <v>-1.6734354211038797E-2</v>
      </c>
      <c r="S62" s="5">
        <f t="shared" si="11"/>
        <v>-1.6563192760256036E-2</v>
      </c>
      <c r="T62" s="5">
        <f t="shared" si="11"/>
        <v>-1.756114424660097E-2</v>
      </c>
      <c r="U62" s="5">
        <f t="shared" si="11"/>
        <v>-1.6715386799786014E-2</v>
      </c>
      <c r="V62" s="5">
        <f t="shared" si="11"/>
        <v>-1.5320006047895168E-2</v>
      </c>
      <c r="W62" s="5">
        <f t="shared" si="11"/>
        <v>-1.5301588549796363E-2</v>
      </c>
      <c r="X62" s="5">
        <f t="shared" si="11"/>
        <v>-1.518830195796177E-2</v>
      </c>
      <c r="Y62" s="5">
        <f t="shared" si="11"/>
        <v>-1.4457858933692884E-2</v>
      </c>
      <c r="Z62" s="5">
        <f t="shared" si="11"/>
        <v>-1.4243272675620497E-2</v>
      </c>
      <c r="AA62" s="5">
        <f t="shared" si="11"/>
        <v>-1.4399922016963537E-2</v>
      </c>
      <c r="AB62" s="5">
        <f t="shared" si="11"/>
        <v>-1.491509777730291E-2</v>
      </c>
      <c r="AC62" s="5">
        <f t="shared" si="11"/>
        <v>-1.4758688460816714E-2</v>
      </c>
      <c r="AD62" s="5">
        <f t="shared" si="11"/>
        <v>-1.3886786069610706E-2</v>
      </c>
      <c r="AE62" s="5">
        <f t="shared" si="11"/>
        <v>-1.4181759574077014E-2</v>
      </c>
      <c r="AF62" s="5">
        <f t="shared" si="11"/>
        <v>-1.4643685221752916E-2</v>
      </c>
      <c r="AG62" s="5">
        <f t="shared" si="11"/>
        <v>-1.5037139869811492E-2</v>
      </c>
      <c r="AH62" s="5">
        <f t="shared" si="11"/>
        <v>-1.6255011809774227E-2</v>
      </c>
      <c r="AI62" s="5">
        <f t="shared" si="11"/>
        <v>-1.6500209067494213E-2</v>
      </c>
      <c r="AJ62" s="5">
        <f t="shared" si="11"/>
        <v>-1.6115605079651728E-2</v>
      </c>
      <c r="AK62" s="5">
        <f t="shared" si="11"/>
        <v>-1.5598140898093155E-2</v>
      </c>
      <c r="AL62" s="5">
        <f t="shared" si="11"/>
        <v>-1.5394596011687941E-2</v>
      </c>
      <c r="AM62" s="5">
        <f t="shared" si="11"/>
        <v>-5.1533061047829374E-3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4"/>
  <sheetViews>
    <sheetView topLeftCell="A10" workbookViewId="0">
      <selection activeCell="I24" sqref="I24"/>
    </sheetView>
  </sheetViews>
  <sheetFormatPr defaultRowHeight="15" x14ac:dyDescent="0.25"/>
  <cols>
    <col min="1" max="1" width="22.140625" customWidth="1"/>
  </cols>
  <sheetData>
    <row r="1" spans="1:39" x14ac:dyDescent="0.25">
      <c r="A1" t="s">
        <v>41</v>
      </c>
    </row>
    <row r="2" spans="1:39" x14ac:dyDescent="0.25">
      <c r="A2" t="s">
        <v>18</v>
      </c>
      <c r="B2" s="3">
        <v>2013</v>
      </c>
      <c r="C2" s="3">
        <v>2014</v>
      </c>
      <c r="D2" s="3">
        <v>2015</v>
      </c>
      <c r="E2" s="3">
        <v>2016</v>
      </c>
      <c r="F2" s="3">
        <v>2017</v>
      </c>
      <c r="G2" s="3">
        <v>2018</v>
      </c>
      <c r="H2" s="3">
        <v>2019</v>
      </c>
      <c r="I2" s="3">
        <v>2020</v>
      </c>
      <c r="J2" s="3">
        <v>2021</v>
      </c>
      <c r="K2" s="3">
        <v>2022</v>
      </c>
      <c r="L2" s="3">
        <v>2023</v>
      </c>
      <c r="M2" s="3">
        <v>2024</v>
      </c>
      <c r="N2" s="3">
        <v>2025</v>
      </c>
      <c r="O2" s="3">
        <v>2026</v>
      </c>
      <c r="P2" s="3">
        <v>2027</v>
      </c>
      <c r="Q2" s="3">
        <v>2028</v>
      </c>
      <c r="R2" s="3">
        <v>2029</v>
      </c>
      <c r="S2" s="3">
        <v>2030</v>
      </c>
      <c r="T2" s="3">
        <v>2031</v>
      </c>
      <c r="U2" s="3">
        <v>2032</v>
      </c>
      <c r="V2" s="3">
        <v>2033</v>
      </c>
      <c r="W2" s="3">
        <v>2034</v>
      </c>
      <c r="X2" s="3">
        <v>2035</v>
      </c>
      <c r="Y2" s="3">
        <v>2036</v>
      </c>
      <c r="Z2" s="3">
        <v>2037</v>
      </c>
      <c r="AA2" s="3">
        <v>2038</v>
      </c>
      <c r="AB2" s="3">
        <v>2039</v>
      </c>
      <c r="AC2" s="3">
        <v>2040</v>
      </c>
      <c r="AD2" s="3">
        <v>2041</v>
      </c>
      <c r="AE2" s="3">
        <v>2042</v>
      </c>
      <c r="AF2" s="3">
        <v>2043</v>
      </c>
      <c r="AG2" s="3">
        <v>2044</v>
      </c>
      <c r="AH2" s="3">
        <v>2045</v>
      </c>
      <c r="AI2" s="3">
        <v>2046</v>
      </c>
      <c r="AJ2" s="3">
        <v>2047</v>
      </c>
      <c r="AK2" s="3">
        <v>2048</v>
      </c>
      <c r="AL2" s="3">
        <v>2049</v>
      </c>
      <c r="AM2" s="3">
        <v>2050</v>
      </c>
    </row>
    <row r="3" spans="1:39" x14ac:dyDescent="0.25">
      <c r="A3" t="s">
        <v>42</v>
      </c>
      <c r="B3" s="4"/>
      <c r="C3" s="4"/>
      <c r="D3" s="4"/>
      <c r="E3" s="4"/>
      <c r="F3" s="4"/>
      <c r="G3" s="4"/>
      <c r="H3" s="4"/>
      <c r="I3" s="4"/>
      <c r="J3" s="4">
        <v>7116.2607420000004</v>
      </c>
      <c r="K3" s="4">
        <v>7134.8706050000001</v>
      </c>
      <c r="L3" s="4">
        <v>7130.2124020000001</v>
      </c>
      <c r="M3" s="4">
        <v>7126.8627930000002</v>
      </c>
      <c r="N3" s="4">
        <v>7079.7089839999999</v>
      </c>
      <c r="O3" s="4">
        <v>6987.3999020000001</v>
      </c>
      <c r="P3" s="4">
        <v>6887.0122069999998</v>
      </c>
      <c r="Q3" s="4">
        <v>6777.3032229999999</v>
      </c>
      <c r="R3" s="4">
        <v>6660.7099609999996</v>
      </c>
      <c r="S3" s="4">
        <v>6540.6035160000001</v>
      </c>
      <c r="T3" s="4">
        <v>6423.4560549999997</v>
      </c>
      <c r="U3" s="4">
        <v>6301.9296880000002</v>
      </c>
      <c r="V3" s="4">
        <v>6187.5556640000004</v>
      </c>
      <c r="W3" s="4">
        <v>6083.3095700000003</v>
      </c>
      <c r="X3" s="4">
        <v>5980.6430659999996</v>
      </c>
      <c r="Y3" s="4">
        <v>5880.0786129999997</v>
      </c>
      <c r="Z3" s="4">
        <v>5785.0810549999997</v>
      </c>
      <c r="AA3" s="4">
        <v>5692.5351559999999</v>
      </c>
      <c r="AB3" s="4">
        <v>5600.3168949999999</v>
      </c>
      <c r="AC3" s="4">
        <v>5506.5073240000002</v>
      </c>
      <c r="AD3">
        <v>5414.8212890000004</v>
      </c>
      <c r="AE3">
        <v>5328.9575199999999</v>
      </c>
      <c r="AF3">
        <v>5242.6469729999999</v>
      </c>
      <c r="AG3">
        <v>5155.1030270000001</v>
      </c>
      <c r="AH3">
        <v>5066.7709960000002</v>
      </c>
      <c r="AI3">
        <v>4973.6992190000001</v>
      </c>
      <c r="AJ3">
        <v>4880.8818359999996</v>
      </c>
      <c r="AK3">
        <v>4791.3310549999997</v>
      </c>
      <c r="AL3">
        <v>4705.5390619999998</v>
      </c>
      <c r="AM3">
        <v>4621.935547</v>
      </c>
    </row>
    <row r="4" spans="1:39" x14ac:dyDescent="0.25">
      <c r="A4" t="s">
        <v>43</v>
      </c>
      <c r="B4" s="4"/>
      <c r="C4" s="4"/>
      <c r="D4" s="4"/>
      <c r="E4" s="4"/>
      <c r="F4" s="4"/>
      <c r="G4" s="4"/>
      <c r="H4" s="4"/>
      <c r="I4" s="4"/>
      <c r="J4" s="4">
        <v>1232.071899</v>
      </c>
      <c r="K4" s="4">
        <v>1178.9487300000001</v>
      </c>
      <c r="L4" s="4">
        <v>1133.487061</v>
      </c>
      <c r="M4" s="4">
        <v>1093.6351320000001</v>
      </c>
      <c r="N4" s="4">
        <v>1069.9604489999999</v>
      </c>
      <c r="O4" s="4">
        <v>1048.356567</v>
      </c>
      <c r="P4" s="4">
        <v>1021.583557</v>
      </c>
      <c r="Q4" s="4">
        <v>995.41455099999996</v>
      </c>
      <c r="R4" s="4">
        <v>970.90289299999995</v>
      </c>
      <c r="S4" s="4">
        <v>948.11523399999999</v>
      </c>
      <c r="T4" s="4">
        <v>926.56964100000005</v>
      </c>
      <c r="U4" s="4">
        <v>907.27618399999994</v>
      </c>
      <c r="V4" s="4">
        <v>889.19329800000003</v>
      </c>
      <c r="W4" s="4">
        <v>872.60070800000005</v>
      </c>
      <c r="X4" s="4">
        <v>856.267517</v>
      </c>
      <c r="Y4" s="4">
        <v>840.26757799999996</v>
      </c>
      <c r="Z4" s="4">
        <v>825.09393299999999</v>
      </c>
      <c r="AA4" s="4">
        <v>810.29937700000005</v>
      </c>
      <c r="AB4" s="4">
        <v>795.58062700000005</v>
      </c>
      <c r="AC4" s="4">
        <v>780.66595500000005</v>
      </c>
      <c r="AD4">
        <v>766.08300799999995</v>
      </c>
      <c r="AE4">
        <v>752.35272199999997</v>
      </c>
      <c r="AF4">
        <v>738.58758499999999</v>
      </c>
      <c r="AG4">
        <v>724.67779499999995</v>
      </c>
      <c r="AH4">
        <v>710.68768299999999</v>
      </c>
      <c r="AI4">
        <v>696.06567399999994</v>
      </c>
      <c r="AJ4">
        <v>681.51422100000002</v>
      </c>
      <c r="AK4">
        <v>667.45373500000005</v>
      </c>
      <c r="AL4">
        <v>653.95007299999997</v>
      </c>
      <c r="AM4">
        <v>640.78253199999995</v>
      </c>
    </row>
    <row r="5" spans="1:39" x14ac:dyDescent="0.25">
      <c r="A5" t="s">
        <v>44</v>
      </c>
      <c r="B5" s="4"/>
      <c r="C5" s="4"/>
      <c r="D5" s="4"/>
      <c r="E5" s="4"/>
      <c r="F5" s="4"/>
      <c r="G5" s="4"/>
      <c r="H5" s="4"/>
      <c r="I5" s="4"/>
      <c r="J5" s="4">
        <v>1612.3011469999999</v>
      </c>
      <c r="K5" s="4">
        <v>1522.4724120000001</v>
      </c>
      <c r="L5" s="4">
        <v>1449.0031739999999</v>
      </c>
      <c r="M5" s="4">
        <v>1397.7854</v>
      </c>
      <c r="N5" s="4">
        <v>1368.0629879999999</v>
      </c>
      <c r="O5" s="4">
        <v>1339.0123289999999</v>
      </c>
      <c r="P5" s="4">
        <v>1300.298096</v>
      </c>
      <c r="Q5" s="4">
        <v>1265.950562</v>
      </c>
      <c r="R5" s="4">
        <v>1233.2329099999999</v>
      </c>
      <c r="S5" s="4">
        <v>1202.3302000000001</v>
      </c>
      <c r="T5" s="4">
        <v>1172.908081</v>
      </c>
      <c r="U5" s="4">
        <v>1145.8520510000001</v>
      </c>
      <c r="V5" s="4">
        <v>1120.3623050000001</v>
      </c>
      <c r="W5" s="4">
        <v>1097.6263429999999</v>
      </c>
      <c r="X5" s="4">
        <v>1078.5139160000001</v>
      </c>
      <c r="Y5" s="4">
        <v>1059.7921140000001</v>
      </c>
      <c r="Z5" s="4">
        <v>1042.0850829999999</v>
      </c>
      <c r="AA5" s="4">
        <v>1024.8304439999999</v>
      </c>
      <c r="AB5" s="4">
        <v>1007.645386</v>
      </c>
      <c r="AC5" s="4">
        <v>990.18505900000002</v>
      </c>
      <c r="AD5" s="4">
        <v>973.11779799999999</v>
      </c>
      <c r="AE5" s="4">
        <v>957.107483</v>
      </c>
      <c r="AF5" s="4">
        <v>941.02734399999997</v>
      </c>
      <c r="AG5" s="4">
        <v>924.73638900000003</v>
      </c>
      <c r="AH5" s="4">
        <v>908.315247</v>
      </c>
      <c r="AI5" s="4">
        <v>891.05639599999995</v>
      </c>
      <c r="AJ5" s="4">
        <v>873.85620100000006</v>
      </c>
      <c r="AK5" s="4">
        <v>857.25329599999998</v>
      </c>
      <c r="AL5" s="4">
        <v>841.33508300000005</v>
      </c>
      <c r="AM5" s="4">
        <v>825.81994599999996</v>
      </c>
    </row>
    <row r="6" spans="1:39" x14ac:dyDescent="0.25">
      <c r="A6" t="s">
        <v>45</v>
      </c>
      <c r="B6" s="4"/>
      <c r="C6" s="4"/>
      <c r="D6" s="4"/>
      <c r="E6" s="4"/>
      <c r="F6" s="4"/>
      <c r="G6" s="4"/>
      <c r="H6" s="4"/>
      <c r="I6" s="4"/>
      <c r="J6" s="4">
        <v>1267.8427730000001</v>
      </c>
      <c r="K6" s="4">
        <v>1275.3027340000001</v>
      </c>
      <c r="L6" s="4">
        <v>1278.665283</v>
      </c>
      <c r="M6" s="4">
        <v>1282.3125</v>
      </c>
      <c r="N6" s="4">
        <v>1278.103149</v>
      </c>
      <c r="O6" s="4">
        <v>1265.7132570000001</v>
      </c>
      <c r="P6" s="4">
        <v>1251.7978519999999</v>
      </c>
      <c r="Q6" s="4">
        <v>1236.1141359999999</v>
      </c>
      <c r="R6" s="4">
        <v>1219.088745</v>
      </c>
      <c r="S6" s="4">
        <v>1201.325928</v>
      </c>
      <c r="T6" s="4">
        <v>1184.010254</v>
      </c>
      <c r="U6" s="4">
        <v>1165.78772</v>
      </c>
      <c r="V6" s="4">
        <v>1148.788452</v>
      </c>
      <c r="W6" s="4">
        <v>1133.5792240000001</v>
      </c>
      <c r="X6" s="4">
        <v>1118.580688</v>
      </c>
      <c r="Y6" s="4">
        <v>1103.892212</v>
      </c>
      <c r="Z6" s="4">
        <v>1090.169067</v>
      </c>
      <c r="AA6" s="4">
        <v>1076.832764</v>
      </c>
      <c r="AB6" s="4">
        <v>1063.4832759999999</v>
      </c>
      <c r="AC6" s="4">
        <v>1049.7539059999999</v>
      </c>
      <c r="AD6">
        <v>1036.350586</v>
      </c>
      <c r="AE6">
        <v>1023.986816</v>
      </c>
      <c r="AF6">
        <v>1011.46521</v>
      </c>
      <c r="AG6">
        <v>998.630493</v>
      </c>
      <c r="AH6">
        <v>985.56488000000002</v>
      </c>
      <c r="AI6">
        <v>971.49273700000003</v>
      </c>
      <c r="AJ6">
        <v>957.38000499999998</v>
      </c>
      <c r="AK6">
        <v>943.81854199999998</v>
      </c>
      <c r="AL6">
        <v>930.91204800000003</v>
      </c>
      <c r="AM6">
        <v>918.35607900000002</v>
      </c>
    </row>
    <row r="7" spans="1:39" x14ac:dyDescent="0.25">
      <c r="A7" t="s">
        <v>46</v>
      </c>
      <c r="B7" s="4"/>
      <c r="C7" s="4"/>
      <c r="D7" s="4"/>
      <c r="E7" s="4"/>
      <c r="F7" s="4"/>
      <c r="G7" s="4"/>
      <c r="H7" s="4"/>
      <c r="I7" s="4"/>
      <c r="J7" s="4">
        <v>5452.501953</v>
      </c>
      <c r="K7" s="4">
        <v>5458.5029299999997</v>
      </c>
      <c r="L7" s="4">
        <v>5446.5795900000003</v>
      </c>
      <c r="M7" s="4">
        <v>5435.5576170000004</v>
      </c>
      <c r="N7" s="4">
        <v>5363.3125</v>
      </c>
      <c r="O7" s="4">
        <v>5284.9091799999997</v>
      </c>
      <c r="P7" s="4">
        <v>5200.5180659999996</v>
      </c>
      <c r="Q7" s="4">
        <v>5109.2358400000003</v>
      </c>
      <c r="R7" s="4">
        <v>5012.9345700000003</v>
      </c>
      <c r="S7" s="4">
        <v>4296.7231449999999</v>
      </c>
      <c r="T7" s="4">
        <v>4212.4848629999997</v>
      </c>
      <c r="U7" s="4">
        <v>3600.1430660000001</v>
      </c>
      <c r="V7" s="4">
        <v>3526.8596189999998</v>
      </c>
      <c r="W7" s="4">
        <v>3459.5202640000002</v>
      </c>
      <c r="X7" s="4">
        <v>3393.2404790000001</v>
      </c>
      <c r="Y7" s="4">
        <v>3307.8688959999999</v>
      </c>
      <c r="Z7" s="4">
        <v>3141.2751459999999</v>
      </c>
      <c r="AA7" s="4">
        <v>3082.3015140000002</v>
      </c>
      <c r="AB7" s="4">
        <v>3023.6655270000001</v>
      </c>
      <c r="AC7" s="4">
        <v>2964.334961</v>
      </c>
      <c r="AD7">
        <v>2906.3151859999998</v>
      </c>
      <c r="AE7">
        <v>2851.5791020000001</v>
      </c>
      <c r="AF7">
        <v>2796.7573240000002</v>
      </c>
      <c r="AG7">
        <v>2741.4370119999999</v>
      </c>
      <c r="AH7">
        <v>2685.8642580000001</v>
      </c>
      <c r="AI7">
        <v>2627.9584960000002</v>
      </c>
      <c r="AJ7">
        <v>2570.3796390000002</v>
      </c>
      <c r="AK7">
        <v>2525.5441890000002</v>
      </c>
      <c r="AL7">
        <v>2494.038086</v>
      </c>
      <c r="AM7">
        <v>2463.4089359999998</v>
      </c>
    </row>
    <row r="9" spans="1:39" x14ac:dyDescent="0.25">
      <c r="A9" t="s">
        <v>32</v>
      </c>
      <c r="E9" t="s">
        <v>33</v>
      </c>
    </row>
    <row r="10" spans="1:39" x14ac:dyDescent="0.25">
      <c r="A10" t="s">
        <v>34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>
        <v>3899.05069774</v>
      </c>
      <c r="M10" s="4">
        <v>3863.554105532</v>
      </c>
      <c r="N10" s="4">
        <v>3821.5605522599999</v>
      </c>
      <c r="O10" s="4">
        <v>3782.951368856</v>
      </c>
      <c r="P10" s="4">
        <v>3740.0184549200003</v>
      </c>
      <c r="Q10" s="4">
        <v>3695.1494979520003</v>
      </c>
      <c r="R10" s="4">
        <v>3646.6315594279999</v>
      </c>
      <c r="S10" s="4">
        <v>3595.5524897600003</v>
      </c>
      <c r="T10" s="4">
        <v>3545.6213094279997</v>
      </c>
      <c r="U10" s="4">
        <v>3495.8991506120001</v>
      </c>
      <c r="V10" s="4">
        <v>3447.5539139359998</v>
      </c>
      <c r="W10" s="4">
        <v>3401.0678821680003</v>
      </c>
      <c r="X10" s="4">
        <v>3352.7676127</v>
      </c>
      <c r="Y10" s="4">
        <v>3303.6866004120002</v>
      </c>
      <c r="Z10" s="4">
        <v>3258.4191188560003</v>
      </c>
      <c r="AA10" s="4">
        <v>3212.1381557319996</v>
      </c>
      <c r="AB10" s="4">
        <v>3166.0948729520001</v>
      </c>
      <c r="AC10" s="4">
        <v>3122.7347745880002</v>
      </c>
      <c r="AD10" s="4">
        <v>3082.5767069680001</v>
      </c>
      <c r="AE10" s="4">
        <v>3040.1829006119997</v>
      </c>
      <c r="AF10" s="4">
        <v>2999.781221316</v>
      </c>
      <c r="AG10" s="4">
        <v>2959.2775030720004</v>
      </c>
      <c r="AH10" s="4">
        <v>2918.8254221279999</v>
      </c>
      <c r="AI10" s="4">
        <v>2876.8101270479997</v>
      </c>
      <c r="AJ10" s="4">
        <v>2838.497180332</v>
      </c>
      <c r="AK10" s="4">
        <v>2800.0592172080001</v>
      </c>
      <c r="AL10" s="4">
        <v>2761.6264415959999</v>
      </c>
      <c r="AM10" s="4">
        <v>2723.2650696680003</v>
      </c>
    </row>
    <row r="11" spans="1:39" x14ac:dyDescent="0.25">
      <c r="A11" t="s">
        <v>35</v>
      </c>
      <c r="B11" s="4"/>
      <c r="C11" s="4"/>
      <c r="D11" s="4"/>
      <c r="E11" s="4"/>
      <c r="F11" s="4"/>
      <c r="G11" s="4"/>
      <c r="H11" s="4"/>
      <c r="I11" s="4"/>
      <c r="J11" s="4">
        <v>1209.5542100399998</v>
      </c>
      <c r="K11" s="4">
        <v>1135.9923601400001</v>
      </c>
      <c r="L11" s="4">
        <v>1073.784749488</v>
      </c>
      <c r="M11" s="4">
        <v>1024.8124482640001</v>
      </c>
      <c r="N11" s="4">
        <v>998.03713037600005</v>
      </c>
      <c r="O11" s="4">
        <v>978.98102970800005</v>
      </c>
      <c r="P11" s="4">
        <v>955.62491675199999</v>
      </c>
      <c r="Q11" s="4">
        <v>934.2084910399999</v>
      </c>
      <c r="R11" s="4">
        <v>914.10827151600006</v>
      </c>
      <c r="S11" s="4">
        <v>894.69305353999994</v>
      </c>
      <c r="T11" s="4">
        <v>876.42028944800006</v>
      </c>
      <c r="U11" s="4">
        <v>860.68685194800003</v>
      </c>
      <c r="V11" s="4">
        <v>845.66139446800003</v>
      </c>
      <c r="W11" s="4">
        <v>831.14694031599993</v>
      </c>
      <c r="X11" s="4">
        <v>816.24489421199996</v>
      </c>
      <c r="Y11" s="4">
        <v>801.21177791599996</v>
      </c>
      <c r="Z11" s="4">
        <v>787.16051818799997</v>
      </c>
      <c r="AA11" s="4">
        <v>772.91969466800003</v>
      </c>
      <c r="AB11" s="4">
        <v>758.79289318799999</v>
      </c>
      <c r="AC11" s="4">
        <v>745.36412781599995</v>
      </c>
      <c r="AD11" s="4">
        <v>732.74958222399994</v>
      </c>
      <c r="AE11" s="4">
        <v>719.65337320799995</v>
      </c>
      <c r="AF11" s="4">
        <v>707.07959401200003</v>
      </c>
      <c r="AG11" s="4">
        <v>694.531510508</v>
      </c>
      <c r="AH11" s="4">
        <v>682.04612141600001</v>
      </c>
      <c r="AI11" s="4">
        <v>669.24843519599995</v>
      </c>
      <c r="AJ11" s="4">
        <v>657.36361244400007</v>
      </c>
      <c r="AK11" s="4">
        <v>645.49855405200003</v>
      </c>
      <c r="AL11" s="4">
        <v>633.68420799199998</v>
      </c>
      <c r="AM11" s="4">
        <v>621.93650921599999</v>
      </c>
    </row>
    <row r="12" spans="1:39" x14ac:dyDescent="0.25">
      <c r="A12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x14ac:dyDescent="0.25">
      <c r="A13" t="s">
        <v>37</v>
      </c>
      <c r="B13" s="4"/>
      <c r="C13" s="4"/>
      <c r="D13" s="4"/>
      <c r="E13" s="4"/>
      <c r="F13" s="4"/>
      <c r="G13" s="4"/>
      <c r="H13" s="4"/>
      <c r="I13" s="4"/>
      <c r="J13" s="4"/>
      <c r="K13" s="4">
        <v>1228.06706506</v>
      </c>
      <c r="L13" s="4">
        <v>1212.3367161840001</v>
      </c>
      <c r="M13" s="4">
        <v>1203.2421808439999</v>
      </c>
      <c r="N13" s="4">
        <v>1192.1037576799999</v>
      </c>
      <c r="O13" s="4">
        <v>1181.9987049199999</v>
      </c>
      <c r="P13" s="4">
        <v>1170.5194482520001</v>
      </c>
      <c r="Q13" s="4">
        <v>1158.407567108</v>
      </c>
      <c r="R13" s="4">
        <v>1145.1216080920001</v>
      </c>
      <c r="S13" s="4">
        <v>1130.9974631120001</v>
      </c>
      <c r="T13" s="4">
        <v>1117.199450312</v>
      </c>
      <c r="U13" s="4">
        <v>1103.4324462040001</v>
      </c>
      <c r="V13" s="4">
        <v>1090.0652003119999</v>
      </c>
      <c r="W13" s="4">
        <v>1077.252752048</v>
      </c>
      <c r="X13" s="4">
        <v>1063.8316454920002</v>
      </c>
      <c r="Y13" s="4">
        <v>1050.1272730520002</v>
      </c>
      <c r="Z13" s="4">
        <v>1037.6004375</v>
      </c>
      <c r="AA13" s="4">
        <v>1024.717634996</v>
      </c>
      <c r="AB13" s="4">
        <v>1011.8760320240001</v>
      </c>
      <c r="AC13" s="4">
        <v>999.85877996400006</v>
      </c>
      <c r="AD13" s="4">
        <v>988.83635527600006</v>
      </c>
      <c r="AE13" s="4">
        <v>977.06660502</v>
      </c>
      <c r="AF13" s="4">
        <v>965.90625383999998</v>
      </c>
      <c r="AG13" s="4">
        <v>954.68289958799994</v>
      </c>
      <c r="AH13" s="4">
        <v>943.44552407599997</v>
      </c>
      <c r="AI13" s="4">
        <v>931.67095568800005</v>
      </c>
      <c r="AJ13" s="4">
        <v>921.06385681200004</v>
      </c>
      <c r="AK13" s="4">
        <v>910.38696029599998</v>
      </c>
      <c r="AL13" s="4">
        <v>899.68152740400001</v>
      </c>
      <c r="AM13" s="4">
        <v>888.96892853999998</v>
      </c>
    </row>
    <row r="14" spans="1:39" x14ac:dyDescent="0.25">
      <c r="A14" t="s">
        <v>38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>
        <v>5164.0477325800002</v>
      </c>
      <c r="M14" s="4">
        <v>5100.3890778719997</v>
      </c>
      <c r="N14" s="4">
        <v>5008.8440922080008</v>
      </c>
      <c r="O14" s="4">
        <v>4941.6898862759999</v>
      </c>
      <c r="P14" s="4">
        <v>4869.0848165959997</v>
      </c>
      <c r="Q14" s="4">
        <v>4794.1884159840001</v>
      </c>
      <c r="R14" s="4">
        <v>4714.8136188560002</v>
      </c>
      <c r="S14" s="4">
        <v>4051.112592208</v>
      </c>
      <c r="T14" s="4">
        <v>3980.6110778719999</v>
      </c>
      <c r="U14" s="4">
        <v>3408.1363165960001</v>
      </c>
      <c r="V14" s="4">
        <v>3347.1267499999999</v>
      </c>
      <c r="W14" s="4">
        <v>3288.1663852400002</v>
      </c>
      <c r="X14" s="4">
        <v>3227.6996321680003</v>
      </c>
      <c r="Y14" s="4">
        <v>3166.7436793080001</v>
      </c>
      <c r="Z14" s="4">
        <v>3062.6406034840002</v>
      </c>
      <c r="AA14" s="4">
        <v>3005.3022551200002</v>
      </c>
      <c r="AB14" s="4">
        <v>2948.4432223399999</v>
      </c>
      <c r="AC14" s="4">
        <v>2894.3313647600003</v>
      </c>
      <c r="AD14" s="4">
        <v>2843.4128913959998</v>
      </c>
      <c r="AE14" s="4">
        <v>2790.6574498000004</v>
      </c>
      <c r="AF14" s="4">
        <v>2739.9610932319997</v>
      </c>
      <c r="AG14" s="4">
        <v>2689.3959293079997</v>
      </c>
      <c r="AH14" s="4">
        <v>2639.1064969280001</v>
      </c>
      <c r="AI14" s="4">
        <v>2587.643480532</v>
      </c>
      <c r="AJ14" s="4">
        <v>2539.7432182319999</v>
      </c>
      <c r="AK14" s="4">
        <v>2491.9519129119999</v>
      </c>
      <c r="AL14" s="4">
        <v>2444.3891485640002</v>
      </c>
      <c r="AM14" s="4">
        <v>2397.1166915960002</v>
      </c>
    </row>
    <row r="16" spans="1:39" x14ac:dyDescent="0.25">
      <c r="A16" t="s">
        <v>24</v>
      </c>
    </row>
    <row r="18" spans="1:39" x14ac:dyDescent="0.25">
      <c r="A18" t="s">
        <v>26</v>
      </c>
    </row>
    <row r="19" spans="1:39" x14ac:dyDescent="0.25">
      <c r="A19" t="s">
        <v>18</v>
      </c>
      <c r="B19">
        <v>2013</v>
      </c>
      <c r="C19">
        <v>2014</v>
      </c>
      <c r="D19">
        <v>2015</v>
      </c>
      <c r="E19">
        <v>2016</v>
      </c>
      <c r="F19">
        <v>2017</v>
      </c>
      <c r="G19">
        <v>2018</v>
      </c>
      <c r="H19">
        <v>2019</v>
      </c>
      <c r="I19">
        <v>2020</v>
      </c>
      <c r="J19">
        <v>2021</v>
      </c>
      <c r="K19">
        <v>2022</v>
      </c>
      <c r="L19">
        <v>2023</v>
      </c>
      <c r="M19">
        <v>2024</v>
      </c>
      <c r="N19">
        <v>2025</v>
      </c>
      <c r="O19">
        <v>2026</v>
      </c>
      <c r="P19">
        <v>2027</v>
      </c>
      <c r="Q19">
        <v>2028</v>
      </c>
      <c r="R19">
        <v>2029</v>
      </c>
      <c r="S19">
        <v>2030</v>
      </c>
      <c r="T19">
        <v>2031</v>
      </c>
      <c r="U19">
        <v>2032</v>
      </c>
      <c r="V19">
        <v>2033</v>
      </c>
      <c r="W19">
        <v>2034</v>
      </c>
      <c r="X19">
        <v>2035</v>
      </c>
      <c r="Y19">
        <v>2036</v>
      </c>
      <c r="Z19">
        <v>2037</v>
      </c>
      <c r="AA19">
        <v>2038</v>
      </c>
      <c r="AB19">
        <v>2039</v>
      </c>
      <c r="AC19">
        <v>2040</v>
      </c>
      <c r="AD19">
        <v>2041</v>
      </c>
      <c r="AE19">
        <v>2042</v>
      </c>
      <c r="AF19">
        <v>2043</v>
      </c>
      <c r="AG19">
        <v>2044</v>
      </c>
      <c r="AH19">
        <v>2045</v>
      </c>
      <c r="AI19">
        <v>2046</v>
      </c>
      <c r="AJ19">
        <v>2047</v>
      </c>
      <c r="AK19">
        <v>2048</v>
      </c>
      <c r="AL19">
        <v>2049</v>
      </c>
      <c r="AM19">
        <v>2050</v>
      </c>
    </row>
    <row r="20" spans="1:39" x14ac:dyDescent="0.25">
      <c r="A20" t="s">
        <v>19</v>
      </c>
      <c r="B20" s="6"/>
      <c r="C20" s="6"/>
      <c r="D20" s="6"/>
      <c r="E20" s="6"/>
      <c r="F20" s="6"/>
      <c r="G20" s="6"/>
      <c r="H20" s="6"/>
      <c r="I20" s="6"/>
      <c r="J20" s="6">
        <f t="shared" ref="J20:AM20" si="0">(J3-J10)/J3</f>
        <v>1</v>
      </c>
      <c r="K20" s="6">
        <f t="shared" si="0"/>
        <v>1</v>
      </c>
      <c r="L20" s="6">
        <f t="shared" si="0"/>
        <v>0.45316485990707239</v>
      </c>
      <c r="M20" s="6">
        <f t="shared" si="0"/>
        <v>0.45788852434106347</v>
      </c>
      <c r="N20" s="6">
        <f t="shared" si="0"/>
        <v>0.46020937288571467</v>
      </c>
      <c r="O20" s="6">
        <f t="shared" si="0"/>
        <v>0.45860385523759595</v>
      </c>
      <c r="P20" s="6">
        <f t="shared" si="0"/>
        <v>0.45694615567566099</v>
      </c>
      <c r="Q20" s="6">
        <f t="shared" si="0"/>
        <v>0.45477583393172605</v>
      </c>
      <c r="R20" s="6">
        <f t="shared" si="0"/>
        <v>0.45251608600586529</v>
      </c>
      <c r="S20" s="6">
        <f t="shared" si="0"/>
        <v>0.45027206113864671</v>
      </c>
      <c r="T20" s="6">
        <f t="shared" si="0"/>
        <v>0.44801968300723438</v>
      </c>
      <c r="U20" s="6">
        <f t="shared" si="0"/>
        <v>0.4452652879849141</v>
      </c>
      <c r="V20" s="6">
        <f t="shared" si="0"/>
        <v>0.44282458192751062</v>
      </c>
      <c r="W20" s="6">
        <f t="shared" si="0"/>
        <v>0.44091816419462604</v>
      </c>
      <c r="X20" s="6">
        <f t="shared" si="0"/>
        <v>0.43939680470809089</v>
      </c>
      <c r="Y20" s="6">
        <f t="shared" si="0"/>
        <v>0.43815604895008903</v>
      </c>
      <c r="Z20" s="6">
        <f t="shared" si="0"/>
        <v>0.43675480293577312</v>
      </c>
      <c r="AA20" s="6">
        <f t="shared" si="0"/>
        <v>0.43572800734548511</v>
      </c>
      <c r="AB20" s="6">
        <f t="shared" si="0"/>
        <v>0.43465790734472354</v>
      </c>
      <c r="AC20" s="6">
        <f t="shared" si="0"/>
        <v>0.43290100405793991</v>
      </c>
      <c r="AD20" s="6">
        <f t="shared" si="0"/>
        <v>0.43071496870448245</v>
      </c>
      <c r="AE20" s="6">
        <f t="shared" si="0"/>
        <v>0.42949762890735155</v>
      </c>
      <c r="AF20" s="6">
        <f t="shared" si="0"/>
        <v>0.42781170718435096</v>
      </c>
      <c r="AG20" s="6">
        <f t="shared" si="0"/>
        <v>0.42595182141410182</v>
      </c>
      <c r="AH20" s="6">
        <f t="shared" si="0"/>
        <v>0.42392789718890234</v>
      </c>
      <c r="AI20" s="6">
        <f t="shared" si="0"/>
        <v>0.4215954764497391</v>
      </c>
      <c r="AJ20" s="6">
        <f t="shared" si="0"/>
        <v>0.41844583095701066</v>
      </c>
      <c r="AK20" s="6">
        <f t="shared" si="0"/>
        <v>0.41559888367847286</v>
      </c>
      <c r="AL20" s="6">
        <f t="shared" si="0"/>
        <v>0.41311156804588861</v>
      </c>
      <c r="AM20" s="6">
        <f t="shared" si="0"/>
        <v>0.41079553317535689</v>
      </c>
    </row>
    <row r="21" spans="1:39" x14ac:dyDescent="0.25">
      <c r="A21" t="s">
        <v>20</v>
      </c>
      <c r="B21" s="6"/>
      <c r="C21" s="6"/>
      <c r="D21" s="6"/>
      <c r="E21" s="6"/>
      <c r="F21" s="6"/>
      <c r="G21" s="6"/>
      <c r="H21" s="6"/>
      <c r="I21" s="6"/>
      <c r="J21" s="6">
        <f t="shared" ref="J21:AM21" si="1">(J4-J11)/J4</f>
        <v>1.8276278339175247E-2</v>
      </c>
      <c r="K21" s="6">
        <f t="shared" si="1"/>
        <v>3.6436164497161798E-2</v>
      </c>
      <c r="L21" s="6">
        <f t="shared" si="1"/>
        <v>5.2671365705161809E-2</v>
      </c>
      <c r="M21" s="6">
        <f t="shared" si="1"/>
        <v>6.2930205625471844E-2</v>
      </c>
      <c r="N21" s="6">
        <f t="shared" si="1"/>
        <v>6.7220539498651949E-2</v>
      </c>
      <c r="O21" s="6">
        <f t="shared" si="1"/>
        <v>6.617551649485684E-2</v>
      </c>
      <c r="P21" s="6">
        <f t="shared" si="1"/>
        <v>6.4565095822113006E-2</v>
      </c>
      <c r="Q21" s="6">
        <f t="shared" si="1"/>
        <v>6.1488010094399415E-2</v>
      </c>
      <c r="R21" s="6">
        <f t="shared" si="1"/>
        <v>5.8496706409546038E-2</v>
      </c>
      <c r="S21" s="6">
        <f t="shared" si="1"/>
        <v>5.6345661945138674E-2</v>
      </c>
      <c r="T21" s="6">
        <f t="shared" si="1"/>
        <v>5.4123672234583801E-2</v>
      </c>
      <c r="U21" s="6">
        <f t="shared" si="1"/>
        <v>5.1350771544114424E-2</v>
      </c>
      <c r="V21" s="6">
        <f t="shared" si="1"/>
        <v>4.8956625775197868E-2</v>
      </c>
      <c r="W21" s="6">
        <f t="shared" si="1"/>
        <v>4.7505998223416668E-2</v>
      </c>
      <c r="X21" s="6">
        <f t="shared" si="1"/>
        <v>4.6740793027186658E-2</v>
      </c>
      <c r="Y21" s="6">
        <f t="shared" si="1"/>
        <v>4.6480194055517871E-2</v>
      </c>
      <c r="Z21" s="6">
        <f t="shared" si="1"/>
        <v>4.5974662150376065E-2</v>
      </c>
      <c r="AA21" s="6">
        <f t="shared" si="1"/>
        <v>4.6130705999543192E-2</v>
      </c>
      <c r="AB21" s="6">
        <f t="shared" si="1"/>
        <v>4.6240107618910196E-2</v>
      </c>
      <c r="AC21" s="6">
        <f t="shared" si="1"/>
        <v>4.5220144362514314E-2</v>
      </c>
      <c r="AD21" s="6">
        <f t="shared" si="1"/>
        <v>4.3511506491996248E-2</v>
      </c>
      <c r="AE21" s="6">
        <f t="shared" si="1"/>
        <v>4.3462790571255516E-2</v>
      </c>
      <c r="AF21" s="6">
        <f t="shared" si="1"/>
        <v>4.265978961452481E-2</v>
      </c>
      <c r="AG21" s="6">
        <f t="shared" si="1"/>
        <v>4.1599569767416363E-2</v>
      </c>
      <c r="AH21" s="6">
        <f t="shared" si="1"/>
        <v>4.0301193152942241E-2</v>
      </c>
      <c r="AI21" s="6">
        <f t="shared" si="1"/>
        <v>3.852688015757548E-2</v>
      </c>
      <c r="AJ21" s="6">
        <f t="shared" si="1"/>
        <v>3.5436690551465325E-2</v>
      </c>
      <c r="AK21" s="6">
        <f t="shared" si="1"/>
        <v>3.2893936758028659E-2</v>
      </c>
      <c r="AL21" s="6">
        <f t="shared" si="1"/>
        <v>3.0989926975663769E-2</v>
      </c>
      <c r="AM21" s="6">
        <f t="shared" si="1"/>
        <v>2.941094964804683E-2</v>
      </c>
    </row>
    <row r="22" spans="1:39" x14ac:dyDescent="0.25">
      <c r="A22" t="s">
        <v>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spans="1:39" x14ac:dyDescent="0.25">
      <c r="A23" t="s">
        <v>22</v>
      </c>
      <c r="B23" s="6"/>
      <c r="C23" s="6"/>
      <c r="D23" s="6"/>
      <c r="E23" s="6"/>
      <c r="F23" s="6"/>
      <c r="G23" s="6"/>
      <c r="H23" s="6"/>
      <c r="I23" s="6"/>
      <c r="J23" s="6">
        <f t="shared" ref="J23:AM23" si="2">(J6-J13)/J6</f>
        <v>1</v>
      </c>
      <c r="K23" s="6">
        <f t="shared" si="2"/>
        <v>3.7038789050380952E-2</v>
      </c>
      <c r="L23" s="6">
        <f t="shared" si="2"/>
        <v>5.1873283569864405E-2</v>
      </c>
      <c r="M23" s="6">
        <f t="shared" si="2"/>
        <v>6.166228525106017E-2</v>
      </c>
      <c r="N23" s="6">
        <f t="shared" si="2"/>
        <v>6.7286737684111669E-2</v>
      </c>
      <c r="O23" s="6">
        <f t="shared" si="2"/>
        <v>6.6140219055950203E-2</v>
      </c>
      <c r="P23" s="6">
        <f t="shared" si="2"/>
        <v>6.492933632865816E-2</v>
      </c>
      <c r="Q23" s="6">
        <f t="shared" si="2"/>
        <v>6.2863587292557227E-2</v>
      </c>
      <c r="R23" s="6">
        <f t="shared" si="2"/>
        <v>6.0674120084670234E-2</v>
      </c>
      <c r="S23" s="6">
        <f t="shared" si="2"/>
        <v>5.8542368268938147E-2</v>
      </c>
      <c r="T23" s="6">
        <f t="shared" si="2"/>
        <v>5.6427554966090754E-2</v>
      </c>
      <c r="U23" s="6">
        <f t="shared" si="2"/>
        <v>5.3487674236266519E-2</v>
      </c>
      <c r="V23" s="6">
        <f t="shared" si="2"/>
        <v>5.1117550481783673E-2</v>
      </c>
      <c r="W23" s="6">
        <f t="shared" si="2"/>
        <v>4.9689047540271446E-2</v>
      </c>
      <c r="X23" s="6">
        <f t="shared" si="2"/>
        <v>4.8945098994950441E-2</v>
      </c>
      <c r="Y23" s="6">
        <f t="shared" si="2"/>
        <v>4.8704881113881597E-2</v>
      </c>
      <c r="Z23" s="6">
        <f t="shared" si="2"/>
        <v>4.8220621086472307E-2</v>
      </c>
      <c r="AA23" s="6">
        <f t="shared" si="2"/>
        <v>4.8396678431675194E-2</v>
      </c>
      <c r="AB23" s="6">
        <f t="shared" si="2"/>
        <v>4.8526615453800367E-2</v>
      </c>
      <c r="AC23" s="6">
        <f t="shared" si="2"/>
        <v>4.7530307580489116E-2</v>
      </c>
      <c r="AD23" s="6">
        <f t="shared" si="2"/>
        <v>4.584764206810605E-2</v>
      </c>
      <c r="AE23" s="6">
        <f t="shared" si="2"/>
        <v>4.5821108481927934E-2</v>
      </c>
      <c r="AF23" s="6">
        <f t="shared" si="2"/>
        <v>4.5042534048205157E-2</v>
      </c>
      <c r="AG23" s="6">
        <f t="shared" si="2"/>
        <v>4.4007862487732044E-2</v>
      </c>
      <c r="AH23" s="6">
        <f t="shared" si="2"/>
        <v>4.2736258950298679E-2</v>
      </c>
      <c r="AI23" s="6">
        <f t="shared" si="2"/>
        <v>4.0990302650095865E-2</v>
      </c>
      <c r="AJ23" s="6">
        <f t="shared" si="2"/>
        <v>3.7932845890174968E-2</v>
      </c>
      <c r="AK23" s="6">
        <f t="shared" si="2"/>
        <v>3.5421619957960095E-2</v>
      </c>
      <c r="AL23" s="6">
        <f t="shared" si="2"/>
        <v>3.3548304228199245E-2</v>
      </c>
      <c r="AM23" s="6">
        <f t="shared" si="2"/>
        <v>3.1999734233805886E-2</v>
      </c>
    </row>
    <row r="24" spans="1:39" x14ac:dyDescent="0.25">
      <c r="A24" t="s">
        <v>23</v>
      </c>
      <c r="B24" s="6"/>
      <c r="C24" s="6"/>
      <c r="D24" s="6"/>
      <c r="E24" s="6"/>
      <c r="F24" s="6"/>
      <c r="G24" s="6"/>
      <c r="H24" s="6"/>
      <c r="I24" s="6"/>
      <c r="J24" s="6"/>
      <c r="K24" s="6">
        <f t="shared" ref="K24:AM24" si="3">(K7-K14)/K7</f>
        <v>1</v>
      </c>
      <c r="L24" s="6">
        <f t="shared" si="3"/>
        <v>5.1873263348383394E-2</v>
      </c>
      <c r="M24" s="6">
        <f t="shared" si="3"/>
        <v>6.1662218073035041E-2</v>
      </c>
      <c r="N24" s="6">
        <f t="shared" si="3"/>
        <v>6.609132094987924E-2</v>
      </c>
      <c r="O24" s="6">
        <f t="shared" si="3"/>
        <v>6.4943271877379694E-2</v>
      </c>
      <c r="P24" s="6">
        <f t="shared" si="3"/>
        <v>6.3730813968486649E-2</v>
      </c>
      <c r="Q24" s="6">
        <f t="shared" si="3"/>
        <v>6.1662337359631482E-2</v>
      </c>
      <c r="R24" s="6">
        <f t="shared" si="3"/>
        <v>5.9470345559287874E-2</v>
      </c>
      <c r="S24" s="6">
        <f t="shared" si="3"/>
        <v>5.7162294265529157E-2</v>
      </c>
      <c r="T24" s="6">
        <f t="shared" si="3"/>
        <v>5.5044419782880015E-2</v>
      </c>
      <c r="U24" s="6">
        <f t="shared" si="3"/>
        <v>5.333308868120408E-2</v>
      </c>
      <c r="V24" s="6">
        <f t="shared" si="3"/>
        <v>5.0961163305660889E-2</v>
      </c>
      <c r="W24" s="6">
        <f t="shared" si="3"/>
        <v>4.9531110004794592E-2</v>
      </c>
      <c r="X24" s="6">
        <f t="shared" si="3"/>
        <v>4.8785474491564826E-2</v>
      </c>
      <c r="Y24" s="6">
        <f t="shared" si="3"/>
        <v>4.2663485503507653E-2</v>
      </c>
      <c r="Z24" s="6">
        <f t="shared" si="3"/>
        <v>2.5032682226557107E-2</v>
      </c>
      <c r="AA24" s="6">
        <f t="shared" si="3"/>
        <v>2.4981092385110534E-2</v>
      </c>
      <c r="AB24" s="6">
        <f t="shared" si="3"/>
        <v>2.4877852390847523E-2</v>
      </c>
      <c r="AC24" s="6">
        <f t="shared" si="3"/>
        <v>2.3615278691846778E-2</v>
      </c>
      <c r="AD24" s="6">
        <f t="shared" si="3"/>
        <v>2.1643314843141023E-2</v>
      </c>
      <c r="AE24" s="6">
        <f t="shared" si="3"/>
        <v>2.136418104525711E-2</v>
      </c>
      <c r="AF24" s="6">
        <f t="shared" si="3"/>
        <v>2.0307886665965315E-2</v>
      </c>
      <c r="AG24" s="6">
        <f t="shared" si="3"/>
        <v>1.8983140033567238E-2</v>
      </c>
      <c r="AH24" s="6">
        <f t="shared" si="3"/>
        <v>1.7408832532295453E-2</v>
      </c>
      <c r="AI24" s="6">
        <f t="shared" si="3"/>
        <v>1.534081132916042E-2</v>
      </c>
      <c r="AJ24" s="6">
        <f t="shared" si="3"/>
        <v>1.1919025619079118E-2</v>
      </c>
      <c r="AK24" s="6">
        <f t="shared" si="3"/>
        <v>1.330100508013732E-2</v>
      </c>
      <c r="AL24" s="6">
        <f t="shared" si="3"/>
        <v>1.9907048619144409E-2</v>
      </c>
      <c r="AM24" s="6">
        <f t="shared" si="3"/>
        <v>2.6910775322445117E-2</v>
      </c>
    </row>
  </sheetData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Demand Growth</vt:lpstr>
      <vt:lpstr>Coal Prices</vt:lpstr>
      <vt:lpstr>NG Prices</vt:lpstr>
      <vt:lpstr>Capital Costs</vt:lpstr>
      <vt:lpstr>RE Tech Costs</vt:lpstr>
    </vt:vector>
  </TitlesOfParts>
  <Company>NREL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wcole</dc:creator>
  <cp:lastModifiedBy>Cole, Wesley</cp:lastModifiedBy>
  <dcterms:created xsi:type="dcterms:W3CDTF">2015-05-26T19:56:32Z</dcterms:created>
  <dcterms:modified xsi:type="dcterms:W3CDTF">2025-04-18T18:35:27Z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2023-12-06T16:12:03Z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61b5340a-44e4-4b80-b770-8e0d7414126c</vt:lpwstr>
  </property>
  <property fmtid="{D5CDD505-2E9C-101B-9397-08002B2CF9AE}" pid="8" name="MSIP_Label_95965d95-ecc0-4720-b759-1f33c42ed7da_ContentBits">
    <vt:lpwstr>0</vt:lpwstr>
  </property>
</Properties>
</file>