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EDS\ReEDS-2.0_Input_Processing\AEO_Updates\"/>
    </mc:Choice>
  </mc:AlternateContent>
  <xr:revisionPtr revIDLastSave="0" documentId="13_ncr:1_{9F9263A8-9378-4D79-99EE-C9863B5FEF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ital Costs - R2" sheetId="3" r:id="rId1"/>
    <sheet name="O&amp;M, Heat R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8" i="3" l="1"/>
  <c r="Q5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Q64" i="3"/>
  <c r="M48" i="2" l="1"/>
  <c r="M47" i="2"/>
  <c r="M46" i="2"/>
  <c r="N46" i="2" s="1"/>
  <c r="N48" i="2"/>
  <c r="N47" i="2"/>
  <c r="N43" i="2"/>
  <c r="M43" i="2"/>
  <c r="M42" i="2"/>
  <c r="N42" i="2" s="1"/>
  <c r="M41" i="2"/>
  <c r="N41" i="2"/>
  <c r="G14" i="2" l="1"/>
  <c r="F14" i="2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F11" i="2"/>
  <c r="F13" i="2"/>
  <c r="E4" i="2"/>
  <c r="F4" i="2" s="1"/>
  <c r="D4" i="2"/>
  <c r="C4" i="2"/>
  <c r="E3" i="2"/>
  <c r="F3" i="2" s="1"/>
  <c r="D3" i="2"/>
  <c r="C3" i="2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Q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S47" i="3"/>
  <c r="R47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Q45" i="3"/>
  <c r="R45" i="3"/>
  <c r="S45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397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192" i="3"/>
  <c r="D9" i="2"/>
  <c r="F5" i="2"/>
  <c r="Q55" i="3" l="1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C438" i="3" l="1"/>
  <c r="F642" i="3"/>
  <c r="E642" i="3"/>
  <c r="D642" i="3"/>
  <c r="F641" i="3"/>
  <c r="E641" i="3"/>
  <c r="D641" i="3"/>
  <c r="F640" i="3"/>
  <c r="E640" i="3"/>
  <c r="D640" i="3"/>
  <c r="F639" i="3"/>
  <c r="E639" i="3"/>
  <c r="D639" i="3"/>
  <c r="F638" i="3"/>
  <c r="E638" i="3"/>
  <c r="D638" i="3"/>
  <c r="F637" i="3"/>
  <c r="E637" i="3"/>
  <c r="D637" i="3"/>
  <c r="F636" i="3"/>
  <c r="E636" i="3"/>
  <c r="D636" i="3"/>
  <c r="F635" i="3"/>
  <c r="E635" i="3"/>
  <c r="D635" i="3"/>
  <c r="F634" i="3"/>
  <c r="E634" i="3"/>
  <c r="D634" i="3"/>
  <c r="F633" i="3"/>
  <c r="E633" i="3"/>
  <c r="D633" i="3"/>
  <c r="F632" i="3"/>
  <c r="E632" i="3"/>
  <c r="D632" i="3"/>
  <c r="F631" i="3"/>
  <c r="E631" i="3"/>
  <c r="D631" i="3"/>
  <c r="F630" i="3"/>
  <c r="E630" i="3"/>
  <c r="D630" i="3"/>
  <c r="F629" i="3"/>
  <c r="E629" i="3"/>
  <c r="D629" i="3"/>
  <c r="F628" i="3"/>
  <c r="E628" i="3"/>
  <c r="D628" i="3"/>
  <c r="F627" i="3"/>
  <c r="E627" i="3"/>
  <c r="D627" i="3"/>
  <c r="F626" i="3"/>
  <c r="E626" i="3"/>
  <c r="D626" i="3"/>
  <c r="F625" i="3"/>
  <c r="E625" i="3"/>
  <c r="D625" i="3"/>
  <c r="F624" i="3"/>
  <c r="E624" i="3"/>
  <c r="D624" i="3"/>
  <c r="F623" i="3"/>
  <c r="E623" i="3"/>
  <c r="D623" i="3"/>
  <c r="F622" i="3"/>
  <c r="E622" i="3"/>
  <c r="D622" i="3"/>
  <c r="F621" i="3"/>
  <c r="E621" i="3"/>
  <c r="D621" i="3"/>
  <c r="F620" i="3"/>
  <c r="E620" i="3"/>
  <c r="D620" i="3"/>
  <c r="F619" i="3"/>
  <c r="E619" i="3"/>
  <c r="D619" i="3"/>
  <c r="F618" i="3"/>
  <c r="E618" i="3"/>
  <c r="D618" i="3"/>
  <c r="F617" i="3"/>
  <c r="E617" i="3"/>
  <c r="D617" i="3"/>
  <c r="F616" i="3"/>
  <c r="E616" i="3"/>
  <c r="D616" i="3"/>
  <c r="F615" i="3"/>
  <c r="E615" i="3"/>
  <c r="D615" i="3"/>
  <c r="F614" i="3"/>
  <c r="E614" i="3"/>
  <c r="D614" i="3"/>
  <c r="F613" i="3"/>
  <c r="E613" i="3"/>
  <c r="D613" i="3"/>
  <c r="F612" i="3"/>
  <c r="E612" i="3"/>
  <c r="D612" i="3"/>
  <c r="F611" i="3"/>
  <c r="E611" i="3"/>
  <c r="D611" i="3"/>
  <c r="F610" i="3"/>
  <c r="E610" i="3"/>
  <c r="D610" i="3"/>
  <c r="F609" i="3"/>
  <c r="E609" i="3"/>
  <c r="D609" i="3"/>
  <c r="F608" i="3"/>
  <c r="E608" i="3"/>
  <c r="D608" i="3"/>
  <c r="F607" i="3"/>
  <c r="E607" i="3"/>
  <c r="D607" i="3"/>
  <c r="F606" i="3"/>
  <c r="E606" i="3"/>
  <c r="D606" i="3"/>
  <c r="F605" i="3"/>
  <c r="E605" i="3"/>
  <c r="D605" i="3"/>
  <c r="F604" i="3"/>
  <c r="E604" i="3"/>
  <c r="D604" i="3"/>
  <c r="F603" i="3"/>
  <c r="E603" i="3"/>
  <c r="D603" i="3"/>
  <c r="F602" i="3"/>
  <c r="E602" i="3"/>
  <c r="D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E519" i="3"/>
  <c r="D519" i="3"/>
  <c r="F518" i="3"/>
  <c r="E518" i="3"/>
  <c r="D518" i="3"/>
  <c r="F517" i="3"/>
  <c r="E517" i="3"/>
  <c r="D517" i="3"/>
  <c r="F516" i="3"/>
  <c r="E516" i="3"/>
  <c r="D516" i="3"/>
  <c r="F515" i="3"/>
  <c r="E515" i="3"/>
  <c r="D515" i="3"/>
  <c r="F514" i="3"/>
  <c r="E514" i="3"/>
  <c r="D514" i="3"/>
  <c r="F513" i="3"/>
  <c r="E513" i="3"/>
  <c r="D513" i="3"/>
  <c r="F512" i="3"/>
  <c r="E512" i="3"/>
  <c r="D512" i="3"/>
  <c r="F511" i="3"/>
  <c r="E511" i="3"/>
  <c r="D511" i="3"/>
  <c r="F510" i="3"/>
  <c r="E510" i="3"/>
  <c r="D510" i="3"/>
  <c r="F509" i="3"/>
  <c r="E509" i="3"/>
  <c r="D509" i="3"/>
  <c r="F508" i="3"/>
  <c r="E508" i="3"/>
  <c r="D508" i="3"/>
  <c r="F507" i="3"/>
  <c r="E507" i="3"/>
  <c r="D507" i="3"/>
  <c r="F506" i="3"/>
  <c r="E506" i="3"/>
  <c r="D506" i="3"/>
  <c r="F505" i="3"/>
  <c r="E505" i="3"/>
  <c r="D505" i="3"/>
  <c r="F504" i="3"/>
  <c r="E504" i="3"/>
  <c r="D504" i="3"/>
  <c r="F503" i="3"/>
  <c r="E503" i="3"/>
  <c r="D503" i="3"/>
  <c r="F502" i="3"/>
  <c r="E502" i="3"/>
  <c r="D502" i="3"/>
  <c r="F501" i="3"/>
  <c r="E501" i="3"/>
  <c r="D501" i="3"/>
  <c r="F500" i="3"/>
  <c r="E500" i="3"/>
  <c r="D500" i="3"/>
  <c r="F499" i="3"/>
  <c r="E499" i="3"/>
  <c r="D499" i="3"/>
  <c r="F498" i="3"/>
  <c r="E498" i="3"/>
  <c r="D498" i="3"/>
  <c r="F497" i="3"/>
  <c r="E497" i="3"/>
  <c r="D497" i="3"/>
  <c r="F496" i="3"/>
  <c r="E496" i="3"/>
  <c r="D496" i="3"/>
  <c r="F495" i="3"/>
  <c r="E495" i="3"/>
  <c r="D495" i="3"/>
  <c r="F494" i="3"/>
  <c r="E494" i="3"/>
  <c r="D494" i="3"/>
  <c r="F493" i="3"/>
  <c r="E493" i="3"/>
  <c r="D493" i="3"/>
  <c r="F492" i="3"/>
  <c r="E492" i="3"/>
  <c r="D492" i="3"/>
  <c r="F491" i="3"/>
  <c r="E491" i="3"/>
  <c r="D491" i="3"/>
  <c r="F490" i="3"/>
  <c r="E490" i="3"/>
  <c r="D490" i="3"/>
  <c r="F489" i="3"/>
  <c r="E489" i="3"/>
  <c r="D489" i="3"/>
  <c r="F488" i="3"/>
  <c r="E488" i="3"/>
  <c r="D488" i="3"/>
  <c r="F487" i="3"/>
  <c r="E487" i="3"/>
  <c r="D487" i="3"/>
  <c r="F486" i="3"/>
  <c r="E486" i="3"/>
  <c r="D486" i="3"/>
  <c r="F485" i="3"/>
  <c r="E485" i="3"/>
  <c r="D485" i="3"/>
  <c r="F484" i="3"/>
  <c r="E484" i="3"/>
  <c r="D484" i="3"/>
  <c r="F483" i="3"/>
  <c r="E483" i="3"/>
  <c r="D483" i="3"/>
  <c r="F482" i="3"/>
  <c r="E482" i="3"/>
  <c r="D482" i="3"/>
  <c r="F481" i="3"/>
  <c r="E481" i="3"/>
  <c r="D481" i="3"/>
  <c r="F480" i="3"/>
  <c r="E480" i="3"/>
  <c r="D480" i="3"/>
  <c r="F479" i="3"/>
  <c r="E479" i="3"/>
  <c r="D479" i="3"/>
  <c r="F478" i="3"/>
  <c r="E478" i="3"/>
  <c r="D478" i="3"/>
  <c r="F477" i="3"/>
  <c r="E477" i="3"/>
  <c r="D477" i="3"/>
  <c r="F476" i="3"/>
  <c r="E476" i="3"/>
  <c r="D476" i="3"/>
  <c r="F475" i="3"/>
  <c r="E475" i="3"/>
  <c r="D475" i="3"/>
  <c r="F474" i="3"/>
  <c r="E474" i="3"/>
  <c r="D474" i="3"/>
  <c r="F473" i="3"/>
  <c r="E473" i="3"/>
  <c r="D473" i="3"/>
  <c r="F472" i="3"/>
  <c r="E472" i="3"/>
  <c r="D472" i="3"/>
  <c r="F471" i="3"/>
  <c r="E471" i="3"/>
  <c r="D471" i="3"/>
  <c r="F470" i="3"/>
  <c r="E470" i="3"/>
  <c r="D470" i="3"/>
  <c r="F469" i="3"/>
  <c r="E469" i="3"/>
  <c r="D469" i="3"/>
  <c r="F468" i="3"/>
  <c r="E468" i="3"/>
  <c r="D468" i="3"/>
  <c r="F467" i="3"/>
  <c r="E467" i="3"/>
  <c r="D467" i="3"/>
  <c r="F466" i="3"/>
  <c r="E466" i="3"/>
  <c r="D466" i="3"/>
  <c r="F465" i="3"/>
  <c r="E465" i="3"/>
  <c r="D465" i="3"/>
  <c r="F464" i="3"/>
  <c r="E464" i="3"/>
  <c r="D464" i="3"/>
  <c r="F463" i="3"/>
  <c r="E463" i="3"/>
  <c r="D463" i="3"/>
  <c r="F462" i="3"/>
  <c r="E462" i="3"/>
  <c r="D462" i="3"/>
  <c r="F461" i="3"/>
  <c r="E461" i="3"/>
  <c r="D461" i="3"/>
  <c r="F460" i="3"/>
  <c r="E460" i="3"/>
  <c r="D460" i="3"/>
  <c r="F459" i="3"/>
  <c r="E459" i="3"/>
  <c r="D459" i="3"/>
  <c r="F458" i="3"/>
  <c r="E458" i="3"/>
  <c r="D458" i="3"/>
  <c r="F457" i="3"/>
  <c r="E457" i="3"/>
  <c r="D457" i="3"/>
  <c r="F456" i="3"/>
  <c r="E456" i="3"/>
  <c r="D456" i="3"/>
  <c r="F455" i="3"/>
  <c r="E455" i="3"/>
  <c r="D455" i="3"/>
  <c r="F454" i="3"/>
  <c r="E454" i="3"/>
  <c r="D454" i="3"/>
  <c r="F453" i="3"/>
  <c r="E453" i="3"/>
  <c r="D453" i="3"/>
  <c r="F452" i="3"/>
  <c r="E452" i="3"/>
  <c r="D452" i="3"/>
  <c r="F451" i="3"/>
  <c r="E451" i="3"/>
  <c r="D451" i="3"/>
  <c r="F450" i="3"/>
  <c r="E450" i="3"/>
  <c r="D450" i="3"/>
  <c r="F449" i="3"/>
  <c r="E449" i="3"/>
  <c r="D449" i="3"/>
  <c r="F448" i="3"/>
  <c r="E448" i="3"/>
  <c r="D448" i="3"/>
  <c r="F447" i="3"/>
  <c r="E447" i="3"/>
  <c r="D447" i="3"/>
  <c r="F446" i="3"/>
  <c r="E446" i="3"/>
  <c r="D446" i="3"/>
  <c r="F445" i="3"/>
  <c r="E445" i="3"/>
  <c r="D445" i="3"/>
  <c r="F444" i="3"/>
  <c r="E444" i="3"/>
  <c r="D444" i="3"/>
  <c r="F443" i="3"/>
  <c r="E443" i="3"/>
  <c r="D443" i="3"/>
  <c r="F442" i="3"/>
  <c r="E442" i="3"/>
  <c r="D442" i="3"/>
  <c r="F441" i="3"/>
  <c r="E441" i="3"/>
  <c r="D441" i="3"/>
  <c r="F440" i="3"/>
  <c r="E440" i="3"/>
  <c r="D440" i="3"/>
  <c r="F439" i="3"/>
  <c r="E439" i="3"/>
  <c r="D439" i="3"/>
  <c r="F438" i="3"/>
  <c r="E438" i="3"/>
  <c r="D438" i="3"/>
  <c r="F437" i="3"/>
  <c r="E437" i="3"/>
  <c r="F436" i="3"/>
  <c r="E436" i="3"/>
  <c r="F435" i="3"/>
  <c r="E435" i="3"/>
  <c r="F434" i="3"/>
  <c r="E434" i="3"/>
  <c r="F433" i="3"/>
  <c r="E433" i="3"/>
  <c r="F432" i="3"/>
  <c r="E432" i="3"/>
  <c r="F431" i="3"/>
  <c r="E431" i="3"/>
  <c r="F430" i="3"/>
  <c r="E430" i="3"/>
  <c r="F429" i="3"/>
  <c r="E429" i="3"/>
  <c r="F428" i="3"/>
  <c r="E428" i="3"/>
  <c r="F427" i="3"/>
  <c r="E427" i="3"/>
  <c r="F426" i="3"/>
  <c r="E426" i="3"/>
  <c r="F425" i="3"/>
  <c r="E425" i="3"/>
  <c r="F424" i="3"/>
  <c r="E424" i="3"/>
  <c r="F423" i="3"/>
  <c r="E423" i="3"/>
  <c r="F422" i="3"/>
  <c r="E422" i="3"/>
  <c r="F421" i="3"/>
  <c r="E421" i="3"/>
  <c r="F420" i="3"/>
  <c r="E420" i="3"/>
  <c r="F419" i="3"/>
  <c r="E419" i="3"/>
  <c r="F418" i="3"/>
  <c r="E418" i="3"/>
  <c r="F417" i="3"/>
  <c r="E417" i="3"/>
  <c r="F416" i="3"/>
  <c r="E416" i="3"/>
  <c r="F415" i="3"/>
  <c r="E415" i="3"/>
  <c r="F414" i="3"/>
  <c r="E414" i="3"/>
  <c r="F413" i="3"/>
  <c r="E413" i="3"/>
  <c r="F412" i="3"/>
  <c r="E412" i="3"/>
  <c r="F411" i="3"/>
  <c r="E411" i="3"/>
  <c r="F410" i="3"/>
  <c r="E410" i="3"/>
  <c r="F409" i="3"/>
  <c r="E409" i="3"/>
  <c r="F408" i="3"/>
  <c r="E408" i="3"/>
  <c r="F407" i="3"/>
  <c r="E407" i="3"/>
  <c r="F406" i="3"/>
  <c r="E406" i="3"/>
  <c r="F405" i="3"/>
  <c r="E405" i="3"/>
  <c r="F404" i="3"/>
  <c r="E404" i="3"/>
  <c r="F403" i="3"/>
  <c r="E403" i="3"/>
  <c r="F402" i="3"/>
  <c r="E402" i="3"/>
  <c r="F401" i="3"/>
  <c r="E401" i="3"/>
  <c r="F400" i="3"/>
  <c r="E400" i="3"/>
  <c r="F399" i="3"/>
  <c r="E399" i="3"/>
  <c r="F398" i="3"/>
  <c r="E398" i="3"/>
  <c r="F397" i="3"/>
  <c r="E397" i="3"/>
  <c r="F396" i="3"/>
  <c r="E396" i="3"/>
  <c r="D396" i="3"/>
  <c r="F395" i="3"/>
  <c r="E395" i="3"/>
  <c r="D395" i="3"/>
  <c r="F394" i="3"/>
  <c r="E394" i="3"/>
  <c r="D394" i="3"/>
  <c r="F393" i="3"/>
  <c r="E393" i="3"/>
  <c r="D393" i="3"/>
  <c r="F392" i="3"/>
  <c r="E392" i="3"/>
  <c r="D392" i="3"/>
  <c r="F391" i="3"/>
  <c r="E391" i="3"/>
  <c r="D391" i="3"/>
  <c r="F390" i="3"/>
  <c r="E390" i="3"/>
  <c r="D390" i="3"/>
  <c r="F389" i="3"/>
  <c r="E389" i="3"/>
  <c r="D389" i="3"/>
  <c r="F388" i="3"/>
  <c r="E388" i="3"/>
  <c r="D388" i="3"/>
  <c r="F387" i="3"/>
  <c r="E387" i="3"/>
  <c r="D387" i="3"/>
  <c r="F386" i="3"/>
  <c r="E386" i="3"/>
  <c r="D386" i="3"/>
  <c r="F385" i="3"/>
  <c r="E385" i="3"/>
  <c r="D385" i="3"/>
  <c r="F384" i="3"/>
  <c r="E384" i="3"/>
  <c r="D384" i="3"/>
  <c r="F383" i="3"/>
  <c r="E383" i="3"/>
  <c r="D383" i="3"/>
  <c r="F382" i="3"/>
  <c r="E382" i="3"/>
  <c r="D382" i="3"/>
  <c r="F381" i="3"/>
  <c r="E381" i="3"/>
  <c r="D381" i="3"/>
  <c r="F380" i="3"/>
  <c r="E380" i="3"/>
  <c r="D380" i="3"/>
  <c r="F379" i="3"/>
  <c r="E379" i="3"/>
  <c r="D379" i="3"/>
  <c r="F378" i="3"/>
  <c r="E378" i="3"/>
  <c r="D378" i="3"/>
  <c r="F377" i="3"/>
  <c r="E377" i="3"/>
  <c r="D377" i="3"/>
  <c r="E376" i="3"/>
  <c r="D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F355" i="3"/>
  <c r="E355" i="3"/>
  <c r="D355" i="3"/>
  <c r="F354" i="3"/>
  <c r="E354" i="3"/>
  <c r="D354" i="3"/>
  <c r="F353" i="3"/>
  <c r="E353" i="3"/>
  <c r="D353" i="3"/>
  <c r="F352" i="3"/>
  <c r="E352" i="3"/>
  <c r="D352" i="3"/>
  <c r="F351" i="3"/>
  <c r="E351" i="3"/>
  <c r="D351" i="3"/>
  <c r="F350" i="3"/>
  <c r="E350" i="3"/>
  <c r="D350" i="3"/>
  <c r="F349" i="3"/>
  <c r="E349" i="3"/>
  <c r="D349" i="3"/>
  <c r="F348" i="3"/>
  <c r="E348" i="3"/>
  <c r="D348" i="3"/>
  <c r="F347" i="3"/>
  <c r="E347" i="3"/>
  <c r="D347" i="3"/>
  <c r="F346" i="3"/>
  <c r="E346" i="3"/>
  <c r="D346" i="3"/>
  <c r="F345" i="3"/>
  <c r="E345" i="3"/>
  <c r="D345" i="3"/>
  <c r="F344" i="3"/>
  <c r="E344" i="3"/>
  <c r="D344" i="3"/>
  <c r="F343" i="3"/>
  <c r="E343" i="3"/>
  <c r="D343" i="3"/>
  <c r="F342" i="3"/>
  <c r="E342" i="3"/>
  <c r="D342" i="3"/>
  <c r="F341" i="3"/>
  <c r="E341" i="3"/>
  <c r="D341" i="3"/>
  <c r="F340" i="3"/>
  <c r="E340" i="3"/>
  <c r="D340" i="3"/>
  <c r="F339" i="3"/>
  <c r="E339" i="3"/>
  <c r="D339" i="3"/>
  <c r="F338" i="3"/>
  <c r="E338" i="3"/>
  <c r="D338" i="3"/>
  <c r="F337" i="3"/>
  <c r="E337" i="3"/>
  <c r="D337" i="3"/>
  <c r="F336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C317" i="3"/>
  <c r="E316" i="3"/>
  <c r="D316" i="3"/>
  <c r="C316" i="3"/>
  <c r="E315" i="3"/>
  <c r="D315" i="3"/>
  <c r="C315" i="3"/>
  <c r="F314" i="3"/>
  <c r="E314" i="3"/>
  <c r="D314" i="3"/>
  <c r="F313" i="3"/>
  <c r="E313" i="3"/>
  <c r="D313" i="3"/>
  <c r="F312" i="3"/>
  <c r="E312" i="3"/>
  <c r="D312" i="3"/>
  <c r="F311" i="3"/>
  <c r="E311" i="3"/>
  <c r="D311" i="3"/>
  <c r="F310" i="3"/>
  <c r="E310" i="3"/>
  <c r="D310" i="3"/>
  <c r="F309" i="3"/>
  <c r="E309" i="3"/>
  <c r="D309" i="3"/>
  <c r="F308" i="3"/>
  <c r="E308" i="3"/>
  <c r="D308" i="3"/>
  <c r="F307" i="3"/>
  <c r="E307" i="3"/>
  <c r="D307" i="3"/>
  <c r="F306" i="3"/>
  <c r="E306" i="3"/>
  <c r="D306" i="3"/>
  <c r="F305" i="3"/>
  <c r="E305" i="3"/>
  <c r="D305" i="3"/>
  <c r="F304" i="3"/>
  <c r="E304" i="3"/>
  <c r="D304" i="3"/>
  <c r="F303" i="3"/>
  <c r="E303" i="3"/>
  <c r="D303" i="3"/>
  <c r="F302" i="3"/>
  <c r="E302" i="3"/>
  <c r="D302" i="3"/>
  <c r="F301" i="3"/>
  <c r="E301" i="3"/>
  <c r="D301" i="3"/>
  <c r="F300" i="3"/>
  <c r="E300" i="3"/>
  <c r="D300" i="3"/>
  <c r="F299" i="3"/>
  <c r="E299" i="3"/>
  <c r="D299" i="3"/>
  <c r="F298" i="3"/>
  <c r="E298" i="3"/>
  <c r="D298" i="3"/>
  <c r="F297" i="3"/>
  <c r="E297" i="3"/>
  <c r="D297" i="3"/>
  <c r="F296" i="3"/>
  <c r="E296" i="3"/>
  <c r="D296" i="3"/>
  <c r="F295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F273" i="3"/>
  <c r="E273" i="3"/>
  <c r="F272" i="3"/>
  <c r="E272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E263" i="3"/>
  <c r="F262" i="3"/>
  <c r="E262" i="3"/>
  <c r="F261" i="3"/>
  <c r="E261" i="3"/>
  <c r="F260" i="3"/>
  <c r="E260" i="3"/>
  <c r="F259" i="3"/>
  <c r="E259" i="3"/>
  <c r="F258" i="3"/>
  <c r="E258" i="3"/>
  <c r="F257" i="3"/>
  <c r="E257" i="3"/>
  <c r="F256" i="3"/>
  <c r="E256" i="3"/>
  <c r="F255" i="3"/>
  <c r="E255" i="3"/>
  <c r="F254" i="3"/>
  <c r="E254" i="3"/>
  <c r="F253" i="3"/>
  <c r="E253" i="3"/>
  <c r="F252" i="3"/>
  <c r="E252" i="3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F244" i="3"/>
  <c r="E244" i="3"/>
  <c r="F243" i="3"/>
  <c r="E243" i="3"/>
  <c r="F242" i="3"/>
  <c r="E242" i="3"/>
  <c r="F241" i="3"/>
  <c r="E241" i="3"/>
  <c r="F240" i="3"/>
  <c r="E240" i="3"/>
  <c r="F239" i="3"/>
  <c r="E239" i="3"/>
  <c r="F238" i="3"/>
  <c r="E238" i="3"/>
  <c r="F237" i="3"/>
  <c r="E237" i="3"/>
  <c r="F236" i="3"/>
  <c r="E236" i="3"/>
  <c r="F235" i="3"/>
  <c r="E235" i="3"/>
  <c r="F234" i="3"/>
  <c r="E234" i="3"/>
  <c r="F233" i="3"/>
  <c r="E233" i="3"/>
  <c r="F232" i="3"/>
  <c r="E232" i="3"/>
  <c r="E560" i="3" s="1"/>
  <c r="D560" i="3"/>
  <c r="F231" i="3"/>
  <c r="E231" i="3"/>
  <c r="E559" i="3" s="1"/>
  <c r="D559" i="3"/>
  <c r="F230" i="3"/>
  <c r="E230" i="3"/>
  <c r="E558" i="3" s="1"/>
  <c r="D558" i="3"/>
  <c r="F229" i="3"/>
  <c r="E229" i="3"/>
  <c r="E557" i="3" s="1"/>
  <c r="D557" i="3"/>
  <c r="F228" i="3"/>
  <c r="E228" i="3"/>
  <c r="E556" i="3" s="1"/>
  <c r="D556" i="3"/>
  <c r="F227" i="3"/>
  <c r="E227" i="3"/>
  <c r="E555" i="3" s="1"/>
  <c r="D555" i="3"/>
  <c r="F226" i="3"/>
  <c r="E226" i="3"/>
  <c r="E554" i="3" s="1"/>
  <c r="D554" i="3"/>
  <c r="F225" i="3"/>
  <c r="E225" i="3"/>
  <c r="E553" i="3" s="1"/>
  <c r="D553" i="3"/>
  <c r="F224" i="3"/>
  <c r="E224" i="3"/>
  <c r="E552" i="3" s="1"/>
  <c r="D552" i="3"/>
  <c r="F223" i="3"/>
  <c r="E223" i="3"/>
  <c r="E551" i="3" s="1"/>
  <c r="D551" i="3"/>
  <c r="F222" i="3"/>
  <c r="E222" i="3"/>
  <c r="E550" i="3" s="1"/>
  <c r="D550" i="3"/>
  <c r="F221" i="3"/>
  <c r="E221" i="3"/>
  <c r="E549" i="3" s="1"/>
  <c r="D549" i="3"/>
  <c r="F220" i="3"/>
  <c r="E220" i="3"/>
  <c r="E548" i="3" s="1"/>
  <c r="D548" i="3"/>
  <c r="F219" i="3"/>
  <c r="E219" i="3"/>
  <c r="E547" i="3" s="1"/>
  <c r="D547" i="3"/>
  <c r="F218" i="3"/>
  <c r="E218" i="3"/>
  <c r="E546" i="3" s="1"/>
  <c r="D546" i="3"/>
  <c r="F217" i="3"/>
  <c r="E217" i="3"/>
  <c r="E545" i="3" s="1"/>
  <c r="D545" i="3"/>
  <c r="F216" i="3"/>
  <c r="E216" i="3"/>
  <c r="E544" i="3" s="1"/>
  <c r="D544" i="3"/>
  <c r="F215" i="3"/>
  <c r="E215" i="3"/>
  <c r="E543" i="3" s="1"/>
  <c r="D543" i="3"/>
  <c r="F214" i="3"/>
  <c r="E214" i="3"/>
  <c r="E542" i="3" s="1"/>
  <c r="D542" i="3"/>
  <c r="F213" i="3"/>
  <c r="E213" i="3"/>
  <c r="E541" i="3" s="1"/>
  <c r="D541" i="3"/>
  <c r="F212" i="3"/>
  <c r="E212" i="3"/>
  <c r="E540" i="3" s="1"/>
  <c r="D540" i="3"/>
  <c r="F211" i="3"/>
  <c r="E211" i="3"/>
  <c r="E539" i="3" s="1"/>
  <c r="D539" i="3"/>
  <c r="F210" i="3"/>
  <c r="E210" i="3"/>
  <c r="E538" i="3" s="1"/>
  <c r="D538" i="3"/>
  <c r="F209" i="3"/>
  <c r="E209" i="3"/>
  <c r="E537" i="3" s="1"/>
  <c r="D537" i="3"/>
  <c r="F208" i="3"/>
  <c r="E208" i="3"/>
  <c r="E536" i="3" s="1"/>
  <c r="D536" i="3"/>
  <c r="F207" i="3"/>
  <c r="E207" i="3"/>
  <c r="E535" i="3" s="1"/>
  <c r="D535" i="3"/>
  <c r="F206" i="3"/>
  <c r="E206" i="3"/>
  <c r="E534" i="3" s="1"/>
  <c r="D534" i="3"/>
  <c r="F205" i="3"/>
  <c r="E205" i="3"/>
  <c r="E533" i="3" s="1"/>
  <c r="D533" i="3"/>
  <c r="F204" i="3"/>
  <c r="E204" i="3"/>
  <c r="E532" i="3" s="1"/>
  <c r="D532" i="3"/>
  <c r="F203" i="3"/>
  <c r="E203" i="3"/>
  <c r="E531" i="3" s="1"/>
  <c r="D531" i="3"/>
  <c r="F202" i="3"/>
  <c r="E202" i="3"/>
  <c r="E530" i="3" s="1"/>
  <c r="D530" i="3"/>
  <c r="F201" i="3"/>
  <c r="E201" i="3"/>
  <c r="E529" i="3" s="1"/>
  <c r="D529" i="3"/>
  <c r="F200" i="3"/>
  <c r="E200" i="3"/>
  <c r="E528" i="3" s="1"/>
  <c r="D528" i="3"/>
  <c r="F199" i="3"/>
  <c r="E199" i="3"/>
  <c r="E527" i="3" s="1"/>
  <c r="D527" i="3"/>
  <c r="F198" i="3"/>
  <c r="E198" i="3"/>
  <c r="E526" i="3" s="1"/>
  <c r="D526" i="3"/>
  <c r="F197" i="3"/>
  <c r="E197" i="3"/>
  <c r="E525" i="3" s="1"/>
  <c r="D525" i="3"/>
  <c r="F196" i="3"/>
  <c r="E196" i="3"/>
  <c r="E524" i="3" s="1"/>
  <c r="D524" i="3"/>
  <c r="F195" i="3"/>
  <c r="E195" i="3"/>
  <c r="E523" i="3" s="1"/>
  <c r="D523" i="3"/>
  <c r="F194" i="3"/>
  <c r="E194" i="3"/>
  <c r="E522" i="3" s="1"/>
  <c r="D522" i="3"/>
  <c r="F193" i="3"/>
  <c r="E193" i="3"/>
  <c r="E521" i="3" s="1"/>
  <c r="D521" i="3"/>
  <c r="F192" i="3"/>
  <c r="E192" i="3"/>
  <c r="E520" i="3" s="1"/>
  <c r="D520" i="3"/>
  <c r="F191" i="3"/>
  <c r="E191" i="3"/>
  <c r="D191" i="3"/>
  <c r="F190" i="3"/>
  <c r="E190" i="3"/>
  <c r="D190" i="3"/>
  <c r="F189" i="3"/>
  <c r="E189" i="3"/>
  <c r="D189" i="3"/>
  <c r="F188" i="3"/>
  <c r="E188" i="3"/>
  <c r="D188" i="3"/>
  <c r="F187" i="3"/>
  <c r="E187" i="3"/>
  <c r="D187" i="3"/>
  <c r="F186" i="3"/>
  <c r="E186" i="3"/>
  <c r="D186" i="3"/>
  <c r="F185" i="3"/>
  <c r="E185" i="3"/>
  <c r="D185" i="3"/>
  <c r="F184" i="3"/>
  <c r="E184" i="3"/>
  <c r="D184" i="3"/>
  <c r="F183" i="3"/>
  <c r="E183" i="3"/>
  <c r="D183" i="3"/>
  <c r="F182" i="3"/>
  <c r="E182" i="3"/>
  <c r="D182" i="3"/>
  <c r="F181" i="3"/>
  <c r="E181" i="3"/>
  <c r="D181" i="3"/>
  <c r="F180" i="3"/>
  <c r="E180" i="3"/>
  <c r="D180" i="3"/>
  <c r="F179" i="3"/>
  <c r="E179" i="3"/>
  <c r="D179" i="3"/>
  <c r="F178" i="3"/>
  <c r="E178" i="3"/>
  <c r="D178" i="3"/>
  <c r="F177" i="3"/>
  <c r="E177" i="3"/>
  <c r="D177" i="3"/>
  <c r="F176" i="3"/>
  <c r="E176" i="3"/>
  <c r="D176" i="3"/>
  <c r="F175" i="3"/>
  <c r="E175" i="3"/>
  <c r="D175" i="3"/>
  <c r="F174" i="3"/>
  <c r="E174" i="3"/>
  <c r="D174" i="3"/>
  <c r="F173" i="3"/>
  <c r="E173" i="3"/>
  <c r="D173" i="3"/>
  <c r="F172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AP58" i="3"/>
  <c r="C519" i="3" s="1"/>
  <c r="AO58" i="3"/>
  <c r="C518" i="3" s="1"/>
  <c r="AN58" i="3"/>
  <c r="C517" i="3" s="1"/>
  <c r="AM58" i="3"/>
  <c r="C516" i="3" s="1"/>
  <c r="AL58" i="3"/>
  <c r="C515" i="3" s="1"/>
  <c r="AK58" i="3"/>
  <c r="C514" i="3" s="1"/>
  <c r="AJ58" i="3"/>
  <c r="C513" i="3" s="1"/>
  <c r="AI58" i="3"/>
  <c r="C512" i="3" s="1"/>
  <c r="AH58" i="3"/>
  <c r="C511" i="3" s="1"/>
  <c r="AG58" i="3"/>
  <c r="C510" i="3" s="1"/>
  <c r="AF58" i="3"/>
  <c r="C509" i="3" s="1"/>
  <c r="AE58" i="3"/>
  <c r="C508" i="3" s="1"/>
  <c r="AD58" i="3"/>
  <c r="C507" i="3" s="1"/>
  <c r="AC58" i="3"/>
  <c r="C506" i="3" s="1"/>
  <c r="AB58" i="3"/>
  <c r="C505" i="3" s="1"/>
  <c r="AA58" i="3"/>
  <c r="C504" i="3" s="1"/>
  <c r="Z58" i="3"/>
  <c r="C503" i="3" s="1"/>
  <c r="Y58" i="3"/>
  <c r="C502" i="3" s="1"/>
  <c r="X58" i="3"/>
  <c r="C501" i="3" s="1"/>
  <c r="W58" i="3"/>
  <c r="C500" i="3" s="1"/>
  <c r="V58" i="3"/>
  <c r="C499" i="3" s="1"/>
  <c r="U58" i="3"/>
  <c r="C498" i="3" s="1"/>
  <c r="T58" i="3"/>
  <c r="C497" i="3" s="1"/>
  <c r="S58" i="3"/>
  <c r="C496" i="3" s="1"/>
  <c r="R58" i="3"/>
  <c r="C495" i="3" s="1"/>
  <c r="C494" i="3"/>
  <c r="C493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2" i="3"/>
  <c r="C441" i="3"/>
  <c r="AP54" i="3"/>
  <c r="C437" i="3" s="1"/>
  <c r="AO54" i="3"/>
  <c r="C436" i="3" s="1"/>
  <c r="AN54" i="3"/>
  <c r="C435" i="3" s="1"/>
  <c r="AM54" i="3"/>
  <c r="C434" i="3" s="1"/>
  <c r="AL54" i="3"/>
  <c r="C433" i="3" s="1"/>
  <c r="AK54" i="3"/>
  <c r="C432" i="3" s="1"/>
  <c r="AJ54" i="3"/>
  <c r="C431" i="3" s="1"/>
  <c r="AI54" i="3"/>
  <c r="C430" i="3" s="1"/>
  <c r="AH54" i="3"/>
  <c r="C429" i="3" s="1"/>
  <c r="AG54" i="3"/>
  <c r="C428" i="3" s="1"/>
  <c r="AF54" i="3"/>
  <c r="C427" i="3" s="1"/>
  <c r="AE54" i="3"/>
  <c r="C426" i="3" s="1"/>
  <c r="AD54" i="3"/>
  <c r="C425" i="3" s="1"/>
  <c r="AC54" i="3"/>
  <c r="C424" i="3" s="1"/>
  <c r="AB54" i="3"/>
  <c r="C423" i="3" s="1"/>
  <c r="AA54" i="3"/>
  <c r="C422" i="3" s="1"/>
  <c r="Z54" i="3"/>
  <c r="C421" i="3" s="1"/>
  <c r="Y54" i="3"/>
  <c r="C420" i="3" s="1"/>
  <c r="X54" i="3"/>
  <c r="C419" i="3" s="1"/>
  <c r="W54" i="3"/>
  <c r="C418" i="3" s="1"/>
  <c r="V54" i="3"/>
  <c r="C417" i="3" s="1"/>
  <c r="U54" i="3"/>
  <c r="C416" i="3" s="1"/>
  <c r="T54" i="3"/>
  <c r="C415" i="3" s="1"/>
  <c r="S54" i="3"/>
  <c r="C414" i="3" s="1"/>
  <c r="R54" i="3"/>
  <c r="C413" i="3" s="1"/>
  <c r="C412" i="3"/>
  <c r="C411" i="3"/>
  <c r="C410" i="3"/>
  <c r="C409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0" i="3"/>
  <c r="C319" i="3"/>
  <c r="C318" i="3"/>
  <c r="C314" i="3"/>
  <c r="C313" i="3"/>
  <c r="C312" i="3"/>
  <c r="C311" i="3"/>
  <c r="C307" i="3"/>
  <c r="C306" i="3"/>
  <c r="C305" i="3"/>
  <c r="C304" i="3"/>
  <c r="C303" i="3"/>
  <c r="C302" i="3"/>
  <c r="C299" i="3"/>
  <c r="C298" i="3"/>
  <c r="C297" i="3"/>
  <c r="C296" i="3"/>
  <c r="C295" i="3"/>
  <c r="C292" i="3"/>
  <c r="C291" i="3"/>
  <c r="C290" i="3"/>
  <c r="C289" i="3"/>
  <c r="C288" i="3"/>
  <c r="C232" i="3"/>
  <c r="C231" i="3"/>
  <c r="C230" i="3"/>
  <c r="C228" i="3"/>
  <c r="C226" i="3"/>
  <c r="C225" i="3"/>
  <c r="C224" i="3"/>
  <c r="C223" i="3"/>
  <c r="C222" i="3"/>
  <c r="C220" i="3"/>
  <c r="C218" i="3"/>
  <c r="C217" i="3"/>
  <c r="C216" i="3"/>
  <c r="C215" i="3"/>
  <c r="C214" i="3"/>
  <c r="C212" i="3"/>
  <c r="C210" i="3"/>
  <c r="C209" i="3"/>
  <c r="C208" i="3"/>
  <c r="C207" i="3"/>
  <c r="AP48" i="3"/>
  <c r="C191" i="3" s="1"/>
  <c r="AO48" i="3"/>
  <c r="C190" i="3" s="1"/>
  <c r="AN48" i="3"/>
  <c r="C189" i="3" s="1"/>
  <c r="AM48" i="3"/>
  <c r="C188" i="3" s="1"/>
  <c r="AL48" i="3"/>
  <c r="C187" i="3" s="1"/>
  <c r="AK48" i="3"/>
  <c r="C186" i="3" s="1"/>
  <c r="AJ48" i="3"/>
  <c r="C185" i="3" s="1"/>
  <c r="AI48" i="3"/>
  <c r="C184" i="3" s="1"/>
  <c r="AH48" i="3"/>
  <c r="C183" i="3" s="1"/>
  <c r="AG48" i="3"/>
  <c r="C182" i="3" s="1"/>
  <c r="AF48" i="3"/>
  <c r="C181" i="3" s="1"/>
  <c r="AE48" i="3"/>
  <c r="C180" i="3" s="1"/>
  <c r="AD48" i="3"/>
  <c r="C179" i="3" s="1"/>
  <c r="AC48" i="3"/>
  <c r="C178" i="3" s="1"/>
  <c r="AB48" i="3"/>
  <c r="C177" i="3" s="1"/>
  <c r="AA48" i="3"/>
  <c r="C176" i="3" s="1"/>
  <c r="Z48" i="3"/>
  <c r="C175" i="3" s="1"/>
  <c r="Y48" i="3"/>
  <c r="C174" i="3" s="1"/>
  <c r="X48" i="3"/>
  <c r="C173" i="3" s="1"/>
  <c r="W48" i="3"/>
  <c r="C172" i="3" s="1"/>
  <c r="V48" i="3"/>
  <c r="C171" i="3" s="1"/>
  <c r="U48" i="3"/>
  <c r="C170" i="3" s="1"/>
  <c r="T48" i="3"/>
  <c r="C169" i="3" s="1"/>
  <c r="S48" i="3"/>
  <c r="C168" i="3" s="1"/>
  <c r="R48" i="3"/>
  <c r="C167" i="3" s="1"/>
  <c r="Q48" i="3"/>
  <c r="C166" i="3" s="1"/>
  <c r="C165" i="3"/>
  <c r="C164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G40" i="3"/>
  <c r="G39" i="3"/>
  <c r="C580" i="3" l="1"/>
  <c r="C588" i="3"/>
  <c r="C596" i="3"/>
  <c r="C573" i="3"/>
  <c r="C581" i="3"/>
  <c r="C589" i="3"/>
  <c r="C597" i="3"/>
  <c r="C574" i="3"/>
  <c r="C582" i="3"/>
  <c r="C590" i="3"/>
  <c r="C598" i="3"/>
  <c r="C587" i="3"/>
  <c r="C579" i="3"/>
  <c r="C595" i="3"/>
  <c r="C594" i="3"/>
  <c r="C592" i="3"/>
  <c r="C599" i="3"/>
  <c r="C593" i="3"/>
  <c r="C575" i="3"/>
  <c r="C577" i="3"/>
  <c r="C586" i="3"/>
  <c r="C584" i="3"/>
  <c r="C601" i="3"/>
  <c r="C583" i="3"/>
  <c r="C585" i="3"/>
  <c r="C591" i="3"/>
  <c r="C578" i="3"/>
  <c r="C576" i="3"/>
  <c r="C600" i="3"/>
  <c r="C440" i="3"/>
  <c r="C439" i="3"/>
  <c r="C492" i="3"/>
  <c r="C163" i="3"/>
  <c r="C369" i="3"/>
  <c r="C206" i="3"/>
  <c r="C80" i="3"/>
  <c r="C408" i="3"/>
  <c r="C287" i="3"/>
  <c r="C270" i="3"/>
  <c r="C555" i="3"/>
  <c r="C262" i="3"/>
  <c r="C263" i="3"/>
  <c r="C538" i="3"/>
  <c r="C273" i="3"/>
  <c r="C552" i="3"/>
  <c r="C553" i="3"/>
  <c r="C251" i="3"/>
  <c r="C554" i="3"/>
  <c r="C560" i="3"/>
  <c r="C250" i="3"/>
  <c r="C272" i="3"/>
  <c r="C542" i="3"/>
  <c r="C543" i="3"/>
  <c r="C254" i="3"/>
  <c r="C309" i="3"/>
  <c r="C300" i="3"/>
  <c r="C264" i="3"/>
  <c r="C301" i="3"/>
  <c r="C255" i="3"/>
  <c r="C265" i="3"/>
  <c r="C535" i="3"/>
  <c r="C545" i="3"/>
  <c r="C534" i="3"/>
  <c r="C544" i="3"/>
  <c r="C246" i="3"/>
  <c r="C256" i="3"/>
  <c r="C266" i="3"/>
  <c r="C536" i="3"/>
  <c r="C546" i="3"/>
  <c r="C558" i="3"/>
  <c r="C293" i="3"/>
  <c r="C252" i="3"/>
  <c r="C211" i="3"/>
  <c r="C260" i="3"/>
  <c r="C219" i="3"/>
  <c r="C268" i="3"/>
  <c r="C227" i="3"/>
  <c r="C247" i="3"/>
  <c r="C257" i="3"/>
  <c r="C267" i="3"/>
  <c r="C537" i="3"/>
  <c r="C547" i="3"/>
  <c r="C559" i="3"/>
  <c r="C294" i="3"/>
  <c r="C310" i="3"/>
  <c r="C550" i="3"/>
  <c r="C248" i="3"/>
  <c r="C258" i="3"/>
  <c r="C308" i="3"/>
  <c r="C533" i="3"/>
  <c r="C541" i="3"/>
  <c r="C549" i="3"/>
  <c r="C557" i="3"/>
  <c r="C249" i="3"/>
  <c r="C259" i="3"/>
  <c r="C271" i="3"/>
  <c r="C539" i="3"/>
  <c r="C551" i="3"/>
  <c r="C321" i="3"/>
  <c r="C205" i="3"/>
  <c r="C213" i="3"/>
  <c r="C221" i="3"/>
  <c r="C229" i="3"/>
  <c r="C532" i="3"/>
  <c r="C540" i="3"/>
  <c r="C548" i="3"/>
  <c r="C556" i="3"/>
  <c r="C245" i="3"/>
  <c r="C253" i="3"/>
  <c r="C261" i="3"/>
  <c r="C269" i="3"/>
  <c r="C368" i="3" l="1"/>
  <c r="C121" i="3"/>
  <c r="C407" i="3"/>
  <c r="C162" i="3"/>
  <c r="C79" i="3"/>
  <c r="C613" i="3"/>
  <c r="C491" i="3"/>
  <c r="C286" i="3"/>
  <c r="C204" i="3"/>
  <c r="D104" i="3"/>
  <c r="D96" i="3"/>
  <c r="D88" i="3"/>
  <c r="D80" i="3"/>
  <c r="D74" i="3"/>
  <c r="D92" i="3"/>
  <c r="D76" i="3"/>
  <c r="D109" i="3"/>
  <c r="D101" i="3"/>
  <c r="D93" i="3"/>
  <c r="D85" i="3"/>
  <c r="D77" i="3"/>
  <c r="D70" i="3"/>
  <c r="D84" i="3"/>
  <c r="D72" i="3"/>
  <c r="D106" i="3"/>
  <c r="D98" i="3"/>
  <c r="D90" i="3"/>
  <c r="D82" i="3"/>
  <c r="D73" i="3"/>
  <c r="D69" i="3"/>
  <c r="D103" i="3"/>
  <c r="D95" i="3"/>
  <c r="D87" i="3"/>
  <c r="D79" i="3"/>
  <c r="D97" i="3"/>
  <c r="D102" i="3"/>
  <c r="D94" i="3"/>
  <c r="D86" i="3"/>
  <c r="D78" i="3"/>
  <c r="D75" i="3"/>
  <c r="D71" i="3"/>
  <c r="D100" i="3"/>
  <c r="D105" i="3"/>
  <c r="D89" i="3"/>
  <c r="D107" i="3"/>
  <c r="D99" i="3"/>
  <c r="D91" i="3"/>
  <c r="D83" i="3"/>
  <c r="D108" i="3"/>
  <c r="D81" i="3"/>
  <c r="D148" i="3"/>
  <c r="D140" i="3"/>
  <c r="D132" i="3"/>
  <c r="D124" i="3"/>
  <c r="D149" i="3"/>
  <c r="D145" i="3"/>
  <c r="D137" i="3"/>
  <c r="D129" i="3"/>
  <c r="D121" i="3"/>
  <c r="D115" i="3"/>
  <c r="D128" i="3"/>
  <c r="D120" i="3"/>
  <c r="D150" i="3"/>
  <c r="D142" i="3"/>
  <c r="D134" i="3"/>
  <c r="D126" i="3"/>
  <c r="D118" i="3"/>
  <c r="D111" i="3"/>
  <c r="D144" i="3"/>
  <c r="D133" i="3"/>
  <c r="D147" i="3"/>
  <c r="D139" i="3"/>
  <c r="D131" i="3"/>
  <c r="D123" i="3"/>
  <c r="D114" i="3"/>
  <c r="D113" i="3"/>
  <c r="D146" i="3"/>
  <c r="D138" i="3"/>
  <c r="D130" i="3"/>
  <c r="D122" i="3"/>
  <c r="D136" i="3"/>
  <c r="D141" i="3"/>
  <c r="D125" i="3"/>
  <c r="D117" i="3"/>
  <c r="D143" i="3"/>
  <c r="D135" i="3"/>
  <c r="D127" i="3"/>
  <c r="D119" i="3"/>
  <c r="D116" i="3"/>
  <c r="D112" i="3"/>
  <c r="D110" i="3"/>
  <c r="E145" i="3"/>
  <c r="E137" i="3"/>
  <c r="E129" i="3"/>
  <c r="E121" i="3"/>
  <c r="E115" i="3"/>
  <c r="E110" i="3"/>
  <c r="E122" i="3"/>
  <c r="E150" i="3"/>
  <c r="E142" i="3"/>
  <c r="E134" i="3"/>
  <c r="E126" i="3"/>
  <c r="E118" i="3"/>
  <c r="E111" i="3"/>
  <c r="E141" i="3"/>
  <c r="E147" i="3"/>
  <c r="E139" i="3"/>
  <c r="E131" i="3"/>
  <c r="E123" i="3"/>
  <c r="E114" i="3"/>
  <c r="E125" i="3"/>
  <c r="E113" i="3"/>
  <c r="E144" i="3"/>
  <c r="E136" i="3"/>
  <c r="E128" i="3"/>
  <c r="E120" i="3"/>
  <c r="E133" i="3"/>
  <c r="E146" i="3"/>
  <c r="E130" i="3"/>
  <c r="E143" i="3"/>
  <c r="E135" i="3"/>
  <c r="E127" i="3"/>
  <c r="E119" i="3"/>
  <c r="E116" i="3"/>
  <c r="E112" i="3"/>
  <c r="E149" i="3"/>
  <c r="E117" i="3"/>
  <c r="E148" i="3"/>
  <c r="E140" i="3"/>
  <c r="E132" i="3"/>
  <c r="E124" i="3"/>
  <c r="E138" i="3"/>
  <c r="E109" i="3"/>
  <c r="E101" i="3"/>
  <c r="E93" i="3"/>
  <c r="E85" i="3"/>
  <c r="E77" i="3"/>
  <c r="E70" i="3"/>
  <c r="E102" i="3"/>
  <c r="E86" i="3"/>
  <c r="E71" i="3"/>
  <c r="E106" i="3"/>
  <c r="E98" i="3"/>
  <c r="E90" i="3"/>
  <c r="E82" i="3"/>
  <c r="E73" i="3"/>
  <c r="E97" i="3"/>
  <c r="E75" i="3"/>
  <c r="E103" i="3"/>
  <c r="E95" i="3"/>
  <c r="E87" i="3"/>
  <c r="E79" i="3"/>
  <c r="E105" i="3"/>
  <c r="E108" i="3"/>
  <c r="E100" i="3"/>
  <c r="E92" i="3"/>
  <c r="E84" i="3"/>
  <c r="E76" i="3"/>
  <c r="E72" i="3"/>
  <c r="E69" i="3"/>
  <c r="E107" i="3"/>
  <c r="E99" i="3"/>
  <c r="E91" i="3"/>
  <c r="E83" i="3"/>
  <c r="E89" i="3"/>
  <c r="E94" i="3"/>
  <c r="E78" i="3"/>
  <c r="E104" i="3"/>
  <c r="E96" i="3"/>
  <c r="E88" i="3"/>
  <c r="E80" i="3"/>
  <c r="E74" i="3"/>
  <c r="E81" i="3"/>
  <c r="C322" i="3"/>
  <c r="C443" i="3"/>
  <c r="C285" i="3" l="1"/>
  <c r="C572" i="3"/>
  <c r="C161" i="3"/>
  <c r="C490" i="3"/>
  <c r="C406" i="3"/>
  <c r="C612" i="3"/>
  <c r="C120" i="3"/>
  <c r="C531" i="3"/>
  <c r="C244" i="3"/>
  <c r="C203" i="3"/>
  <c r="C78" i="3"/>
  <c r="C367" i="3"/>
  <c r="C200" i="3"/>
  <c r="C160" i="3"/>
  <c r="C444" i="3"/>
  <c r="C119" i="3"/>
  <c r="C323" i="3"/>
  <c r="C241" i="3" l="1"/>
  <c r="C118" i="3"/>
  <c r="C528" i="3"/>
  <c r="C364" i="3"/>
  <c r="C283" i="3"/>
  <c r="C570" i="3"/>
  <c r="C159" i="3"/>
  <c r="C405" i="3"/>
  <c r="C240" i="3"/>
  <c r="C199" i="3"/>
  <c r="C527" i="3"/>
  <c r="C489" i="3"/>
  <c r="C363" i="3"/>
  <c r="C117" i="3"/>
  <c r="C158" i="3"/>
  <c r="C77" i="3"/>
  <c r="C611" i="3"/>
  <c r="C569" i="3"/>
  <c r="C282" i="3"/>
  <c r="C445" i="3"/>
  <c r="C571" i="3"/>
  <c r="C284" i="3"/>
  <c r="C366" i="3"/>
  <c r="C365" i="3"/>
  <c r="C325" i="3"/>
  <c r="C324" i="3"/>
  <c r="E35" i="2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C362" i="3" l="1"/>
  <c r="C76" i="3"/>
  <c r="C488" i="3"/>
  <c r="C610" i="3"/>
  <c r="C404" i="3"/>
  <c r="C157" i="3"/>
  <c r="C281" i="3"/>
  <c r="C568" i="3"/>
  <c r="C116" i="3"/>
  <c r="C198" i="3"/>
  <c r="C239" i="3"/>
  <c r="C526" i="3"/>
  <c r="C446" i="3"/>
  <c r="C609" i="3" l="1"/>
  <c r="C280" i="3"/>
  <c r="C567" i="3"/>
  <c r="C487" i="3"/>
  <c r="C156" i="3"/>
  <c r="C75" i="3"/>
  <c r="C115" i="3"/>
  <c r="C525" i="3"/>
  <c r="C197" i="3"/>
  <c r="C238" i="3"/>
  <c r="C403" i="3"/>
  <c r="C361" i="3"/>
  <c r="F106" i="3"/>
  <c r="F98" i="3"/>
  <c r="F90" i="3"/>
  <c r="F103" i="3"/>
  <c r="F95" i="3"/>
  <c r="F107" i="3"/>
  <c r="F108" i="3"/>
  <c r="F100" i="3"/>
  <c r="F92" i="3"/>
  <c r="F94" i="3"/>
  <c r="F91" i="3"/>
  <c r="F105" i="3"/>
  <c r="F97" i="3"/>
  <c r="F102" i="3"/>
  <c r="F104" i="3"/>
  <c r="F96" i="3"/>
  <c r="F109" i="3"/>
  <c r="F101" i="3"/>
  <c r="F93" i="3"/>
  <c r="F99" i="3"/>
  <c r="C447" i="3"/>
  <c r="G21" i="2"/>
  <c r="G19" i="2"/>
  <c r="G16" i="2"/>
  <c r="G15" i="2"/>
  <c r="G13" i="2"/>
  <c r="G10" i="2"/>
  <c r="G9" i="2"/>
  <c r="G8" i="2"/>
  <c r="G5" i="2"/>
  <c r="G2" i="2"/>
  <c r="C196" i="3" l="1"/>
  <c r="C237" i="3"/>
  <c r="C524" i="3"/>
  <c r="C486" i="3"/>
  <c r="C155" i="3"/>
  <c r="C279" i="3"/>
  <c r="C566" i="3"/>
  <c r="C608" i="3"/>
  <c r="C360" i="3"/>
  <c r="C114" i="3"/>
  <c r="C402" i="3"/>
  <c r="C74" i="3"/>
  <c r="F293" i="3"/>
  <c r="F285" i="3"/>
  <c r="F286" i="3"/>
  <c r="F290" i="3"/>
  <c r="F282" i="3"/>
  <c r="F289" i="3"/>
  <c r="F287" i="3"/>
  <c r="F292" i="3"/>
  <c r="F284" i="3"/>
  <c r="F281" i="3"/>
  <c r="F291" i="3"/>
  <c r="F283" i="3"/>
  <c r="F288" i="3"/>
  <c r="F294" i="3"/>
  <c r="F170" i="3"/>
  <c r="F162" i="3"/>
  <c r="F167" i="3"/>
  <c r="F159" i="3"/>
  <c r="F158" i="3"/>
  <c r="F171" i="3"/>
  <c r="F164" i="3"/>
  <c r="F169" i="3"/>
  <c r="F161" i="3"/>
  <c r="F163" i="3"/>
  <c r="F168" i="3"/>
  <c r="F160" i="3"/>
  <c r="F165" i="3"/>
  <c r="F166" i="3"/>
  <c r="F329" i="3"/>
  <c r="F325" i="3"/>
  <c r="F334" i="3"/>
  <c r="F326" i="3"/>
  <c r="F333" i="3"/>
  <c r="F331" i="3"/>
  <c r="F323" i="3"/>
  <c r="F328" i="3"/>
  <c r="F335" i="3"/>
  <c r="F327" i="3"/>
  <c r="F330" i="3"/>
  <c r="F332" i="3"/>
  <c r="F324" i="3"/>
  <c r="F322" i="3"/>
  <c r="F374" i="3"/>
  <c r="F366" i="3"/>
  <c r="F370" i="3"/>
  <c r="F371" i="3"/>
  <c r="F363" i="3"/>
  <c r="F376" i="3"/>
  <c r="F368" i="3"/>
  <c r="F367" i="3"/>
  <c r="F373" i="3"/>
  <c r="F365" i="3"/>
  <c r="F372" i="3"/>
  <c r="F364" i="3"/>
  <c r="F375" i="3"/>
  <c r="F369" i="3"/>
  <c r="C449" i="3"/>
  <c r="C448" i="3"/>
  <c r="C359" i="3" l="1"/>
  <c r="C154" i="3"/>
  <c r="C485" i="3"/>
  <c r="C73" i="3"/>
  <c r="C113" i="3"/>
  <c r="C607" i="3"/>
  <c r="C401" i="3"/>
  <c r="C565" i="3"/>
  <c r="C278" i="3"/>
  <c r="C523" i="3"/>
  <c r="C236" i="3"/>
  <c r="C195" i="3"/>
  <c r="F150" i="3"/>
  <c r="F142" i="3"/>
  <c r="F134" i="3"/>
  <c r="F138" i="3"/>
  <c r="F135" i="3"/>
  <c r="F147" i="3"/>
  <c r="F139" i="3"/>
  <c r="F131" i="3"/>
  <c r="F143" i="3"/>
  <c r="F144" i="3"/>
  <c r="F136" i="3"/>
  <c r="F149" i="3"/>
  <c r="F141" i="3"/>
  <c r="F133" i="3"/>
  <c r="F146" i="3"/>
  <c r="F148" i="3"/>
  <c r="F140" i="3"/>
  <c r="F132" i="3"/>
  <c r="F145" i="3"/>
  <c r="F137" i="3"/>
  <c r="G3" i="2"/>
  <c r="G4" i="2"/>
  <c r="F125" i="3" s="1"/>
  <c r="C72" i="3" l="1"/>
  <c r="C564" i="3"/>
  <c r="C277" i="3"/>
  <c r="C400" i="3"/>
  <c r="C484" i="3"/>
  <c r="C606" i="3"/>
  <c r="C153" i="3"/>
  <c r="C194" i="3"/>
  <c r="C235" i="3"/>
  <c r="C522" i="3"/>
  <c r="C112" i="3"/>
  <c r="F129" i="3"/>
  <c r="F128" i="3"/>
  <c r="F117" i="3"/>
  <c r="F127" i="3"/>
  <c r="F119" i="3"/>
  <c r="F81" i="3"/>
  <c r="F86" i="3"/>
  <c r="F82" i="3"/>
  <c r="F83" i="3"/>
  <c r="F87" i="3"/>
  <c r="F88" i="3"/>
  <c r="F79" i="3"/>
  <c r="F80" i="3"/>
  <c r="F84" i="3"/>
  <c r="F78" i="3"/>
  <c r="F76" i="3"/>
  <c r="F85" i="3"/>
  <c r="F89" i="3"/>
  <c r="F77" i="3"/>
  <c r="F121" i="3"/>
  <c r="F120" i="3"/>
  <c r="F130" i="3"/>
  <c r="F123" i="3"/>
  <c r="F124" i="3"/>
  <c r="F118" i="3"/>
  <c r="F122" i="3"/>
  <c r="F126" i="3"/>
  <c r="C483" i="3" l="1"/>
  <c r="C193" i="3"/>
  <c r="C521" i="3"/>
  <c r="C234" i="3"/>
  <c r="C399" i="3"/>
  <c r="C110" i="3"/>
  <c r="C111" i="3"/>
  <c r="C605" i="3"/>
  <c r="C71" i="3"/>
  <c r="C151" i="3"/>
  <c r="C152" i="3"/>
  <c r="C276" i="3"/>
  <c r="C563" i="3"/>
  <c r="A24" i="2"/>
  <c r="C397" i="3" l="1"/>
  <c r="C398" i="3"/>
  <c r="C275" i="3"/>
  <c r="C562" i="3"/>
  <c r="C69" i="3"/>
  <c r="C70" i="3"/>
  <c r="C604" i="3"/>
  <c r="C192" i="3"/>
  <c r="C233" i="3"/>
  <c r="C520" i="3"/>
  <c r="C482" i="3"/>
  <c r="D18" i="2"/>
  <c r="C18" i="2"/>
  <c r="C602" i="3" l="1"/>
  <c r="C603" i="3"/>
  <c r="C481" i="3"/>
  <c r="C274" i="3"/>
  <c r="C561" i="3"/>
  <c r="E598" i="3"/>
  <c r="E590" i="3"/>
  <c r="E582" i="3"/>
  <c r="E574" i="3"/>
  <c r="E566" i="3"/>
  <c r="E562" i="3"/>
  <c r="E591" i="3"/>
  <c r="E595" i="3"/>
  <c r="E587" i="3"/>
  <c r="E579" i="3"/>
  <c r="E571" i="3"/>
  <c r="E563" i="3"/>
  <c r="E586" i="3"/>
  <c r="E600" i="3"/>
  <c r="E592" i="3"/>
  <c r="E584" i="3"/>
  <c r="E576" i="3"/>
  <c r="E568" i="3"/>
  <c r="E578" i="3"/>
  <c r="E597" i="3"/>
  <c r="E589" i="3"/>
  <c r="E581" i="3"/>
  <c r="E573" i="3"/>
  <c r="E565" i="3"/>
  <c r="E596" i="3"/>
  <c r="E588" i="3"/>
  <c r="E580" i="3"/>
  <c r="E572" i="3"/>
  <c r="E564" i="3"/>
  <c r="E575" i="3"/>
  <c r="E567" i="3"/>
  <c r="E601" i="3"/>
  <c r="E593" i="3"/>
  <c r="E585" i="3"/>
  <c r="E577" i="3"/>
  <c r="E569" i="3"/>
  <c r="E561" i="3"/>
  <c r="E594" i="3"/>
  <c r="E570" i="3"/>
  <c r="E599" i="3"/>
  <c r="E583" i="3"/>
  <c r="D601" i="3"/>
  <c r="D593" i="3"/>
  <c r="D585" i="3"/>
  <c r="D577" i="3"/>
  <c r="D569" i="3"/>
  <c r="D561" i="3"/>
  <c r="D597" i="3"/>
  <c r="D589" i="3"/>
  <c r="D570" i="3"/>
  <c r="D598" i="3"/>
  <c r="D590" i="3"/>
  <c r="D582" i="3"/>
  <c r="D574" i="3"/>
  <c r="D566" i="3"/>
  <c r="D573" i="3"/>
  <c r="D565" i="3"/>
  <c r="D578" i="3"/>
  <c r="D562" i="3"/>
  <c r="D595" i="3"/>
  <c r="D587" i="3"/>
  <c r="D579" i="3"/>
  <c r="D571" i="3"/>
  <c r="D563" i="3"/>
  <c r="D600" i="3"/>
  <c r="D592" i="3"/>
  <c r="D584" i="3"/>
  <c r="D576" i="3"/>
  <c r="D568" i="3"/>
  <c r="D599" i="3"/>
  <c r="D591" i="3"/>
  <c r="D583" i="3"/>
  <c r="D575" i="3"/>
  <c r="D567" i="3"/>
  <c r="D581" i="3"/>
  <c r="D594" i="3"/>
  <c r="D586" i="3"/>
  <c r="D596" i="3"/>
  <c r="D588" i="3"/>
  <c r="D580" i="3"/>
  <c r="D572" i="3"/>
  <c r="D564" i="3"/>
  <c r="C479" i="3" l="1"/>
  <c r="C480" i="3"/>
  <c r="C529" i="3"/>
  <c r="C201" i="3"/>
  <c r="C242" i="3"/>
  <c r="C530" i="3"/>
  <c r="C202" i="3"/>
  <c r="C243" i="3" l="1"/>
  <c r="C358" i="3"/>
  <c r="C356" i="3"/>
  <c r="C35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wcole</author>
  </authors>
  <commentList>
    <comment ref="D43" authorId="0" shapeId="0" xr:uid="{71DC7CAB-D8F8-432B-AC60-81FF48353B64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EIA capital costs include this material price index, so we remove it here.  The MPI has in the past come from Gwen Bredehoeft at EIA after an e-mail request.  She has now left EIA, though.</t>
        </r>
      </text>
    </comment>
    <comment ref="A63" authorId="0" shapeId="0" xr:uid="{2E4B73A4-C6D1-45F9-8421-55C7ED4289F3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Others is residential distributed PV.  Its cost information is in the "Dist-PV Costs" tab.</t>
        </r>
      </text>
    </comment>
    <comment ref="A67" authorId="0" shapeId="0" xr:uid="{2B4DBA41-48C4-44B8-9B6D-70E18A7D7C24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The set of values below in blue are correctly formated for porting over to ReEDS_Input.xlsm in the Conv_Gen tab.</t>
        </r>
      </text>
    </comment>
    <comment ref="F192" authorId="0" shapeId="0" xr:uid="{7D11BB31-16B9-419C-BECE-4294034E35FC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Heat Rates for old coal units are not used. Instead they come in through UnitTracker from the Ventyx table.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wcole</author>
  </authors>
  <commentList>
    <comment ref="A1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The numbers are from the Municipal Solid Waste Technology</t>
        </r>
      </text>
    </comment>
    <comment ref="A2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These are the Photoltaic Numbers</t>
        </r>
      </text>
    </comment>
  </commentList>
</comments>
</file>

<file path=xl/sharedStrings.xml><?xml version="1.0" encoding="utf-8"?>
<sst xmlns="http://schemas.openxmlformats.org/spreadsheetml/2006/main" count="1870" uniqueCount="90">
  <si>
    <t/>
  </si>
  <si>
    <t xml:space="preserve"> Technology</t>
  </si>
  <si>
    <t>Hydro</t>
  </si>
  <si>
    <t>Gas-CT</t>
  </si>
  <si>
    <t>Gas-CC</t>
  </si>
  <si>
    <t>Gas-CC-CCS</t>
  </si>
  <si>
    <t>CoalOldScr</t>
  </si>
  <si>
    <t>CoalOldUns</t>
  </si>
  <si>
    <t>Coal-new</t>
  </si>
  <si>
    <t>Coal-IGCC</t>
  </si>
  <si>
    <t>coal-CCS</t>
  </si>
  <si>
    <t>o-g-s</t>
  </si>
  <si>
    <t>Nuclear</t>
  </si>
  <si>
    <t>geothermal</t>
  </si>
  <si>
    <t>biopower</t>
  </si>
  <si>
    <t>CofireOld</t>
  </si>
  <si>
    <t>CofireNew</t>
  </si>
  <si>
    <t>lfill-gas</t>
  </si>
  <si>
    <t>Ocean</t>
  </si>
  <si>
    <t>Others</t>
  </si>
  <si>
    <t>Technology</t>
  </si>
  <si>
    <t>Year</t>
  </si>
  <si>
    <t>Cap Cost ($/kW)</t>
  </si>
  <si>
    <t>oil/gas/steam</t>
  </si>
  <si>
    <t>Heat Rate (MMBtu/MWh)</t>
  </si>
  <si>
    <t>Var O&amp;M ($/MWh)</t>
  </si>
  <si>
    <t>Fixed O&amp;M ($/MW-year)</t>
  </si>
  <si>
    <t>Material Price Index:</t>
  </si>
  <si>
    <t>Variable O&amp;M</t>
  </si>
  <si>
    <t>Fixed O&amp;M</t>
  </si>
  <si>
    <t>Heat Rate nth</t>
  </si>
  <si>
    <t>NA</t>
  </si>
  <si>
    <t>B&amp;V Costs from Input Sheet in 2004$</t>
  </si>
  <si>
    <t>HR Slope</t>
  </si>
  <si>
    <t>Geothermal Overnight Capital Costs</t>
  </si>
  <si>
    <t>AEO 2013 Costs carried over to 2014 &amp; 2015 (in 2011$)</t>
  </si>
  <si>
    <t>Cofire Cost Adder:</t>
  </si>
  <si>
    <t>Scrubber Cost Adder:</t>
  </si>
  <si>
    <t>2011$/kW</t>
  </si>
  <si>
    <t>Column</t>
  </si>
  <si>
    <t>Heat Rate 2016</t>
  </si>
  <si>
    <t>coal-CCS-partial</t>
  </si>
  <si>
    <t>Current Year</t>
  </si>
  <si>
    <t>Cur Year</t>
  </si>
  <si>
    <t>nth year</t>
  </si>
  <si>
    <t>Partial CCS</t>
  </si>
  <si>
    <t xml:space="preserve">   Solar Photovoltaic with Axis Tracking</t>
  </si>
  <si>
    <t>2018$/kW</t>
  </si>
  <si>
    <t xml:space="preserve">   Wood and Other Biomass</t>
  </si>
  <si>
    <t xml:space="preserve">   Wind</t>
  </si>
  <si>
    <t xml:space="preserve">   Offshore Wind</t>
  </si>
  <si>
    <t>Coal</t>
  </si>
  <si>
    <t>Combined Cycle</t>
  </si>
  <si>
    <t>Combustion Turbine/Diesel</t>
  </si>
  <si>
    <t>Nuclear Power</t>
  </si>
  <si>
    <t xml:space="preserve">   Light Water Reactor</t>
  </si>
  <si>
    <t xml:space="preserve">   Small Modular Reactor</t>
  </si>
  <si>
    <t>Fuel Cells</t>
  </si>
  <si>
    <t>Renewable Sources</t>
  </si>
  <si>
    <t>Distributed Generation</t>
  </si>
  <si>
    <t xml:space="preserve">   Base</t>
  </si>
  <si>
    <t xml:space="preserve">   Peak</t>
  </si>
  <si>
    <t>From EIA</t>
  </si>
  <si>
    <t>Inflation from 2011 to 2019:</t>
  </si>
  <si>
    <t>Discount from 2019$ to 2004$:</t>
  </si>
  <si>
    <t>AEO 2020</t>
  </si>
  <si>
    <t xml:space="preserve">   Combined Cycle - Single Shaft</t>
  </si>
  <si>
    <t xml:space="preserve">   Combined Cycle - Multi Shaft</t>
  </si>
  <si>
    <t xml:space="preserve">   Combustion Turbine - Aeroderivative</t>
  </si>
  <si>
    <t xml:space="preserve">   Combustion Turbine - Industrial Frame</t>
  </si>
  <si>
    <t>Partial Coal CCS</t>
  </si>
  <si>
    <t>Nuclear SMR</t>
  </si>
  <si>
    <t xml:space="preserve">   Solar Photovoltaic with Storage</t>
  </si>
  <si>
    <t xml:space="preserve">   Conventional Hydroelectric Power 1/</t>
  </si>
  <si>
    <t xml:space="preserve">   Geothermal 1/</t>
  </si>
  <si>
    <t>55. Overnight Capital Costs for New Electricity Generating Plants</t>
  </si>
  <si>
    <t>Table from: https://www.eia.gov/outlooks/aeo/assumptions/pdf/table_8.2.pdf</t>
  </si>
  <si>
    <t>For AEO 2023 from: https://www.eia.gov/outlooks/aeo/assumptions/pdf/EMM_Assumptions.pdf</t>
  </si>
  <si>
    <t>Biomass</t>
  </si>
  <si>
    <t>SMR</t>
  </si>
  <si>
    <t>FOM</t>
  </si>
  <si>
    <t>VOM</t>
  </si>
  <si>
    <t>AEO2025 Reference Case</t>
  </si>
  <si>
    <t>(2024 dollars per kilowatt)</t>
  </si>
  <si>
    <t xml:space="preserve">   Biomass Energy with Carbon Capture</t>
  </si>
  <si>
    <t xml:space="preserve">   USC Coal with Partial Carbon Capture</t>
  </si>
  <si>
    <t xml:space="preserve">   USC Coal with Carbon Capture</t>
  </si>
  <si>
    <t xml:space="preserve">   Combined Cycle with Carbon Capture</t>
  </si>
  <si>
    <t>Hydrogen Turbine</t>
  </si>
  <si>
    <t>Diurnal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</si>
</sst>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%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30"/>
      <name val="Calibri"/>
      <family val="2"/>
    </font>
    <font>
      <b/>
      <sz val="9"/>
      <color indexed="8"/>
      <name val="Calibri"/>
      <family val="2"/>
    </font>
    <font>
      <b/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5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2" fillId="0" borderId="0"/>
    <xf numFmtId="0" fontId="2" fillId="0" borderId="0"/>
    <xf numFmtId="0" fontId="26" fillId="0" borderId="20" applyNumberFormat="0" applyFont="0" applyProtection="0">
      <alignment wrapText="1"/>
    </xf>
    <xf numFmtId="0" fontId="26" fillId="0" borderId="0" applyNumberFormat="0" applyFill="0" applyBorder="0" applyAlignment="0" applyProtection="0"/>
    <xf numFmtId="0" fontId="1" fillId="0" borderId="0"/>
    <xf numFmtId="0" fontId="29" fillId="0" borderId="0" applyNumberFormat="0" applyProtection="0">
      <alignment horizontal="left"/>
    </xf>
    <xf numFmtId="0" fontId="30" fillId="0" borderId="21" applyNumberFormat="0" applyProtection="0">
      <alignment wrapText="1"/>
    </xf>
    <xf numFmtId="0" fontId="30" fillId="0" borderId="22" applyNumberFormat="0" applyProtection="0">
      <alignment wrapText="1"/>
    </xf>
    <xf numFmtId="0" fontId="26" fillId="0" borderId="23" applyNumberFormat="0" applyProtection="0">
      <alignment wrapText="1"/>
    </xf>
  </cellStyleXfs>
  <cellXfs count="39">
    <xf numFmtId="0" fontId="0" fillId="0" borderId="0" xfId="0"/>
    <xf numFmtId="0" fontId="20" fillId="0" borderId="0" xfId="0" applyFont="1"/>
    <xf numFmtId="0" fontId="21" fillId="0" borderId="0" xfId="0" applyFont="1"/>
    <xf numFmtId="2" fontId="0" fillId="0" borderId="0" xfId="0" applyNumberFormat="1"/>
    <xf numFmtId="0" fontId="22" fillId="33" borderId="10" xfId="42" applyFill="1" applyBorder="1"/>
    <xf numFmtId="0" fontId="22" fillId="33" borderId="11" xfId="42" applyFill="1" applyBorder="1"/>
    <xf numFmtId="0" fontId="22" fillId="33" borderId="12" xfId="42" applyFill="1" applyBorder="1"/>
    <xf numFmtId="0" fontId="23" fillId="34" borderId="13" xfId="0" applyFont="1" applyFill="1" applyBorder="1" applyAlignment="1">
      <alignment horizontal="right" vertical="center" wrapText="1"/>
    </xf>
    <xf numFmtId="0" fontId="23" fillId="34" borderId="14" xfId="0" applyFont="1" applyFill="1" applyBorder="1" applyAlignment="1">
      <alignment horizontal="right" vertical="center" wrapText="1"/>
    </xf>
    <xf numFmtId="0" fontId="22" fillId="0" borderId="0" xfId="0" applyFont="1"/>
    <xf numFmtId="0" fontId="22" fillId="35" borderId="0" xfId="42" applyFill="1"/>
    <xf numFmtId="0" fontId="22" fillId="0" borderId="0" xfId="42"/>
    <xf numFmtId="0" fontId="22" fillId="35" borderId="15" xfId="42" applyFill="1" applyBorder="1"/>
    <xf numFmtId="0" fontId="22" fillId="0" borderId="0" xfId="0" applyFont="1" applyAlignment="1">
      <alignment horizontal="right"/>
    </xf>
    <xf numFmtId="0" fontId="22" fillId="33" borderId="0" xfId="42" applyFill="1"/>
    <xf numFmtId="1" fontId="22" fillId="0" borderId="0" xfId="42" applyNumberFormat="1"/>
    <xf numFmtId="2" fontId="22" fillId="0" borderId="0" xfId="42" applyNumberFormat="1"/>
    <xf numFmtId="0" fontId="0" fillId="0" borderId="16" xfId="0" applyBorder="1"/>
    <xf numFmtId="0" fontId="22" fillId="0" borderId="17" xfId="0" applyFont="1" applyBorder="1"/>
    <xf numFmtId="0" fontId="22" fillId="0" borderId="18" xfId="0" applyFont="1" applyBorder="1"/>
    <xf numFmtId="0" fontId="22" fillId="0" borderId="15" xfId="42" applyBorder="1"/>
    <xf numFmtId="2" fontId="22" fillId="0" borderId="19" xfId="42" applyNumberFormat="1" applyBorder="1"/>
    <xf numFmtId="0" fontId="0" fillId="0" borderId="15" xfId="0" applyBorder="1"/>
    <xf numFmtId="0" fontId="0" fillId="0" borderId="19" xfId="0" applyBorder="1"/>
    <xf numFmtId="0" fontId="0" fillId="35" borderId="0" xfId="0" applyFill="1"/>
    <xf numFmtId="1" fontId="0" fillId="35" borderId="0" xfId="0" applyNumberFormat="1" applyFill="1"/>
    <xf numFmtId="2" fontId="0" fillId="35" borderId="0" xfId="0" applyNumberFormat="1" applyFill="1"/>
    <xf numFmtId="0" fontId="20" fillId="0" borderId="0" xfId="42" applyFont="1"/>
    <xf numFmtId="164" fontId="0" fillId="0" borderId="0" xfId="0" applyNumberFormat="1"/>
    <xf numFmtId="0" fontId="27" fillId="0" borderId="0" xfId="0" applyFont="1"/>
    <xf numFmtId="0" fontId="28" fillId="0" borderId="0" xfId="0" applyFont="1"/>
    <xf numFmtId="2" fontId="20" fillId="0" borderId="0" xfId="0" applyNumberFormat="1" applyFont="1"/>
    <xf numFmtId="0" fontId="0" fillId="36" borderId="0" xfId="0" applyFill="1"/>
    <xf numFmtId="165" fontId="0" fillId="0" borderId="0" xfId="0" applyNumberFormat="1"/>
    <xf numFmtId="4" fontId="0" fillId="0" borderId="20" xfId="44" applyNumberFormat="1" applyFont="1" applyAlignment="1">
      <alignment horizontal="right" wrapText="1"/>
    </xf>
    <xf numFmtId="166" fontId="0" fillId="0" borderId="20" xfId="44" applyNumberFormat="1" applyFont="1" applyAlignment="1">
      <alignment horizontal="right" wrapText="1"/>
    </xf>
    <xf numFmtId="4" fontId="31" fillId="0" borderId="0" xfId="0" applyNumberFormat="1" applyFont="1"/>
    <xf numFmtId="4" fontId="32" fillId="0" borderId="0" xfId="0" applyNumberFormat="1" applyFont="1"/>
    <xf numFmtId="1" fontId="33" fillId="0" borderId="0" xfId="0" applyNumberFormat="1" applyFont="1"/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4" xr:uid="{00000000-0005-0000-0000-000019000000}"/>
    <cellStyle name="Calculation" xfId="11" builtinId="22" customBuiltin="1"/>
    <cellStyle name="Check Cell" xfId="13" builtinId="23" customBuiltin="1"/>
    <cellStyle name="Explanatory Text" xfId="16" builtinId="53" customBuiltin="1"/>
    <cellStyle name="Font: Calibri, 9pt regular" xfId="45" xr:uid="{4FBDDA32-1E69-43EF-9783-A6D3F2209D3F}"/>
    <cellStyle name="Footnotes: top row" xfId="50" xr:uid="{15E3FB2C-A6AF-495A-9ED2-6982D41982B4}"/>
    <cellStyle name="Good" xfId="6" builtinId="26" customBuiltin="1"/>
    <cellStyle name="Header: bottom row" xfId="48" xr:uid="{3C911BE9-B806-43C3-91FD-6E0E316AF261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100 2" xfId="42" xr:uid="{00000000-0005-0000-0000-000026000000}"/>
    <cellStyle name="Normal 2" xfId="43" xr:uid="{00000000-0005-0000-0000-000027000000}"/>
    <cellStyle name="Normal 3" xfId="46" xr:uid="{A981CF80-F7B7-4352-B002-FB3CC644BB32}"/>
    <cellStyle name="Note" xfId="15" builtinId="10" customBuiltin="1"/>
    <cellStyle name="Output" xfId="10" builtinId="21" customBuiltin="1"/>
    <cellStyle name="Parent row" xfId="49" xr:uid="{14A5D930-B5DC-458B-8EB5-0854DF57A49E}"/>
    <cellStyle name="Table title" xfId="47" xr:uid="{46EDDF76-CC3B-4557-B0C7-D2A1C87A7CCC}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border>
        <left/>
        <right/>
        <top/>
        <bottom style="thick">
          <color rgb="FF0096D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230841</xdr:colOff>
      <xdr:row>1</xdr:row>
      <xdr:rowOff>126850</xdr:rowOff>
    </xdr:from>
    <xdr:to>
      <xdr:col>14</xdr:col>
      <xdr:colOff>497541</xdr:colOff>
      <xdr:row>6</xdr:row>
      <xdr:rowOff>71717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688921-F77A-4FE9-A5A0-5BD5734A7405}"/>
            </a:ext>
          </a:extLst>
        </xdr:cNvPr>
        <xdr:cNvSpPr txBox="1"/>
      </xdr:nvSpPr>
      <xdr:spPr>
        <a:xfrm>
          <a:off x="4964766" y="326875"/>
          <a:ext cx="5753100" cy="8306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Note: These values come from table 55 from EIA</a:t>
          </a:r>
        </a:p>
      </xdr:txBody>
    </xdr:sp>
    <xdr:clientData/>
  </xdr:twoCellAnchor>
  <xdr:twoCellAnchor>
    <xdr:from>
      <xdr:col>1</xdr:col>
      <xdr:colOff>333375</xdr:colOff>
      <xdr:row>47</xdr:row>
      <xdr:rowOff>83343</xdr:rowOff>
    </xdr:from>
    <xdr:to>
      <xdr:col>5</xdr:col>
      <xdr:colOff>547688</xdr:colOff>
      <xdr:row>54</xdr:row>
      <xdr:rowOff>35718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51FD74B-2FA4-4206-8169-FD2E4FAF8FAE}"/>
            </a:ext>
          </a:extLst>
        </xdr:cNvPr>
        <xdr:cNvSpPr txBox="1"/>
      </xdr:nvSpPr>
      <xdr:spPr>
        <a:xfrm>
          <a:off x="2631281" y="8893968"/>
          <a:ext cx="2643188" cy="11191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Note: Coal - IGCC was not included in AEO 2020,</a:t>
          </a:r>
          <a:r>
            <a:rPr lang="en-US" sz="1100" baseline="0"/>
            <a:t> so the AEO 2019 values were used here instead (converted from 2018$ to 2019$ by using 1.018)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25</xdr:row>
      <xdr:rowOff>38100</xdr:rowOff>
    </xdr:from>
    <xdr:to>
      <xdr:col>3</xdr:col>
      <xdr:colOff>180975</xdr:colOff>
      <xdr:row>32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B07488-3C99-4342-9E95-751532612E94}"/>
            </a:ext>
          </a:extLst>
        </xdr:cNvPr>
        <xdr:cNvSpPr txBox="1"/>
      </xdr:nvSpPr>
      <xdr:spPr>
        <a:xfrm>
          <a:off x="514350" y="3771900"/>
          <a:ext cx="2105025" cy="11049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Highlighted values are not</a:t>
          </a:r>
          <a:r>
            <a:rPr lang="en-US" sz="1100" baseline="0"/>
            <a:t> in the newer versions of the Table 8.2, so the existing values are just scaled up to match the latest dollar year</a:t>
          </a:r>
          <a:endParaRPr lang="en-US" sz="1100"/>
        </a:p>
      </xdr:txBody>
    </xdr:sp>
    <xdr:clientData/>
  </xdr:twoCellAnchor>
  <xdr:twoCellAnchor>
    <xdr:from>
      <xdr:col>1</xdr:col>
      <xdr:colOff>104775</xdr:colOff>
      <xdr:row>3</xdr:row>
      <xdr:rowOff>47625</xdr:rowOff>
    </xdr:from>
    <xdr:to>
      <xdr:col>6</xdr:col>
      <xdr:colOff>419100</xdr:colOff>
      <xdr:row>14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C087C4E-C7FC-40AF-A18B-D1B28BC19658}"/>
            </a:ext>
          </a:extLst>
        </xdr:cNvPr>
        <xdr:cNvSpPr txBox="1"/>
      </xdr:nvSpPr>
      <xdr:spPr>
        <a:xfrm>
          <a:off x="914400" y="542925"/>
          <a:ext cx="411480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 only updated</a:t>
          </a:r>
          <a:r>
            <a:rPr lang="en-US" sz="1100" baseline="0"/>
            <a:t> the table image at the right, but not the data in this sheet.</a:t>
          </a:r>
          <a:endParaRPr lang="en-US" sz="1100"/>
        </a:p>
      </xdr:txBody>
    </xdr:sp>
    <xdr:clientData/>
  </xdr:twoCellAnchor>
  <xdr:twoCellAnchor editAs="oneCell">
    <xdr:from>
      <xdr:col>8</xdr:col>
      <xdr:colOff>590550</xdr:colOff>
      <xdr:row>4</xdr:row>
      <xdr:rowOff>123825</xdr:rowOff>
    </xdr:from>
    <xdr:to>
      <xdr:col>28</xdr:col>
      <xdr:colOff>173093</xdr:colOff>
      <xdr:row>38</xdr:row>
      <xdr:rowOff>57909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769AA1-A171-8377-CF95-834A6FD3E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9850" y="781050"/>
          <a:ext cx="11774543" cy="5439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96E2-5C7C-4956-976B-B410A5CF629B}">
  <dimension ref="A1:AQ642"/>
  <sheetViews>
    <sheetView tabSelected="1" topLeftCell="A3" zoomScale="80" zoomScaleNormal="80" workbookViewId="0">
      <selection activeCell="Q46" sqref="Q46"/>
    </sheetView>
  </sheetViews>
  <sheetFormatPr defaultRowHeight="12.75" x14ac:dyDescent="0.2"/>
  <cols>
    <col min="1" max="1" width="35.85546875" customWidth="1"/>
  </cols>
  <sheetData>
    <row r="1" spans="1:43" ht="15.75" customHeight="1" x14ac:dyDescent="0.25">
      <c r="A1" s="29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43" ht="15.75" x14ac:dyDescent="0.25">
      <c r="A2" s="30" t="s">
        <v>62</v>
      </c>
    </row>
    <row r="5" spans="1:43" ht="15.75" customHeight="1" x14ac:dyDescent="0.25">
      <c r="A5" s="36" t="s">
        <v>75</v>
      </c>
    </row>
    <row r="6" spans="1:43" x14ac:dyDescent="0.2">
      <c r="A6" s="37" t="s">
        <v>83</v>
      </c>
    </row>
    <row r="7" spans="1:43" x14ac:dyDescent="0.2">
      <c r="A7" s="1" t="s">
        <v>0</v>
      </c>
    </row>
    <row r="8" spans="1:43" x14ac:dyDescent="0.2">
      <c r="A8" s="38" t="s">
        <v>1</v>
      </c>
      <c r="B8" s="1">
        <v>2010</v>
      </c>
      <c r="C8" s="1">
        <v>2011</v>
      </c>
      <c r="D8" s="1">
        <v>2012</v>
      </c>
      <c r="E8" s="1">
        <v>2013</v>
      </c>
      <c r="F8" s="1">
        <v>2014</v>
      </c>
      <c r="G8" s="1">
        <v>2015</v>
      </c>
      <c r="H8" s="1">
        <v>2016</v>
      </c>
      <c r="I8" s="1">
        <v>2017</v>
      </c>
      <c r="J8" s="1">
        <v>2018</v>
      </c>
      <c r="K8" s="1">
        <v>2019</v>
      </c>
      <c r="L8" s="1">
        <v>2020</v>
      </c>
      <c r="M8" s="1">
        <v>2021</v>
      </c>
      <c r="N8" s="1">
        <v>2022</v>
      </c>
      <c r="O8" s="1">
        <v>2023</v>
      </c>
      <c r="P8" s="1">
        <v>2024</v>
      </c>
      <c r="Q8" s="1">
        <v>2025</v>
      </c>
      <c r="R8" s="1">
        <v>2026</v>
      </c>
      <c r="S8" s="1">
        <v>2027</v>
      </c>
      <c r="T8" s="1">
        <v>2028</v>
      </c>
      <c r="U8" s="1">
        <v>2029</v>
      </c>
      <c r="V8" s="1">
        <v>2030</v>
      </c>
      <c r="W8" s="1">
        <v>2031</v>
      </c>
      <c r="X8" s="1">
        <v>2032</v>
      </c>
      <c r="Y8" s="1">
        <v>2033</v>
      </c>
      <c r="Z8" s="1">
        <v>2034</v>
      </c>
      <c r="AA8" s="1">
        <v>2035</v>
      </c>
      <c r="AB8" s="1">
        <v>2036</v>
      </c>
      <c r="AC8" s="1">
        <v>2037</v>
      </c>
      <c r="AD8" s="1">
        <v>2038</v>
      </c>
      <c r="AE8" s="1">
        <v>2039</v>
      </c>
      <c r="AF8" s="1">
        <v>2040</v>
      </c>
      <c r="AG8" s="1">
        <v>2041</v>
      </c>
      <c r="AH8" s="1">
        <v>2042</v>
      </c>
      <c r="AI8" s="1">
        <v>2043</v>
      </c>
      <c r="AJ8" s="1">
        <v>2044</v>
      </c>
      <c r="AK8" s="1">
        <v>2045</v>
      </c>
      <c r="AL8" s="1">
        <v>2046</v>
      </c>
      <c r="AM8" s="1">
        <v>2047</v>
      </c>
      <c r="AN8" s="1">
        <v>2048</v>
      </c>
      <c r="AO8" s="1">
        <v>2049</v>
      </c>
      <c r="AP8" s="1">
        <v>2050</v>
      </c>
    </row>
    <row r="9" spans="1:43" x14ac:dyDescent="0.2">
      <c r="A9" s="37"/>
      <c r="C9" s="9"/>
    </row>
    <row r="10" spans="1:43" x14ac:dyDescent="0.2">
      <c r="A10" s="37" t="s">
        <v>51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43" x14ac:dyDescent="0.2">
      <c r="A11" s="37" t="s">
        <v>85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37">
        <v>0</v>
      </c>
      <c r="Q11" s="37">
        <v>5211.93505859375</v>
      </c>
      <c r="R11" s="37">
        <v>5089.119140625</v>
      </c>
      <c r="S11" s="37">
        <v>5010.0087890625</v>
      </c>
      <c r="T11" s="37">
        <v>4925.5927734375</v>
      </c>
      <c r="U11" s="37">
        <v>4867.517578125</v>
      </c>
      <c r="V11" s="37">
        <v>4825.4814453125</v>
      </c>
      <c r="W11" s="37">
        <v>4797.87939453125</v>
      </c>
      <c r="X11" s="37">
        <v>4768.2958984375</v>
      </c>
      <c r="Y11" s="37">
        <v>4734.58642578125</v>
      </c>
      <c r="Z11" s="37">
        <v>4596.1396484375</v>
      </c>
      <c r="AA11" s="37">
        <v>4550.22314453125</v>
      </c>
      <c r="AB11" s="37">
        <v>4392.93994140625</v>
      </c>
      <c r="AC11" s="37">
        <v>4312.49169921875</v>
      </c>
      <c r="AD11" s="37">
        <v>4261.49072265625</v>
      </c>
      <c r="AE11" s="37">
        <v>4220.650390625</v>
      </c>
      <c r="AF11" s="37">
        <v>4190.9443359375</v>
      </c>
      <c r="AG11" s="37">
        <v>4161.078125</v>
      </c>
      <c r="AH11" s="37">
        <v>4130.9931640625</v>
      </c>
      <c r="AI11" s="37">
        <v>4098.23876953125</v>
      </c>
      <c r="AJ11" s="37">
        <v>4063.324462890625</v>
      </c>
      <c r="AK11" s="37">
        <v>4029.489990234375</v>
      </c>
      <c r="AL11" s="37">
        <v>3993.607421875</v>
      </c>
      <c r="AM11" s="37">
        <v>3960.38720703125</v>
      </c>
      <c r="AN11" s="37">
        <v>3931.443359375</v>
      </c>
      <c r="AO11" s="37">
        <v>3902.846435546875</v>
      </c>
      <c r="AP11" s="37">
        <v>3872.892333984375</v>
      </c>
      <c r="AQ11" s="35"/>
    </row>
    <row r="12" spans="1:43" x14ac:dyDescent="0.2">
      <c r="A12" s="37" t="s">
        <v>86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37">
        <v>0</v>
      </c>
      <c r="Q12" s="37">
        <v>7338.94482421875</v>
      </c>
      <c r="R12" s="37">
        <v>7163.21484375</v>
      </c>
      <c r="S12" s="37">
        <v>7049.0888671875</v>
      </c>
      <c r="T12" s="37">
        <v>6927.56640625</v>
      </c>
      <c r="U12" s="37">
        <v>6843.14697265625</v>
      </c>
      <c r="V12" s="37">
        <v>6781.30908203125</v>
      </c>
      <c r="W12" s="37">
        <v>6739.79248046875</v>
      </c>
      <c r="X12" s="37">
        <v>6695.48046875</v>
      </c>
      <c r="Y12" s="37">
        <v>6645.38623046875</v>
      </c>
      <c r="Z12" s="37">
        <v>6312.396484375</v>
      </c>
      <c r="AA12" s="37">
        <v>6246.24658203125</v>
      </c>
      <c r="AB12" s="37">
        <v>5867.623046875</v>
      </c>
      <c r="AC12" s="37">
        <v>5689.044921875</v>
      </c>
      <c r="AD12" s="37">
        <v>5586.86474609375</v>
      </c>
      <c r="AE12" s="37">
        <v>5515.37890625</v>
      </c>
      <c r="AF12" s="37">
        <v>5472.72314453125</v>
      </c>
      <c r="AG12" s="37">
        <v>5429.87548828125</v>
      </c>
      <c r="AH12" s="37">
        <v>5386.7626953125</v>
      </c>
      <c r="AI12" s="37">
        <v>5340.1904296875</v>
      </c>
      <c r="AJ12" s="37">
        <v>5290.830078125</v>
      </c>
      <c r="AK12" s="37">
        <v>5242.90478515625</v>
      </c>
      <c r="AL12" s="37">
        <v>5192.34423828125</v>
      </c>
      <c r="AM12" s="37">
        <v>5145.27392578125</v>
      </c>
      <c r="AN12" s="37">
        <v>5103.783203125</v>
      </c>
      <c r="AO12" s="37">
        <v>5062.7607421875</v>
      </c>
      <c r="AP12" s="37">
        <v>5019.998046875</v>
      </c>
      <c r="AQ12" s="35"/>
    </row>
    <row r="13" spans="1:43" x14ac:dyDescent="0.2">
      <c r="A13" s="37" t="s">
        <v>52</v>
      </c>
      <c r="B13" s="1"/>
      <c r="C13" s="1"/>
      <c r="E13" s="31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</row>
    <row r="14" spans="1:43" x14ac:dyDescent="0.2">
      <c r="A14" s="37" t="s">
        <v>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s="37">
        <v>0</v>
      </c>
      <c r="Q14" s="37">
        <v>874.818115234375</v>
      </c>
      <c r="R14" s="37">
        <v>855.3236083984375</v>
      </c>
      <c r="S14" s="37">
        <v>840.46490478515625</v>
      </c>
      <c r="T14" s="37">
        <v>824.00958251953125</v>
      </c>
      <c r="U14" s="37">
        <v>812.273193359375</v>
      </c>
      <c r="V14" s="37">
        <v>804.033935546875</v>
      </c>
      <c r="W14" s="37">
        <v>797.99945068359375</v>
      </c>
      <c r="X14" s="37">
        <v>791.99725341796875</v>
      </c>
      <c r="Y14" s="37">
        <v>785.3204345703125</v>
      </c>
      <c r="Z14" s="37">
        <v>774.135498046875</v>
      </c>
      <c r="AA14" s="37">
        <v>766.9803466796875</v>
      </c>
      <c r="AB14" s="37">
        <v>760.87158203125</v>
      </c>
      <c r="AC14" s="37">
        <v>756.18939208984375</v>
      </c>
      <c r="AD14" s="37">
        <v>752.47509765625</v>
      </c>
      <c r="AE14" s="37">
        <v>748.56951904296875</v>
      </c>
      <c r="AF14" s="37">
        <v>744.5263671875</v>
      </c>
      <c r="AG14" s="37">
        <v>739.73529052734375</v>
      </c>
      <c r="AH14" s="37">
        <v>735.82696533203125</v>
      </c>
      <c r="AI14" s="37">
        <v>731.57293701171875</v>
      </c>
      <c r="AJ14" s="37">
        <v>726.92230224609375</v>
      </c>
      <c r="AK14" s="37">
        <v>722.45330810546875</v>
      </c>
      <c r="AL14" s="37">
        <v>717.60491943359375</v>
      </c>
      <c r="AM14" s="37">
        <v>713.22308349609375</v>
      </c>
      <c r="AN14" s="37">
        <v>709.60186767578125</v>
      </c>
      <c r="AO14" s="37">
        <v>706.0355224609375</v>
      </c>
      <c r="AP14" s="37">
        <v>702.21563720703125</v>
      </c>
    </row>
    <row r="15" spans="1:43" x14ac:dyDescent="0.2">
      <c r="A15" s="37" t="s">
        <v>67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37">
        <v>0</v>
      </c>
      <c r="Q15" s="37">
        <v>824.174560546875</v>
      </c>
      <c r="R15" s="37">
        <v>805.80859375</v>
      </c>
      <c r="S15" s="37">
        <v>791.81011962890625</v>
      </c>
      <c r="T15" s="37">
        <v>776.307373046875</v>
      </c>
      <c r="U15" s="37">
        <v>765.25048828125</v>
      </c>
      <c r="V15" s="37">
        <v>757.4881591796875</v>
      </c>
      <c r="W15" s="37">
        <v>751.802978515625</v>
      </c>
      <c r="X15" s="37">
        <v>746.14825439453125</v>
      </c>
      <c r="Y15" s="37">
        <v>739.8580322265625</v>
      </c>
      <c r="Z15" s="37">
        <v>729.320556640625</v>
      </c>
      <c r="AA15" s="37">
        <v>722.57952880859375</v>
      </c>
      <c r="AB15" s="37">
        <v>716.824462890625</v>
      </c>
      <c r="AC15" s="37">
        <v>712.41339111328125</v>
      </c>
      <c r="AD15" s="37">
        <v>708.9140625</v>
      </c>
      <c r="AE15" s="37">
        <v>705.23455810546875</v>
      </c>
      <c r="AF15" s="37">
        <v>701.425537109375</v>
      </c>
      <c r="AG15" s="37">
        <v>696.91180419921875</v>
      </c>
      <c r="AH15" s="37">
        <v>693.22979736328125</v>
      </c>
      <c r="AI15" s="37">
        <v>689.221923828125</v>
      </c>
      <c r="AJ15" s="37">
        <v>684.84051513671875</v>
      </c>
      <c r="AK15" s="37">
        <v>680.6302490234375</v>
      </c>
      <c r="AL15" s="37">
        <v>676.0626220703125</v>
      </c>
      <c r="AM15" s="37">
        <v>671.934326171875</v>
      </c>
      <c r="AN15" s="37">
        <v>668.52276611328125</v>
      </c>
      <c r="AO15" s="37">
        <v>665.16290283203125</v>
      </c>
      <c r="AP15" s="37">
        <v>661.56414794921875</v>
      </c>
    </row>
    <row r="16" spans="1:43" x14ac:dyDescent="0.2">
      <c r="A16" s="37" t="s">
        <v>87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37">
        <v>0</v>
      </c>
      <c r="Q16" s="37">
        <v>2469.30908203125</v>
      </c>
      <c r="R16" s="37">
        <v>2409.63232421875</v>
      </c>
      <c r="S16" s="37">
        <v>2366.161865234375</v>
      </c>
      <c r="T16" s="37">
        <v>2319.06884765625</v>
      </c>
      <c r="U16" s="37">
        <v>2284.974853515625</v>
      </c>
      <c r="V16" s="37">
        <v>2259.841552734375</v>
      </c>
      <c r="W16" s="37">
        <v>2241.174072265625</v>
      </c>
      <c r="X16" s="37">
        <v>2222.178466796875</v>
      </c>
      <c r="Y16" s="37">
        <v>2201.293212890625</v>
      </c>
      <c r="Z16" s="37">
        <v>1992.791381835938</v>
      </c>
      <c r="AA16" s="37">
        <v>1970.145141601562</v>
      </c>
      <c r="AB16" s="37">
        <v>1747.060668945312</v>
      </c>
      <c r="AC16" s="37">
        <v>1649.260986328125</v>
      </c>
      <c r="AD16" s="37">
        <v>1597.397705078125</v>
      </c>
      <c r="AE16" s="37">
        <v>1566.404418945312</v>
      </c>
      <c r="AF16" s="37">
        <v>1552.824584960938</v>
      </c>
      <c r="AG16" s="37">
        <v>1538.097534179688</v>
      </c>
      <c r="AH16" s="37">
        <v>1524.732421875</v>
      </c>
      <c r="AI16" s="37">
        <v>1510.60693359375</v>
      </c>
      <c r="AJ16" s="37">
        <v>1495.69921875</v>
      </c>
      <c r="AK16" s="37">
        <v>1481.204345703125</v>
      </c>
      <c r="AL16" s="37">
        <v>1465.971923828125</v>
      </c>
      <c r="AM16" s="37">
        <v>1451.732421875</v>
      </c>
      <c r="AN16" s="37">
        <v>1439.072631835938</v>
      </c>
      <c r="AO16" s="37">
        <v>1426.549560546875</v>
      </c>
      <c r="AP16" s="37">
        <v>1413.541015625</v>
      </c>
    </row>
    <row r="17" spans="1:42" x14ac:dyDescent="0.2">
      <c r="A17" s="37" t="s">
        <v>53</v>
      </c>
      <c r="B17" s="1"/>
      <c r="C17" s="1"/>
      <c r="E17" s="31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</row>
    <row r="18" spans="1:42" x14ac:dyDescent="0.2">
      <c r="A18" s="37" t="s">
        <v>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3">
        <v>0</v>
      </c>
      <c r="M18">
        <v>0</v>
      </c>
      <c r="N18">
        <v>0</v>
      </c>
      <c r="O18">
        <v>0</v>
      </c>
      <c r="P18" s="37">
        <v>0</v>
      </c>
      <c r="Q18" s="37">
        <v>1521.519165039062</v>
      </c>
      <c r="R18" s="37">
        <v>1486.087280273438</v>
      </c>
      <c r="S18" s="37">
        <v>1453.007934570312</v>
      </c>
      <c r="T18" s="37">
        <v>1415.421630859375</v>
      </c>
      <c r="U18" s="37">
        <v>1387.185302734375</v>
      </c>
      <c r="V18" s="37">
        <v>1367.12744140625</v>
      </c>
      <c r="W18" s="37">
        <v>1350.382080078125</v>
      </c>
      <c r="X18" s="37">
        <v>1334.323120117188</v>
      </c>
      <c r="Y18" s="37">
        <v>1317.101806640625</v>
      </c>
      <c r="Z18" s="37">
        <v>1284.571044921875</v>
      </c>
      <c r="AA18" s="37">
        <v>1270.199462890625</v>
      </c>
      <c r="AB18" s="37">
        <v>1257.820190429688</v>
      </c>
      <c r="AC18" s="37">
        <v>1247.676025390625</v>
      </c>
      <c r="AD18" s="37">
        <v>1240.402587890625</v>
      </c>
      <c r="AE18" s="37">
        <v>1233.09716796875</v>
      </c>
      <c r="AF18" s="37">
        <v>1224.920288085938</v>
      </c>
      <c r="AG18" s="37">
        <v>1214.203491210938</v>
      </c>
      <c r="AH18" s="37">
        <v>1206.658203125</v>
      </c>
      <c r="AI18" s="37">
        <v>1198.807250976562</v>
      </c>
      <c r="AJ18" s="37">
        <v>1190.3125</v>
      </c>
      <c r="AK18" s="37">
        <v>1182.12158203125</v>
      </c>
      <c r="AL18" s="37">
        <v>1173.316772460938</v>
      </c>
      <c r="AM18" s="37">
        <v>1165.281005859375</v>
      </c>
      <c r="AN18" s="37">
        <v>1158.493408203125</v>
      </c>
      <c r="AO18" s="37">
        <v>1151.799438476562</v>
      </c>
      <c r="AP18" s="37">
        <v>1144.6962890625</v>
      </c>
    </row>
    <row r="19" spans="1:42" x14ac:dyDescent="0.2">
      <c r="A19" s="37" t="s">
        <v>69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3">
        <v>0</v>
      </c>
      <c r="M19">
        <v>0</v>
      </c>
      <c r="N19">
        <v>0</v>
      </c>
      <c r="O19">
        <v>0</v>
      </c>
      <c r="P19" s="37">
        <v>0</v>
      </c>
      <c r="Q19" s="37">
        <v>791.0802001953125</v>
      </c>
      <c r="R19" s="37">
        <v>772.658203125</v>
      </c>
      <c r="S19" s="37">
        <v>755.45928955078125</v>
      </c>
      <c r="T19" s="37">
        <v>735.91705322265625</v>
      </c>
      <c r="U19" s="37">
        <v>721.236328125</v>
      </c>
      <c r="V19" s="37">
        <v>710.80767822265625</v>
      </c>
      <c r="W19" s="37">
        <v>702.1011962890625</v>
      </c>
      <c r="X19" s="37">
        <v>693.751708984375</v>
      </c>
      <c r="Y19" s="37">
        <v>684.79791259765625</v>
      </c>
      <c r="Z19" s="37">
        <v>667.88427734375</v>
      </c>
      <c r="AA19" s="37">
        <v>660.412109375</v>
      </c>
      <c r="AB19" s="37">
        <v>653.9757080078125</v>
      </c>
      <c r="AC19" s="37">
        <v>648.7015380859375</v>
      </c>
      <c r="AD19" s="37">
        <v>644.91973876953125</v>
      </c>
      <c r="AE19" s="37">
        <v>641.12152099609375</v>
      </c>
      <c r="AF19" s="37">
        <v>636.87017822265625</v>
      </c>
      <c r="AG19" s="37">
        <v>631.2982177734375</v>
      </c>
      <c r="AH19" s="37">
        <v>627.37518310546875</v>
      </c>
      <c r="AI19" s="37">
        <v>623.29327392578125</v>
      </c>
      <c r="AJ19" s="37">
        <v>618.87664794921875</v>
      </c>
      <c r="AK19" s="37">
        <v>614.617919921875</v>
      </c>
      <c r="AL19" s="37">
        <v>610.0400390625</v>
      </c>
      <c r="AM19" s="37">
        <v>605.862060546875</v>
      </c>
      <c r="AN19" s="37">
        <v>602.3328857421875</v>
      </c>
      <c r="AO19" s="37">
        <v>598.85260009765625</v>
      </c>
      <c r="AP19" s="37">
        <v>595.159423828125</v>
      </c>
    </row>
    <row r="20" spans="1:42" x14ac:dyDescent="0.2">
      <c r="A20" s="37" t="s">
        <v>54</v>
      </c>
      <c r="L20" s="3"/>
      <c r="M20" s="3"/>
      <c r="O20" s="3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</row>
    <row r="21" spans="1:42" x14ac:dyDescent="0.2">
      <c r="A21" s="37" t="s">
        <v>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3">
        <v>0</v>
      </c>
      <c r="M21">
        <v>0</v>
      </c>
      <c r="N21">
        <v>0</v>
      </c>
      <c r="O21">
        <v>0</v>
      </c>
      <c r="P21" s="37">
        <v>0</v>
      </c>
      <c r="Q21" s="37">
        <v>7821.337890625</v>
      </c>
      <c r="R21" s="37">
        <v>7570.01953125</v>
      </c>
      <c r="S21" s="37">
        <v>7425.505859375</v>
      </c>
      <c r="T21" s="37">
        <v>7273.779296875</v>
      </c>
      <c r="U21" s="37">
        <v>7161.4931640625</v>
      </c>
      <c r="V21" s="37">
        <v>7073.1220703125</v>
      </c>
      <c r="W21" s="37">
        <v>7006.2744140625</v>
      </c>
      <c r="X21" s="37">
        <v>6936.40478515625</v>
      </c>
      <c r="Y21" s="37">
        <v>6860.65234375</v>
      </c>
      <c r="Z21" s="37">
        <v>6777.16796875</v>
      </c>
      <c r="AA21" s="37">
        <v>6683.1533203125</v>
      </c>
      <c r="AB21" s="37">
        <v>6597.45751953125</v>
      </c>
      <c r="AC21" s="37">
        <v>6525.01318359375</v>
      </c>
      <c r="AD21" s="37">
        <v>6455.14599609375</v>
      </c>
      <c r="AE21" s="37">
        <v>6382.52294921875</v>
      </c>
      <c r="AF21" s="37">
        <v>6311.92529296875</v>
      </c>
      <c r="AG21" s="37">
        <v>6241.208984375</v>
      </c>
      <c r="AH21" s="37">
        <v>6170.29150390625</v>
      </c>
      <c r="AI21" s="37">
        <v>6095.533203125</v>
      </c>
      <c r="AJ21" s="37">
        <v>6017.7412109375</v>
      </c>
      <c r="AK21" s="37">
        <v>5941.73779296875</v>
      </c>
      <c r="AL21" s="37">
        <v>5862.91162109375</v>
      </c>
      <c r="AM21" s="37">
        <v>5788.19091796875</v>
      </c>
      <c r="AN21" s="37">
        <v>5719.87451171875</v>
      </c>
      <c r="AO21" s="37">
        <v>5652.18798828125</v>
      </c>
      <c r="AP21" s="37">
        <v>5582.66943359375</v>
      </c>
    </row>
    <row r="22" spans="1:42" x14ac:dyDescent="0.2">
      <c r="A22" s="37" t="s">
        <v>56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37">
        <v>0</v>
      </c>
      <c r="Q22" s="37">
        <v>9314.1123046875</v>
      </c>
      <c r="R22" s="37">
        <v>9062.63671875</v>
      </c>
      <c r="S22" s="37">
        <v>8889.990234375</v>
      </c>
      <c r="T22" s="37">
        <v>8708.697265625</v>
      </c>
      <c r="U22" s="37">
        <v>8574.619140625</v>
      </c>
      <c r="V22" s="37">
        <v>8469.1708984375</v>
      </c>
      <c r="W22" s="37">
        <v>8389.4921875</v>
      </c>
      <c r="X22" s="37">
        <v>8306.193359375</v>
      </c>
      <c r="Y22" s="37">
        <v>8215.8486328125</v>
      </c>
      <c r="Z22" s="37">
        <v>8116.24169921875</v>
      </c>
      <c r="AA22" s="37">
        <v>8004.02001953125</v>
      </c>
      <c r="AB22" s="37">
        <v>7901.75927734375</v>
      </c>
      <c r="AC22" s="37">
        <v>7815.3662109375</v>
      </c>
      <c r="AD22" s="37">
        <v>7732.05810546875</v>
      </c>
      <c r="AE22" s="37">
        <v>7645.44775390625</v>
      </c>
      <c r="AF22" s="37">
        <v>7561.26171875</v>
      </c>
      <c r="AG22" s="37">
        <v>7476.9306640625</v>
      </c>
      <c r="AH22" s="37">
        <v>7392.35791015625</v>
      </c>
      <c r="AI22" s="37">
        <v>7303.18017578125</v>
      </c>
      <c r="AJ22" s="37">
        <v>7210.36572265625</v>
      </c>
      <c r="AK22" s="37">
        <v>7119.69140625</v>
      </c>
      <c r="AL22" s="37">
        <v>7025.6318359375</v>
      </c>
      <c r="AM22" s="37">
        <v>6936.48876953125</v>
      </c>
      <c r="AN22" s="37">
        <v>6855.01806640625</v>
      </c>
      <c r="AO22" s="37">
        <v>6774.2998046875</v>
      </c>
      <c r="AP22" s="37">
        <v>6691.384765625</v>
      </c>
    </row>
    <row r="23" spans="1:42" x14ac:dyDescent="0.2">
      <c r="A23" s="37" t="s">
        <v>57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37">
        <v>0</v>
      </c>
      <c r="Q23" s="37">
        <v>7895.65625</v>
      </c>
      <c r="R23" s="37">
        <v>7621.7490234375</v>
      </c>
      <c r="S23" s="37">
        <v>7476.2822265625</v>
      </c>
      <c r="T23" s="37">
        <v>7323.5517578125</v>
      </c>
      <c r="U23" s="37">
        <v>7139.7890625</v>
      </c>
      <c r="V23" s="37">
        <v>7045.45849609375</v>
      </c>
      <c r="W23" s="37">
        <v>6978.67529296875</v>
      </c>
      <c r="X23" s="37">
        <v>6908.88330078125</v>
      </c>
      <c r="Y23" s="37">
        <v>6833.23291015625</v>
      </c>
      <c r="Z23" s="37">
        <v>6749.8818359375</v>
      </c>
      <c r="AA23" s="37">
        <v>6656.04443359375</v>
      </c>
      <c r="AB23" s="37">
        <v>6570.49609375</v>
      </c>
      <c r="AC23" s="37">
        <v>6498.14501953125</v>
      </c>
      <c r="AD23" s="37">
        <v>6428.36181640625</v>
      </c>
      <c r="AE23" s="37">
        <v>6355.83447265625</v>
      </c>
      <c r="AF23" s="37">
        <v>6285.326171875</v>
      </c>
      <c r="AG23" s="37">
        <v>6214.7001953125</v>
      </c>
      <c r="AH23" s="37">
        <v>6143.875</v>
      </c>
      <c r="AI23" s="37">
        <v>6069.22607421875</v>
      </c>
      <c r="AJ23" s="37">
        <v>5991.55859375</v>
      </c>
      <c r="AK23" s="37">
        <v>5915.6728515625</v>
      </c>
      <c r="AL23" s="37">
        <v>5836.97998046875</v>
      </c>
      <c r="AM23" s="37">
        <v>5762.37451171875</v>
      </c>
      <c r="AN23" s="37">
        <v>5694.14697265625</v>
      </c>
      <c r="AO23" s="37">
        <v>5626.54638671875</v>
      </c>
      <c r="AP23" s="37">
        <v>5557.1240234375</v>
      </c>
    </row>
    <row r="24" spans="1:42" x14ac:dyDescent="0.2">
      <c r="A24" s="37" t="s">
        <v>88</v>
      </c>
      <c r="O24" s="34"/>
      <c r="P24" s="37">
        <v>0</v>
      </c>
      <c r="Q24" s="37">
        <v>823.36688232421875</v>
      </c>
      <c r="R24" s="37">
        <v>804.04010009765625</v>
      </c>
      <c r="S24" s="37">
        <v>786.2713623046875</v>
      </c>
      <c r="T24" s="37">
        <v>766.14739990234375</v>
      </c>
      <c r="U24" s="37">
        <v>751.0389404296875</v>
      </c>
      <c r="V24" s="37">
        <v>740.2613525390625</v>
      </c>
      <c r="W24" s="37">
        <v>731.30059814453125</v>
      </c>
      <c r="X24" s="37">
        <v>722.67669677734375</v>
      </c>
      <c r="Y24" s="37">
        <v>713.424072265625</v>
      </c>
      <c r="Z24" s="37">
        <v>691.47332763671875</v>
      </c>
      <c r="AA24" s="37">
        <v>677.7244873046875</v>
      </c>
      <c r="AB24" s="37">
        <v>666.3226318359375</v>
      </c>
      <c r="AC24" s="37">
        <v>659.09222412109375</v>
      </c>
      <c r="AD24" s="37">
        <v>653.54913330078125</v>
      </c>
      <c r="AE24" s="37">
        <v>649.45819091796875</v>
      </c>
      <c r="AF24" s="37">
        <v>644.92498779296875</v>
      </c>
      <c r="AG24" s="37">
        <v>638.38653564453125</v>
      </c>
      <c r="AH24" s="37">
        <v>634.18048095703125</v>
      </c>
      <c r="AI24" s="37">
        <v>629.8096923828125</v>
      </c>
      <c r="AJ24" s="37">
        <v>625.102294921875</v>
      </c>
      <c r="AK24" s="37">
        <v>620.5562744140625</v>
      </c>
      <c r="AL24" s="37">
        <v>615.6898193359375</v>
      </c>
      <c r="AM24" s="37">
        <v>611.22882080078125</v>
      </c>
      <c r="AN24" s="37">
        <v>607.42388916015625</v>
      </c>
      <c r="AO24" s="37">
        <v>603.66925048828125</v>
      </c>
      <c r="AP24" s="37">
        <v>599.701416015625</v>
      </c>
    </row>
    <row r="25" spans="1:42" x14ac:dyDescent="0.2">
      <c r="A25" s="37" t="s">
        <v>58</v>
      </c>
      <c r="B25" s="1"/>
      <c r="C25" s="1"/>
      <c r="E25" s="31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</row>
    <row r="26" spans="1:42" x14ac:dyDescent="0.2">
      <c r="A26" s="37" t="s">
        <v>73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37">
        <v>0</v>
      </c>
      <c r="Q26" s="37">
        <v>3089.533447265625</v>
      </c>
      <c r="R26" s="37">
        <v>3023.764892578125</v>
      </c>
      <c r="S26" s="37">
        <v>2983.744140625</v>
      </c>
      <c r="T26" s="37">
        <v>2940.395263671875</v>
      </c>
      <c r="U26" s="37">
        <v>2912.630126953125</v>
      </c>
      <c r="V26" s="37">
        <v>2894.379150390625</v>
      </c>
      <c r="W26" s="37">
        <v>2884.834228515625</v>
      </c>
      <c r="X26" s="37">
        <v>2873.98828125</v>
      </c>
      <c r="Y26" s="37">
        <v>1540.743530273438</v>
      </c>
      <c r="Z26" s="37">
        <v>1531.743896484375</v>
      </c>
      <c r="AA26" s="37">
        <v>1520.271484375</v>
      </c>
      <c r="AB26" s="37">
        <v>1510.592895507812</v>
      </c>
      <c r="AC26" s="37">
        <v>1758.616455078125</v>
      </c>
      <c r="AD26" s="37">
        <v>1751.407348632812</v>
      </c>
      <c r="AE26" s="37">
        <v>1743.39501953125</v>
      </c>
      <c r="AF26" s="37">
        <v>1735.877807617188</v>
      </c>
      <c r="AG26" s="37">
        <v>1728.271606445312</v>
      </c>
      <c r="AH26" s="37">
        <v>1720.551025390625</v>
      </c>
      <c r="AI26" s="37">
        <v>1711.691528320312</v>
      </c>
      <c r="AJ26" s="37">
        <v>1701.896606445312</v>
      </c>
      <c r="AK26" s="37">
        <v>1692.51904296875</v>
      </c>
      <c r="AL26" s="37">
        <v>1682.244506835938</v>
      </c>
      <c r="AM26" s="37">
        <v>1673.055297851562</v>
      </c>
      <c r="AN26" s="37">
        <v>1665.644409179688</v>
      </c>
      <c r="AO26" s="37">
        <v>1658.356811523438</v>
      </c>
      <c r="AP26" s="37">
        <v>1650.467895507812</v>
      </c>
    </row>
    <row r="27" spans="1:42" x14ac:dyDescent="0.2">
      <c r="A27" s="37" t="s">
        <v>74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37">
        <v>0</v>
      </c>
      <c r="Q27" s="37">
        <v>3097.287841796875</v>
      </c>
      <c r="R27" s="37">
        <v>3025.480224609375</v>
      </c>
      <c r="S27" s="37">
        <v>2950.3056640625</v>
      </c>
      <c r="T27" s="37">
        <v>2901.742919921875</v>
      </c>
      <c r="U27" s="37">
        <v>2809.296142578125</v>
      </c>
      <c r="V27" s="37">
        <v>2766.371337890625</v>
      </c>
      <c r="W27" s="37">
        <v>2702.868896484375</v>
      </c>
      <c r="X27" s="37">
        <v>2700.03173828125</v>
      </c>
      <c r="Y27" s="37">
        <v>2639.949951171875</v>
      </c>
      <c r="Z27" s="37">
        <v>2526.17138671875</v>
      </c>
      <c r="AA27" s="37">
        <v>2475.711669921875</v>
      </c>
      <c r="AB27" s="37">
        <v>2435.72021484375</v>
      </c>
      <c r="AC27" s="37">
        <v>3109.1240234375</v>
      </c>
      <c r="AD27" s="37">
        <v>3072.626953125</v>
      </c>
      <c r="AE27" s="37">
        <v>3671.760986328125</v>
      </c>
      <c r="AF27" s="37">
        <v>3630.79833984375</v>
      </c>
      <c r="AG27" s="37">
        <v>3590.988525390625</v>
      </c>
      <c r="AH27" s="37">
        <v>3556.262451171875</v>
      </c>
      <c r="AI27" s="37">
        <v>3523.146484375</v>
      </c>
      <c r="AJ27" s="37">
        <v>3491.58251953125</v>
      </c>
      <c r="AK27" s="37">
        <v>3444.975341796875</v>
      </c>
      <c r="AL27" s="37">
        <v>3705.3759765625</v>
      </c>
      <c r="AM27" s="37">
        <v>3674.9736328125</v>
      </c>
      <c r="AN27" s="37">
        <v>3648.537109375</v>
      </c>
      <c r="AO27" s="37">
        <v>3622.42041015625</v>
      </c>
      <c r="AP27" s="37">
        <v>3595.0419921875</v>
      </c>
    </row>
    <row r="28" spans="1:42" x14ac:dyDescent="0.2">
      <c r="A28" s="37" t="s">
        <v>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37">
        <v>0</v>
      </c>
      <c r="Q28" s="37">
        <v>4570.60107421875</v>
      </c>
      <c r="R28" s="37">
        <v>4464.6357421875</v>
      </c>
      <c r="S28" s="37">
        <v>4396.9580078125</v>
      </c>
      <c r="T28" s="37">
        <v>4324.58251953125</v>
      </c>
      <c r="U28" s="37">
        <v>4275.298828125</v>
      </c>
      <c r="V28" s="37">
        <v>4240.08251953125</v>
      </c>
      <c r="W28" s="37">
        <v>4217.66796875</v>
      </c>
      <c r="X28" s="37">
        <v>4193.3779296875</v>
      </c>
      <c r="Y28" s="37">
        <v>4165.4501953125</v>
      </c>
      <c r="Z28" s="37">
        <v>4132.70849609375</v>
      </c>
      <c r="AA28" s="37">
        <v>4093.374755859375</v>
      </c>
      <c r="AB28" s="37">
        <v>4058.9560546875</v>
      </c>
      <c r="AC28" s="37">
        <v>4032.563232421875</v>
      </c>
      <c r="AD28" s="37">
        <v>4007.6787109375</v>
      </c>
      <c r="AE28" s="37">
        <v>3980.995849609375</v>
      </c>
      <c r="AF28" s="37">
        <v>3955.484619140625</v>
      </c>
      <c r="AG28" s="37">
        <v>3929.81005859375</v>
      </c>
      <c r="AH28" s="37">
        <v>3903.916748046875</v>
      </c>
      <c r="AI28" s="37">
        <v>3875.486328125</v>
      </c>
      <c r="AJ28" s="37">
        <v>3844.99560546875</v>
      </c>
      <c r="AK28" s="37">
        <v>3815.509033203125</v>
      </c>
      <c r="AL28" s="37">
        <v>3784.06298828125</v>
      </c>
      <c r="AM28" s="37">
        <v>3755.12060546875</v>
      </c>
      <c r="AN28" s="37">
        <v>3730.218505859375</v>
      </c>
      <c r="AO28" s="37">
        <v>3705.6328125</v>
      </c>
      <c r="AP28" s="37">
        <v>3679.74560546875</v>
      </c>
    </row>
    <row r="29" spans="1:42" x14ac:dyDescent="0.2">
      <c r="A29" s="37" t="s">
        <v>84</v>
      </c>
      <c r="O29" s="34"/>
      <c r="P29" s="37">
        <v>0</v>
      </c>
      <c r="Q29" s="37">
        <v>12889.8330078125</v>
      </c>
      <c r="R29" s="37">
        <v>12576.279296875</v>
      </c>
      <c r="S29" s="37">
        <v>12371.0361328125</v>
      </c>
      <c r="T29" s="37">
        <v>12152.9306640625</v>
      </c>
      <c r="U29" s="37">
        <v>12000.01171875</v>
      </c>
      <c r="V29" s="37">
        <v>11886.7490234375</v>
      </c>
      <c r="W29" s="37">
        <v>11809.45703125</v>
      </c>
      <c r="X29" s="37">
        <v>11726.9619140625</v>
      </c>
      <c r="Y29" s="37">
        <v>11634.359375</v>
      </c>
      <c r="Z29" s="37">
        <v>10814.1142578125</v>
      </c>
      <c r="AA29" s="37">
        <v>10695.31640625</v>
      </c>
      <c r="AB29" s="37">
        <v>9769.0869140625</v>
      </c>
      <c r="AC29" s="37">
        <v>9349.9013671875</v>
      </c>
      <c r="AD29" s="37">
        <v>9119.5390625</v>
      </c>
      <c r="AE29" s="37">
        <v>8970.5556640625</v>
      </c>
      <c r="AF29" s="37">
        <v>8894.2490234375</v>
      </c>
      <c r="AG29" s="37">
        <v>8817.666015625</v>
      </c>
      <c r="AH29" s="37">
        <v>8740.68359375</v>
      </c>
      <c r="AI29" s="37">
        <v>8658.1279296875</v>
      </c>
      <c r="AJ29" s="37">
        <v>8571.099609375</v>
      </c>
      <c r="AK29" s="37">
        <v>8486.44921875</v>
      </c>
      <c r="AL29" s="37">
        <v>8397.583984375</v>
      </c>
      <c r="AM29" s="37">
        <v>8314.4208984375</v>
      </c>
      <c r="AN29" s="37">
        <v>8240.3125</v>
      </c>
      <c r="AO29" s="37">
        <v>8166.99658203125</v>
      </c>
      <c r="AP29" s="37">
        <v>8090.90771484375</v>
      </c>
    </row>
    <row r="30" spans="1:42" x14ac:dyDescent="0.2">
      <c r="A30" s="37" t="s">
        <v>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3">
        <v>0</v>
      </c>
      <c r="M30">
        <v>0</v>
      </c>
      <c r="N30">
        <v>0</v>
      </c>
      <c r="O30">
        <v>0</v>
      </c>
      <c r="P30" s="37">
        <v>0</v>
      </c>
      <c r="Q30" s="37">
        <v>1379.360107421875</v>
      </c>
      <c r="R30" s="37">
        <v>1278.533813476562</v>
      </c>
      <c r="S30" s="37">
        <v>1229.445678710938</v>
      </c>
      <c r="T30" s="37">
        <v>1185.405029296875</v>
      </c>
      <c r="U30" s="37">
        <v>1165.980346679688</v>
      </c>
      <c r="V30" s="37">
        <v>1149.660278320312</v>
      </c>
      <c r="W30" s="37">
        <v>1126.175903320312</v>
      </c>
      <c r="X30" s="37">
        <v>1104.933715820312</v>
      </c>
      <c r="Y30" s="37">
        <v>1083.125</v>
      </c>
      <c r="Z30" s="37">
        <v>1059.162231445312</v>
      </c>
      <c r="AA30" s="37">
        <v>1032.9130859375</v>
      </c>
      <c r="AB30" s="37">
        <v>1010.427368164062</v>
      </c>
      <c r="AC30" s="37">
        <v>995.535400390625</v>
      </c>
      <c r="AD30" s="37">
        <v>982.418212890625</v>
      </c>
      <c r="AE30" s="37">
        <v>972.82415771484375</v>
      </c>
      <c r="AF30" s="37">
        <v>963.531494140625</v>
      </c>
      <c r="AG30" s="37">
        <v>953.68817138671875</v>
      </c>
      <c r="AH30" s="37">
        <v>944.03253173828125</v>
      </c>
      <c r="AI30" s="37">
        <v>934.08258056640625</v>
      </c>
      <c r="AJ30" s="37">
        <v>923.6573486328125</v>
      </c>
      <c r="AK30" s="37">
        <v>913.49578857421875</v>
      </c>
      <c r="AL30" s="37">
        <v>902.888671875</v>
      </c>
      <c r="AM30" s="37">
        <v>892.90234375</v>
      </c>
      <c r="AN30" s="37">
        <v>883.89471435546875</v>
      </c>
      <c r="AO30" s="37">
        <v>874.6337890625</v>
      </c>
      <c r="AP30" s="37">
        <v>865.38116455078125</v>
      </c>
    </row>
    <row r="31" spans="1:42" x14ac:dyDescent="0.2">
      <c r="A31" s="37" t="s">
        <v>72</v>
      </c>
      <c r="E31">
        <v>0</v>
      </c>
      <c r="F31">
        <v>0</v>
      </c>
      <c r="G31">
        <v>0</v>
      </c>
      <c r="H31">
        <v>0</v>
      </c>
      <c r="I31">
        <v>0</v>
      </c>
      <c r="J31" s="3">
        <v>0</v>
      </c>
      <c r="K31">
        <v>0</v>
      </c>
      <c r="L31" s="3">
        <v>0</v>
      </c>
      <c r="M31">
        <v>0</v>
      </c>
      <c r="N31">
        <v>0</v>
      </c>
      <c r="O31">
        <v>0</v>
      </c>
      <c r="P31" s="37">
        <v>0</v>
      </c>
      <c r="Q31" s="37">
        <v>1990.242553710938</v>
      </c>
      <c r="R31" s="37">
        <v>1815.707763671875</v>
      </c>
      <c r="S31" s="37">
        <v>1727.063598632812</v>
      </c>
      <c r="T31" s="37">
        <v>1664.742919921875</v>
      </c>
      <c r="U31" s="37">
        <v>1636.377807617188</v>
      </c>
      <c r="V31" s="37">
        <v>1613.107421875</v>
      </c>
      <c r="W31" s="37">
        <v>1583.393432617188</v>
      </c>
      <c r="X31" s="37">
        <v>1554.330688476562</v>
      </c>
      <c r="Y31" s="37">
        <v>1525.602905273438</v>
      </c>
      <c r="Z31" s="37">
        <v>1493.628784179688</v>
      </c>
      <c r="AA31" s="37">
        <v>1459.7490234375</v>
      </c>
      <c r="AB31" s="37">
        <v>1429.760498046875</v>
      </c>
      <c r="AC31" s="37">
        <v>1408.104614257812</v>
      </c>
      <c r="AD31" s="37">
        <v>1388.476928710938</v>
      </c>
      <c r="AE31" s="37">
        <v>1372.984619140625</v>
      </c>
      <c r="AF31" s="37">
        <v>1358.052978515625</v>
      </c>
      <c r="AG31" s="37">
        <v>1342.30859375</v>
      </c>
      <c r="AH31" s="37">
        <v>1324.393188476562</v>
      </c>
      <c r="AI31" s="37">
        <v>1306.627685546875</v>
      </c>
      <c r="AJ31" s="37">
        <v>1288.80078125</v>
      </c>
      <c r="AK31" s="37">
        <v>1272.345458984375</v>
      </c>
      <c r="AL31" s="37">
        <v>1255.71240234375</v>
      </c>
      <c r="AM31" s="37">
        <v>1240.24755859375</v>
      </c>
      <c r="AN31" s="37">
        <v>1226.15185546875</v>
      </c>
      <c r="AO31" s="37">
        <v>1211.824584960938</v>
      </c>
      <c r="AP31" s="37">
        <v>1197.41943359375</v>
      </c>
    </row>
    <row r="32" spans="1:42" x14ac:dyDescent="0.2">
      <c r="A32" s="37" t="s">
        <v>49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37">
        <v>0</v>
      </c>
      <c r="Q32" s="37">
        <v>1403.443237304688</v>
      </c>
      <c r="R32" s="37">
        <v>1373.5673828125</v>
      </c>
      <c r="S32" s="37">
        <v>1355.387573242188</v>
      </c>
      <c r="T32" s="37">
        <v>1335.696411132812</v>
      </c>
      <c r="U32" s="37">
        <v>1323.083618164062</v>
      </c>
      <c r="V32" s="37">
        <v>1314.793090820312</v>
      </c>
      <c r="W32" s="37">
        <v>1310.457153320312</v>
      </c>
      <c r="X32" s="37">
        <v>1305.5302734375</v>
      </c>
      <c r="Y32" s="37">
        <v>1299.459106445312</v>
      </c>
      <c r="Z32" s="37">
        <v>1291.868896484375</v>
      </c>
      <c r="AA32" s="37">
        <v>1282.19287109375</v>
      </c>
      <c r="AB32" s="37">
        <v>1274.030151367188</v>
      </c>
      <c r="AC32" s="37">
        <v>1268.36865234375</v>
      </c>
      <c r="AD32" s="37">
        <v>1263.169189453125</v>
      </c>
      <c r="AE32" s="37">
        <v>1257.390625</v>
      </c>
      <c r="AF32" s="37">
        <v>1251.968872070312</v>
      </c>
      <c r="AG32" s="37">
        <v>1246.483032226562</v>
      </c>
      <c r="AH32" s="37">
        <v>1240.914794921875</v>
      </c>
      <c r="AI32" s="37">
        <v>1234.52490234375</v>
      </c>
      <c r="AJ32" s="37">
        <v>1227.460571289062</v>
      </c>
      <c r="AK32" s="37">
        <v>1220.697143554688</v>
      </c>
      <c r="AL32" s="37">
        <v>1213.286987304688</v>
      </c>
      <c r="AM32" s="37">
        <v>1206.659423828125</v>
      </c>
      <c r="AN32" s="37">
        <v>1201.314331054688</v>
      </c>
      <c r="AO32" s="37">
        <v>1196.058227539062</v>
      </c>
      <c r="AP32" s="37">
        <v>1190.368530273438</v>
      </c>
    </row>
    <row r="33" spans="1:42" x14ac:dyDescent="0.2">
      <c r="A33" s="37" t="s">
        <v>50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s="37">
        <v>0</v>
      </c>
      <c r="Q33" s="37">
        <v>3505.939208984375</v>
      </c>
      <c r="R33" s="37">
        <v>3421.32275390625</v>
      </c>
      <c r="S33" s="37">
        <v>3255.593017578125</v>
      </c>
      <c r="T33" s="37">
        <v>3113.025146484375</v>
      </c>
      <c r="U33" s="37">
        <v>3031.767822265625</v>
      </c>
      <c r="V33" s="37">
        <v>2962.240234375</v>
      </c>
      <c r="W33" s="37">
        <v>2909.4814453125</v>
      </c>
      <c r="X33" s="37">
        <v>2863.994140625</v>
      </c>
      <c r="Y33" s="37">
        <v>2824.739013671875</v>
      </c>
      <c r="Z33" s="37">
        <v>2793.425537109375</v>
      </c>
      <c r="AA33" s="37">
        <v>2758.70703125</v>
      </c>
      <c r="AB33" s="37">
        <v>2728.249755859375</v>
      </c>
      <c r="AC33" s="37">
        <v>2705.814697265625</v>
      </c>
      <c r="AD33" s="37">
        <v>2684.4130859375</v>
      </c>
      <c r="AE33" s="37">
        <v>2661.82958984375</v>
      </c>
      <c r="AF33" s="37">
        <v>2640.052490234375</v>
      </c>
      <c r="AG33" s="37">
        <v>2618.189208984375</v>
      </c>
      <c r="AH33" s="37">
        <v>2596.203369140625</v>
      </c>
      <c r="AI33" s="37">
        <v>2572.557373046875</v>
      </c>
      <c r="AJ33" s="37">
        <v>2547.57568359375</v>
      </c>
      <c r="AK33" s="37">
        <v>2523.29443359375</v>
      </c>
      <c r="AL33" s="37">
        <v>2497.754150390625</v>
      </c>
      <c r="AM33" s="37">
        <v>2473.902099609375</v>
      </c>
      <c r="AN33" s="37">
        <v>2452.73974609375</v>
      </c>
      <c r="AO33" s="37">
        <v>2431.80810546875</v>
      </c>
      <c r="AP33" s="37">
        <v>2410.04736328125</v>
      </c>
    </row>
    <row r="34" spans="1:42" x14ac:dyDescent="0.2">
      <c r="A34" s="37" t="s">
        <v>89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s="37">
        <v>0</v>
      </c>
      <c r="Q34" s="37">
        <v>1579.636352539062</v>
      </c>
      <c r="R34" s="37">
        <v>1373.427001953125</v>
      </c>
      <c r="S34" s="37">
        <v>1261.53125</v>
      </c>
      <c r="T34" s="37">
        <v>1215.066772460938</v>
      </c>
      <c r="U34" s="37">
        <v>1192.233154296875</v>
      </c>
      <c r="V34" s="37">
        <v>1174.94970703125</v>
      </c>
      <c r="W34" s="37">
        <v>1161.256591796875</v>
      </c>
      <c r="X34" s="37">
        <v>1141.606567382812</v>
      </c>
      <c r="Y34" s="37">
        <v>1124.753295898438</v>
      </c>
      <c r="Z34" s="37">
        <v>1104.9736328125</v>
      </c>
      <c r="AA34" s="37">
        <v>1086.918823242188</v>
      </c>
      <c r="AB34" s="37">
        <v>1068.446166992188</v>
      </c>
      <c r="AC34" s="37">
        <v>1050.747802734375</v>
      </c>
      <c r="AD34" s="37">
        <v>1033.489013671875</v>
      </c>
      <c r="AE34" s="37">
        <v>1017.514770507812</v>
      </c>
      <c r="AF34" s="37">
        <v>1002.278564453125</v>
      </c>
      <c r="AG34" s="37">
        <v>986.32525634765625</v>
      </c>
      <c r="AH34" s="37">
        <v>962.95098876953125</v>
      </c>
      <c r="AI34" s="37">
        <v>941.05450439453125</v>
      </c>
      <c r="AJ34" s="37">
        <v>920.568115234375</v>
      </c>
      <c r="AK34" s="37">
        <v>903.48626708984375</v>
      </c>
      <c r="AL34" s="37">
        <v>887.349853515625</v>
      </c>
      <c r="AM34" s="37">
        <v>872.77679443359375</v>
      </c>
      <c r="AN34" s="37">
        <v>859.1888427734375</v>
      </c>
      <c r="AO34" s="37">
        <v>845.71124267578125</v>
      </c>
      <c r="AP34" s="37">
        <v>831.97686767578125</v>
      </c>
    </row>
    <row r="35" spans="1:42" x14ac:dyDescent="0.2">
      <c r="A35" s="37" t="s">
        <v>59</v>
      </c>
      <c r="B35" s="1"/>
      <c r="C35" s="1"/>
      <c r="D35" s="1"/>
      <c r="E35" s="1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</row>
    <row r="36" spans="1:42" x14ac:dyDescent="0.2">
      <c r="A36" s="37" t="s">
        <v>60</v>
      </c>
      <c r="E36">
        <v>0</v>
      </c>
      <c r="F36" s="3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37">
        <v>0</v>
      </c>
      <c r="Q36" s="37">
        <v>1742.652099609375</v>
      </c>
      <c r="R36" s="37">
        <v>1702.250122070312</v>
      </c>
      <c r="S36" s="37">
        <v>1676.4462890625</v>
      </c>
      <c r="T36" s="37">
        <v>1648.851440429688</v>
      </c>
      <c r="U36" s="37">
        <v>1630.06103515625</v>
      </c>
      <c r="V36" s="37">
        <v>1616.6337890625</v>
      </c>
      <c r="W36" s="37">
        <v>1608.087646484375</v>
      </c>
      <c r="X36" s="37">
        <v>1598.826538085938</v>
      </c>
      <c r="Y36" s="37">
        <v>1588.178344726562</v>
      </c>
      <c r="Z36" s="37">
        <v>1575.694946289062</v>
      </c>
      <c r="AA36" s="37">
        <v>1560.698120117188</v>
      </c>
      <c r="AB36" s="37">
        <v>1547.574951171875</v>
      </c>
      <c r="AC36" s="37">
        <v>1537.51220703125</v>
      </c>
      <c r="AD36" s="37">
        <v>1528.024291992188</v>
      </c>
      <c r="AE36" s="37">
        <v>1517.850830078125</v>
      </c>
      <c r="AF36" s="37">
        <v>1508.1240234375</v>
      </c>
      <c r="AG36" s="37">
        <v>1498.335083007812</v>
      </c>
      <c r="AH36" s="37">
        <v>1488.46240234375</v>
      </c>
      <c r="AI36" s="37">
        <v>1477.622680664062</v>
      </c>
      <c r="AJ36" s="37">
        <v>1465.997436523438</v>
      </c>
      <c r="AK36" s="37">
        <v>1454.754760742188</v>
      </c>
      <c r="AL36" s="37">
        <v>1442.765380859375</v>
      </c>
      <c r="AM36" s="37">
        <v>1431.73046875</v>
      </c>
      <c r="AN36" s="37">
        <v>1422.23583984375</v>
      </c>
      <c r="AO36" s="37">
        <v>1412.861938476562</v>
      </c>
      <c r="AP36" s="37">
        <v>1402.991821289062</v>
      </c>
    </row>
    <row r="37" spans="1:42" x14ac:dyDescent="0.2">
      <c r="A37" s="37" t="s">
        <v>61</v>
      </c>
      <c r="E37">
        <v>0</v>
      </c>
      <c r="F37" s="3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3">
        <v>0</v>
      </c>
      <c r="M37">
        <v>0</v>
      </c>
      <c r="N37">
        <v>0</v>
      </c>
      <c r="O37">
        <v>0</v>
      </c>
      <c r="P37" s="37">
        <v>0</v>
      </c>
      <c r="Q37" s="37">
        <v>2093.388427734375</v>
      </c>
      <c r="R37" s="37">
        <v>2044.85498046875</v>
      </c>
      <c r="S37" s="37">
        <v>2013.857666015625</v>
      </c>
      <c r="T37" s="37">
        <v>1911.073364257812</v>
      </c>
      <c r="U37" s="37">
        <v>1801.867919921875</v>
      </c>
      <c r="V37" s="37">
        <v>1704.35791015625</v>
      </c>
      <c r="W37" s="37">
        <v>1616.9462890625</v>
      </c>
      <c r="X37" s="37">
        <v>1557.889526367188</v>
      </c>
      <c r="Y37" s="37">
        <v>1525.725708007812</v>
      </c>
      <c r="Z37" s="37">
        <v>1504.589721679688</v>
      </c>
      <c r="AA37" s="37">
        <v>1488.725341796875</v>
      </c>
      <c r="AB37" s="37">
        <v>1474.663818359375</v>
      </c>
      <c r="AC37" s="37">
        <v>1463.529052734375</v>
      </c>
      <c r="AD37" s="37">
        <v>1452.948608398438</v>
      </c>
      <c r="AE37" s="37">
        <v>1441.723876953125</v>
      </c>
      <c r="AF37" s="37">
        <v>1430.930908203125</v>
      </c>
      <c r="AG37" s="37">
        <v>1420.086303710938</v>
      </c>
      <c r="AH37" s="37">
        <v>1409.17041015625</v>
      </c>
      <c r="AI37" s="37">
        <v>1397.34765625</v>
      </c>
      <c r="AJ37" s="37">
        <v>1384.792724609375</v>
      </c>
      <c r="AK37" s="37">
        <v>1372.610717773438</v>
      </c>
      <c r="AL37" s="37">
        <v>1359.735961914062</v>
      </c>
      <c r="AM37" s="37">
        <v>1347.772583007812</v>
      </c>
      <c r="AN37" s="37">
        <v>1337.268676757812</v>
      </c>
      <c r="AO37" s="37">
        <v>1326.885620117188</v>
      </c>
      <c r="AP37" s="37">
        <v>1316.044677734375</v>
      </c>
    </row>
    <row r="39" spans="1:42" x14ac:dyDescent="0.2">
      <c r="C39" s="13" t="s">
        <v>36</v>
      </c>
      <c r="D39">
        <v>280</v>
      </c>
      <c r="E39" s="9" t="s">
        <v>38</v>
      </c>
      <c r="G39">
        <f>D39*$E$66</f>
        <v>318.17094884338553</v>
      </c>
      <c r="H39" s="9" t="s">
        <v>47</v>
      </c>
    </row>
    <row r="40" spans="1:42" x14ac:dyDescent="0.2">
      <c r="C40" s="13" t="s">
        <v>37</v>
      </c>
      <c r="D40">
        <v>520</v>
      </c>
      <c r="E40" s="9" t="s">
        <v>38</v>
      </c>
      <c r="G40">
        <f>D40*$E$66</f>
        <v>590.88890499485888</v>
      </c>
      <c r="H40" s="9" t="s">
        <v>47</v>
      </c>
    </row>
    <row r="42" spans="1:42" x14ac:dyDescent="0.2"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42" ht="15.75" thickBot="1" x14ac:dyDescent="0.25">
      <c r="B43" s="9"/>
      <c r="C43" s="2"/>
      <c r="D43" s="13" t="s">
        <v>27</v>
      </c>
      <c r="E43" s="7">
        <v>1</v>
      </c>
      <c r="F43" s="7">
        <v>1</v>
      </c>
      <c r="G43" s="7">
        <v>1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0.94043399999999999</v>
      </c>
      <c r="Q43" s="7">
        <v>0.92219200000000001</v>
      </c>
      <c r="R43" s="7">
        <v>0.91174599999999995</v>
      </c>
      <c r="S43" s="7">
        <v>0.90024099999999996</v>
      </c>
      <c r="T43" s="7">
        <v>0.89347200000000004</v>
      </c>
      <c r="U43" s="7">
        <v>0.88960099999999998</v>
      </c>
      <c r="V43" s="7">
        <v>0.88839599999999996</v>
      </c>
      <c r="W43" s="7">
        <v>0.88678400000000002</v>
      </c>
      <c r="X43" s="7">
        <v>0.88438700000000003</v>
      </c>
      <c r="Y43" s="7">
        <v>0.88094600000000001</v>
      </c>
      <c r="Z43" s="7">
        <v>0.87606499999999998</v>
      </c>
      <c r="AA43" s="7">
        <v>0.872201</v>
      </c>
      <c r="AB43" s="7">
        <v>0.87003799999999998</v>
      </c>
      <c r="AC43" s="7">
        <v>0.86818399999999996</v>
      </c>
      <c r="AD43" s="7">
        <v>0.86592400000000003</v>
      </c>
      <c r="AE43" s="7">
        <v>0.8639</v>
      </c>
      <c r="AF43" s="8">
        <v>0.86182499999999995</v>
      </c>
      <c r="AG43">
        <v>0.859684</v>
      </c>
      <c r="AH43">
        <v>0.85696399999999995</v>
      </c>
      <c r="AI43">
        <v>0.853765</v>
      </c>
      <c r="AJ43">
        <v>0.85076200000000002</v>
      </c>
      <c r="AK43">
        <v>0.84729500000000002</v>
      </c>
      <c r="AL43">
        <v>0.84436199999999995</v>
      </c>
      <c r="AM43">
        <v>0.84231699999999998</v>
      </c>
      <c r="AN43">
        <v>0.84032600000000002</v>
      </c>
      <c r="AO43">
        <v>0.83802100000000002</v>
      </c>
      <c r="AP43">
        <v>0.83802100000000002</v>
      </c>
    </row>
    <row r="44" spans="1:42" ht="13.5" thickBot="1" x14ac:dyDescent="0.25">
      <c r="A44" s="2" t="s">
        <v>1</v>
      </c>
      <c r="B44" s="1">
        <v>2010</v>
      </c>
      <c r="C44" s="1">
        <v>2011</v>
      </c>
      <c r="D44" s="1">
        <v>2012</v>
      </c>
      <c r="E44" s="1">
        <v>2013</v>
      </c>
      <c r="F44" s="1">
        <v>2014</v>
      </c>
      <c r="G44" s="1">
        <v>2015</v>
      </c>
      <c r="H44" s="1">
        <v>2016</v>
      </c>
      <c r="I44" s="1">
        <v>2017</v>
      </c>
      <c r="J44" s="1">
        <v>2018</v>
      </c>
      <c r="K44" s="1">
        <v>2019</v>
      </c>
      <c r="L44" s="1">
        <v>2020</v>
      </c>
      <c r="M44" s="1">
        <v>2021</v>
      </c>
      <c r="N44" s="1">
        <v>2022</v>
      </c>
      <c r="O44" s="1">
        <v>2023</v>
      </c>
      <c r="P44" s="1">
        <v>2024</v>
      </c>
      <c r="Q44" s="1">
        <v>2025</v>
      </c>
      <c r="R44" s="1">
        <v>2026</v>
      </c>
      <c r="S44" s="1">
        <v>2027</v>
      </c>
      <c r="T44" s="1">
        <v>2028</v>
      </c>
      <c r="U44" s="1">
        <v>2029</v>
      </c>
      <c r="V44" s="1">
        <v>2030</v>
      </c>
      <c r="W44" s="1">
        <v>2031</v>
      </c>
      <c r="X44" s="1">
        <v>2032</v>
      </c>
      <c r="Y44" s="1">
        <v>2033</v>
      </c>
      <c r="Z44" s="1">
        <v>2034</v>
      </c>
      <c r="AA44" s="1">
        <v>2035</v>
      </c>
      <c r="AB44" s="1">
        <v>2036</v>
      </c>
      <c r="AC44" s="1">
        <v>2037</v>
      </c>
      <c r="AD44" s="1">
        <v>2038</v>
      </c>
      <c r="AE44" s="1">
        <v>2039</v>
      </c>
      <c r="AF44" s="1">
        <v>2040</v>
      </c>
      <c r="AG44" s="1">
        <v>2041</v>
      </c>
      <c r="AH44" s="1">
        <v>2042</v>
      </c>
      <c r="AI44" s="1">
        <v>2043</v>
      </c>
      <c r="AJ44" s="1">
        <v>2044</v>
      </c>
      <c r="AK44" s="1">
        <v>2045</v>
      </c>
      <c r="AL44" s="1">
        <v>2046</v>
      </c>
      <c r="AM44" s="1">
        <v>2047</v>
      </c>
      <c r="AN44" s="1">
        <v>2048</v>
      </c>
      <c r="AO44" s="1">
        <v>2049</v>
      </c>
      <c r="AP44" s="1">
        <v>2050</v>
      </c>
    </row>
    <row r="45" spans="1:42" x14ac:dyDescent="0.2">
      <c r="A45" s="4" t="s">
        <v>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>
        <f t="shared" ref="Q45:AP45" si="0">Q26/Q43</f>
        <v>3350.206298976379</v>
      </c>
      <c r="R45" s="3">
        <f t="shared" si="0"/>
        <v>3316.4553423630323</v>
      </c>
      <c r="S45" s="3">
        <f t="shared" si="0"/>
        <v>3314.3837490460887</v>
      </c>
      <c r="T45" s="3">
        <f t="shared" si="0"/>
        <v>3290.9763973262452</v>
      </c>
      <c r="U45" s="3">
        <f t="shared" si="0"/>
        <v>3274.0859407230041</v>
      </c>
      <c r="V45" s="3">
        <f t="shared" si="0"/>
        <v>3257.9830958160833</v>
      </c>
      <c r="W45" s="3">
        <f t="shared" si="0"/>
        <v>3253.1419472110738</v>
      </c>
      <c r="X45" s="3">
        <f t="shared" si="0"/>
        <v>3249.6953044877409</v>
      </c>
      <c r="Y45" s="3">
        <f t="shared" si="0"/>
        <v>1748.9647836228758</v>
      </c>
      <c r="Z45" s="3">
        <f t="shared" si="0"/>
        <v>1748.4363563027573</v>
      </c>
      <c r="AA45" s="3">
        <f t="shared" si="0"/>
        <v>1743.0288252077216</v>
      </c>
      <c r="AB45" s="3">
        <f t="shared" si="0"/>
        <v>1736.2378373218321</v>
      </c>
      <c r="AC45" s="3">
        <f t="shared" si="0"/>
        <v>2025.6264283586488</v>
      </c>
      <c r="AD45" s="3">
        <f t="shared" si="0"/>
        <v>2022.5878352289715</v>
      </c>
      <c r="AE45" s="3">
        <f t="shared" si="0"/>
        <v>2018.0518804621483</v>
      </c>
      <c r="AF45" s="3">
        <f t="shared" si="0"/>
        <v>2014.1882721169472</v>
      </c>
      <c r="AG45" s="3">
        <f t="shared" si="0"/>
        <v>2010.356836285556</v>
      </c>
      <c r="AH45" s="3">
        <f t="shared" si="0"/>
        <v>2007.7284756309775</v>
      </c>
      <c r="AI45" s="3">
        <f t="shared" si="0"/>
        <v>2004.8743252772274</v>
      </c>
      <c r="AJ45" s="3">
        <f t="shared" si="0"/>
        <v>2000.4379678985567</v>
      </c>
      <c r="AK45" s="3">
        <f t="shared" si="0"/>
        <v>1997.5558016614639</v>
      </c>
      <c r="AL45" s="3">
        <f t="shared" si="0"/>
        <v>1992.3261667814729</v>
      </c>
      <c r="AM45" s="3">
        <f t="shared" si="0"/>
        <v>1986.2537475220875</v>
      </c>
      <c r="AN45" s="3">
        <f t="shared" si="0"/>
        <v>1982.1407515412923</v>
      </c>
      <c r="AO45" s="3">
        <f t="shared" si="0"/>
        <v>1978.8964853189095</v>
      </c>
      <c r="AP45" s="3">
        <f t="shared" si="0"/>
        <v>1969.4827402986464</v>
      </c>
    </row>
    <row r="46" spans="1:42" x14ac:dyDescent="0.2">
      <c r="A46" s="5" t="s">
        <v>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>
        <f t="shared" ref="Q46:AP46" si="1">AVERAGE(Q18:Q19)/Q43</f>
        <v>1253.8600233109669</v>
      </c>
      <c r="R46" s="3">
        <f t="shared" si="1"/>
        <v>1238.6922911635686</v>
      </c>
      <c r="S46" s="3">
        <f t="shared" si="1"/>
        <v>1226.5977799950754</v>
      </c>
      <c r="T46" s="3">
        <f t="shared" si="1"/>
        <v>1203.9205952072539</v>
      </c>
      <c r="U46" s="3">
        <f t="shared" si="1"/>
        <v>1185.0378039477109</v>
      </c>
      <c r="V46" s="3">
        <f t="shared" si="1"/>
        <v>1169.4869853246223</v>
      </c>
      <c r="W46" s="3">
        <f t="shared" si="1"/>
        <v>1157.2622399407226</v>
      </c>
      <c r="X46" s="3">
        <f t="shared" si="1"/>
        <v>1146.599186273409</v>
      </c>
      <c r="Y46" s="3">
        <f t="shared" si="1"/>
        <v>1136.2215840915794</v>
      </c>
      <c r="Z46" s="3">
        <f t="shared" si="1"/>
        <v>1114.3324537937397</v>
      </c>
      <c r="AA46" s="3">
        <f t="shared" si="1"/>
        <v>1106.7469380713992</v>
      </c>
      <c r="AB46" s="3">
        <f t="shared" si="1"/>
        <v>1098.6852864113409</v>
      </c>
      <c r="AC46" s="3">
        <f t="shared" si="1"/>
        <v>1092.1518730341509</v>
      </c>
      <c r="AD46" s="3">
        <f t="shared" si="1"/>
        <v>1088.6188202776202</v>
      </c>
      <c r="AE46" s="3">
        <f t="shared" si="1"/>
        <v>1084.7428457951405</v>
      </c>
      <c r="AF46" s="3">
        <f t="shared" si="1"/>
        <v>1080.1441512537895</v>
      </c>
      <c r="AG46" s="3">
        <f t="shared" si="1"/>
        <v>1073.3605074564464</v>
      </c>
      <c r="AH46" s="3">
        <f t="shared" si="1"/>
        <v>1070.0760978468575</v>
      </c>
      <c r="AI46" s="3">
        <f t="shared" si="1"/>
        <v>1067.0972251745757</v>
      </c>
      <c r="AJ46" s="3">
        <f t="shared" si="1"/>
        <v>1063.2757151525448</v>
      </c>
      <c r="AK46" s="3">
        <f t="shared" si="1"/>
        <v>1060.2797738409438</v>
      </c>
      <c r="AL46" s="3">
        <f t="shared" si="1"/>
        <v>1056.0380568544285</v>
      </c>
      <c r="AM46" s="3">
        <f t="shared" si="1"/>
        <v>1051.3518463988321</v>
      </c>
      <c r="AN46" s="3">
        <f t="shared" si="1"/>
        <v>1047.7042802110802</v>
      </c>
      <c r="AO46" s="3">
        <f t="shared" si="1"/>
        <v>1044.5156139131468</v>
      </c>
      <c r="AP46" s="3">
        <f t="shared" si="1"/>
        <v>1038.0740535682428</v>
      </c>
    </row>
    <row r="47" spans="1:42" x14ac:dyDescent="0.2">
      <c r="A47" s="5" t="s">
        <v>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>
        <f t="shared" ref="Q47:AP47" si="2">AVERAGE(Q14:Q15)/Q43</f>
        <v>921.17079511709596</v>
      </c>
      <c r="R47" s="3">
        <f t="shared" si="2"/>
        <v>910.96215511142225</v>
      </c>
      <c r="S47" s="3">
        <f t="shared" si="2"/>
        <v>906.5766969145277</v>
      </c>
      <c r="T47" s="3">
        <f t="shared" si="2"/>
        <v>895.56077614430342</v>
      </c>
      <c r="U47" s="3">
        <f t="shared" si="2"/>
        <v>886.64675604041872</v>
      </c>
      <c r="V47" s="3">
        <f t="shared" si="2"/>
        <v>878.84349700277949</v>
      </c>
      <c r="W47" s="3">
        <f t="shared" si="2"/>
        <v>873.83310321296881</v>
      </c>
      <c r="X47" s="3">
        <f t="shared" si="2"/>
        <v>869.61110227338258</v>
      </c>
      <c r="Y47" s="3">
        <f t="shared" si="2"/>
        <v>865.64810260610466</v>
      </c>
      <c r="Z47" s="3">
        <f t="shared" si="2"/>
        <v>858.07334768966916</v>
      </c>
      <c r="AA47" s="3">
        <f t="shared" si="2"/>
        <v>853.90860334273941</v>
      </c>
      <c r="AB47" s="3">
        <f t="shared" si="2"/>
        <v>849.21350844553626</v>
      </c>
      <c r="AC47" s="3">
        <f t="shared" si="2"/>
        <v>845.79005326239894</v>
      </c>
      <c r="AD47" s="3">
        <f t="shared" si="2"/>
        <v>843.83223017045952</v>
      </c>
      <c r="AE47" s="3">
        <f t="shared" si="2"/>
        <v>841.4191903857145</v>
      </c>
      <c r="AF47" s="3">
        <f t="shared" si="2"/>
        <v>838.88951022358083</v>
      </c>
      <c r="AG47" s="3">
        <f t="shared" si="2"/>
        <v>835.56696107323296</v>
      </c>
      <c r="AH47" s="3">
        <f t="shared" si="2"/>
        <v>833.79042917515358</v>
      </c>
      <c r="AI47" s="3">
        <f t="shared" si="2"/>
        <v>832.07607528994731</v>
      </c>
      <c r="AJ47" s="3">
        <f t="shared" si="2"/>
        <v>829.70491005875465</v>
      </c>
      <c r="AK47" s="3">
        <f t="shared" si="2"/>
        <v>827.97818772027824</v>
      </c>
      <c r="AL47" s="3">
        <f t="shared" si="2"/>
        <v>825.27845965587414</v>
      </c>
      <c r="AM47" s="3">
        <f t="shared" si="2"/>
        <v>822.23047241594838</v>
      </c>
      <c r="AN47" s="3">
        <f t="shared" si="2"/>
        <v>819.9940462326897</v>
      </c>
      <c r="AO47" s="3">
        <f t="shared" si="2"/>
        <v>818.11698352008409</v>
      </c>
      <c r="AP47" s="3">
        <f t="shared" si="2"/>
        <v>813.69069817835714</v>
      </c>
    </row>
    <row r="48" spans="1:42" x14ac:dyDescent="0.2">
      <c r="A48" s="5" t="s">
        <v>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>
        <f t="shared" ref="Q48:AP48" si="3">Q16/Q43</f>
        <v>2677.6518144065985</v>
      </c>
      <c r="R48" s="3">
        <f t="shared" si="3"/>
        <v>2642.8767707439902</v>
      </c>
      <c r="S48" s="3">
        <f t="shared" si="3"/>
        <v>2628.3649214314555</v>
      </c>
      <c r="T48" s="3">
        <f t="shared" si="3"/>
        <v>2595.5696962593679</v>
      </c>
      <c r="U48" s="3">
        <f t="shared" si="3"/>
        <v>2568.5389894071895</v>
      </c>
      <c r="V48" s="3">
        <f t="shared" si="3"/>
        <v>2543.7322463567766</v>
      </c>
      <c r="W48" s="3">
        <f t="shared" si="3"/>
        <v>2527.3054907008077</v>
      </c>
      <c r="X48" s="3">
        <f t="shared" si="3"/>
        <v>2512.6765395656821</v>
      </c>
      <c r="Y48" s="3">
        <f t="shared" si="3"/>
        <v>2498.7833679824021</v>
      </c>
      <c r="Z48" s="3">
        <f t="shared" si="3"/>
        <v>2274.7072213088504</v>
      </c>
      <c r="AA48" s="3">
        <f t="shared" si="3"/>
        <v>2258.8200903250076</v>
      </c>
      <c r="AB48" s="3">
        <f t="shared" si="3"/>
        <v>2008.0280044610834</v>
      </c>
      <c r="AC48" s="3">
        <f t="shared" si="3"/>
        <v>1899.6675662395587</v>
      </c>
      <c r="AD48" s="3">
        <f t="shared" si="3"/>
        <v>1844.7319915813916</v>
      </c>
      <c r="AE48" s="3">
        <f t="shared" si="3"/>
        <v>1813.1779360404121</v>
      </c>
      <c r="AF48" s="3">
        <f t="shared" si="3"/>
        <v>1801.786424112712</v>
      </c>
      <c r="AG48" s="3">
        <f t="shared" si="3"/>
        <v>1789.1429108599066</v>
      </c>
      <c r="AH48" s="3">
        <f t="shared" si="3"/>
        <v>1779.2257572955225</v>
      </c>
      <c r="AI48" s="3">
        <f t="shared" si="3"/>
        <v>1769.3474593052538</v>
      </c>
      <c r="AJ48" s="3">
        <f t="shared" si="3"/>
        <v>1758.0700815856844</v>
      </c>
      <c r="AK48" s="3">
        <f t="shared" si="3"/>
        <v>1748.1565991810703</v>
      </c>
      <c r="AL48" s="3">
        <f t="shared" si="3"/>
        <v>1736.1888903433896</v>
      </c>
      <c r="AM48" s="3">
        <f t="shared" si="3"/>
        <v>1723.498898722215</v>
      </c>
      <c r="AN48" s="3">
        <f t="shared" si="3"/>
        <v>1712.5170848408093</v>
      </c>
      <c r="AO48" s="3">
        <f t="shared" si="3"/>
        <v>1702.2837859037841</v>
      </c>
      <c r="AP48" s="3">
        <f t="shared" si="3"/>
        <v>1686.7608516075372</v>
      </c>
    </row>
    <row r="49" spans="1:42" x14ac:dyDescent="0.2">
      <c r="A49" s="5" t="s">
        <v>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 x14ac:dyDescent="0.2">
      <c r="A50" s="5" t="s">
        <v>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 x14ac:dyDescent="0.2">
      <c r="A51" s="5" t="s">
        <v>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 x14ac:dyDescent="0.2">
      <c r="A52" s="5" t="s">
        <v>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 x14ac:dyDescent="0.2">
      <c r="A53" s="5" t="s">
        <v>10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>
        <f t="shared" ref="Q53:AP53" si="4">Q12/Q43</f>
        <v>7958.1527753642949</v>
      </c>
      <c r="R53" s="3">
        <f t="shared" si="4"/>
        <v>7856.590370289533</v>
      </c>
      <c r="S53" s="3">
        <f t="shared" si="4"/>
        <v>7830.2242035049503</v>
      </c>
      <c r="T53" s="3">
        <f t="shared" si="4"/>
        <v>7753.53498067091</v>
      </c>
      <c r="U53" s="3">
        <f t="shared" si="4"/>
        <v>7692.3777880828038</v>
      </c>
      <c r="V53" s="3">
        <f t="shared" si="4"/>
        <v>7633.205329640442</v>
      </c>
      <c r="W53" s="3">
        <f t="shared" si="4"/>
        <v>7600.2639655978792</v>
      </c>
      <c r="X53" s="3">
        <f t="shared" si="4"/>
        <v>7570.758580519614</v>
      </c>
      <c r="Y53" s="3">
        <f t="shared" si="4"/>
        <v>7543.4660359077061</v>
      </c>
      <c r="Z53" s="3">
        <f t="shared" si="4"/>
        <v>7205.3974127205174</v>
      </c>
      <c r="AA53" s="3">
        <f t="shared" si="4"/>
        <v>7161.4760611731126</v>
      </c>
      <c r="AB53" s="3">
        <f t="shared" si="4"/>
        <v>6744.0997368793087</v>
      </c>
      <c r="AC53" s="3">
        <f t="shared" si="4"/>
        <v>6552.8101437886444</v>
      </c>
      <c r="AD53" s="3">
        <f t="shared" si="4"/>
        <v>6451.9111909287076</v>
      </c>
      <c r="AE53" s="3">
        <f t="shared" si="4"/>
        <v>6384.2793219701352</v>
      </c>
      <c r="AF53" s="3">
        <f t="shared" si="4"/>
        <v>6350.1559417877761</v>
      </c>
      <c r="AG53" s="3">
        <f t="shared" si="4"/>
        <v>6316.1295176846961</v>
      </c>
      <c r="AH53" s="3">
        <f t="shared" si="4"/>
        <v>6285.8681290141712</v>
      </c>
      <c r="AI53" s="3">
        <f t="shared" si="4"/>
        <v>6254.8715743647253</v>
      </c>
      <c r="AJ53" s="3">
        <f t="shared" si="4"/>
        <v>6218.9308856354655</v>
      </c>
      <c r="AK53" s="3">
        <f t="shared" si="4"/>
        <v>6187.8150881998008</v>
      </c>
      <c r="AL53" s="3">
        <f t="shared" si="4"/>
        <v>6149.4290816986677</v>
      </c>
      <c r="AM53" s="3">
        <f t="shared" si="4"/>
        <v>6108.4768867080329</v>
      </c>
      <c r="AN53" s="3">
        <f t="shared" si="4"/>
        <v>6073.5752590363736</v>
      </c>
      <c r="AO53" s="3">
        <f t="shared" si="4"/>
        <v>6041.3292055777838</v>
      </c>
      <c r="AP53" s="3">
        <f t="shared" si="4"/>
        <v>5990.3010149805314</v>
      </c>
    </row>
    <row r="54" spans="1:42" x14ac:dyDescent="0.2">
      <c r="A54" s="5" t="s">
        <v>11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>
        <f t="shared" ref="Q54:AP54" si="5">Q18/Q43</f>
        <v>1649.8941272956847</v>
      </c>
      <c r="R54" s="3">
        <f t="shared" si="5"/>
        <v>1629.9356183338759</v>
      </c>
      <c r="S54" s="3">
        <f t="shared" si="5"/>
        <v>1614.0210616605023</v>
      </c>
      <c r="T54" s="3">
        <f t="shared" si="5"/>
        <v>1584.1812959548536</v>
      </c>
      <c r="U54" s="3">
        <f t="shared" si="5"/>
        <v>1559.3342439300036</v>
      </c>
      <c r="V54" s="3">
        <f t="shared" si="5"/>
        <v>1538.8716759263325</v>
      </c>
      <c r="W54" s="3">
        <f t="shared" si="5"/>
        <v>1522.7857968548428</v>
      </c>
      <c r="X54" s="3">
        <f t="shared" si="5"/>
        <v>1508.7547873467022</v>
      </c>
      <c r="Y54" s="3">
        <f t="shared" si="5"/>
        <v>1495.0993666361219</v>
      </c>
      <c r="Z54" s="3">
        <f t="shared" si="5"/>
        <v>1466.2965018827085</v>
      </c>
      <c r="AA54" s="3">
        <f t="shared" si="5"/>
        <v>1456.315072891025</v>
      </c>
      <c r="AB54" s="3">
        <f t="shared" si="5"/>
        <v>1445.7071879960276</v>
      </c>
      <c r="AC54" s="3">
        <f t="shared" si="5"/>
        <v>1437.1101349375535</v>
      </c>
      <c r="AD54" s="3">
        <f t="shared" si="5"/>
        <v>1432.4612643726527</v>
      </c>
      <c r="AE54" s="3">
        <f t="shared" si="5"/>
        <v>1427.3610000795809</v>
      </c>
      <c r="AF54" s="3">
        <f t="shared" si="5"/>
        <v>1421.3097648431387</v>
      </c>
      <c r="AG54" s="3">
        <f t="shared" si="5"/>
        <v>1412.3834934824167</v>
      </c>
      <c r="AH54" s="3">
        <f t="shared" si="5"/>
        <v>1408.0617191912379</v>
      </c>
      <c r="AI54" s="3">
        <f t="shared" si="5"/>
        <v>1404.1419488694924</v>
      </c>
      <c r="AJ54" s="3">
        <f t="shared" si="5"/>
        <v>1399.1133830613026</v>
      </c>
      <c r="AK54" s="3">
        <f t="shared" si="5"/>
        <v>1395.1712001501837</v>
      </c>
      <c r="AL54" s="3">
        <f t="shared" si="5"/>
        <v>1389.589740491564</v>
      </c>
      <c r="AM54" s="3">
        <f t="shared" si="5"/>
        <v>1383.4233499494549</v>
      </c>
      <c r="AN54" s="3">
        <f t="shared" si="5"/>
        <v>1378.6237819645291</v>
      </c>
      <c r="AO54" s="3">
        <f t="shared" si="5"/>
        <v>1374.4278943804059</v>
      </c>
      <c r="AP54" s="3">
        <f t="shared" si="5"/>
        <v>1365.9517948386735</v>
      </c>
    </row>
    <row r="55" spans="1:42" x14ac:dyDescent="0.2">
      <c r="A55" s="5" t="s">
        <v>12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>
        <f t="shared" ref="Q55:AP55" si="6">Q21/Q43</f>
        <v>8481.2467367153477</v>
      </c>
      <c r="R55" s="3">
        <f t="shared" si="6"/>
        <v>8302.7724072822912</v>
      </c>
      <c r="S55" s="3">
        <f t="shared" si="6"/>
        <v>8248.3533402444464</v>
      </c>
      <c r="T55" s="3">
        <f t="shared" si="6"/>
        <v>8141.026575958731</v>
      </c>
      <c r="U55" s="3">
        <f t="shared" si="6"/>
        <v>8050.2305686060381</v>
      </c>
      <c r="V55" s="3">
        <f t="shared" si="6"/>
        <v>7961.6770790418914</v>
      </c>
      <c r="W55" s="3">
        <f t="shared" si="6"/>
        <v>7900.7677338139838</v>
      </c>
      <c r="X55" s="3">
        <f t="shared" si="6"/>
        <v>7843.1781393849633</v>
      </c>
      <c r="Y55" s="3">
        <f t="shared" si="6"/>
        <v>7787.8239344409303</v>
      </c>
      <c r="Z55" s="3">
        <f t="shared" si="6"/>
        <v>7735.9191027492252</v>
      </c>
      <c r="AA55" s="3">
        <f t="shared" si="6"/>
        <v>7662.4004332860204</v>
      </c>
      <c r="AB55" s="3">
        <f t="shared" si="6"/>
        <v>7582.9532957540359</v>
      </c>
      <c r="AC55" s="3">
        <f t="shared" si="6"/>
        <v>7515.7031039431158</v>
      </c>
      <c r="AD55" s="3">
        <f t="shared" si="6"/>
        <v>7454.6334275222189</v>
      </c>
      <c r="AE55" s="3">
        <f t="shared" si="6"/>
        <v>7388.0344359517885</v>
      </c>
      <c r="AF55" s="3">
        <f t="shared" si="6"/>
        <v>7323.9060052432342</v>
      </c>
      <c r="AG55" s="3">
        <f t="shared" si="6"/>
        <v>7259.8873357826833</v>
      </c>
      <c r="AH55" s="3">
        <f t="shared" si="6"/>
        <v>7200.1758579196448</v>
      </c>
      <c r="AI55" s="3">
        <f t="shared" si="6"/>
        <v>7139.5913431974841</v>
      </c>
      <c r="AJ55" s="3">
        <f t="shared" si="6"/>
        <v>7073.3544880207392</v>
      </c>
      <c r="AK55" s="3">
        <f t="shared" si="6"/>
        <v>7012.5963129355769</v>
      </c>
      <c r="AL55" s="3">
        <f t="shared" si="6"/>
        <v>6943.5995711480982</v>
      </c>
      <c r="AM55" s="3">
        <f t="shared" si="6"/>
        <v>6871.7488997239161</v>
      </c>
      <c r="AN55" s="3">
        <f t="shared" si="6"/>
        <v>6806.7327581423751</v>
      </c>
      <c r="AO55" s="3">
        <f t="shared" si="6"/>
        <v>6744.6853817282026</v>
      </c>
      <c r="AP55" s="3">
        <f t="shared" si="6"/>
        <v>6661.7297580773629</v>
      </c>
    </row>
    <row r="56" spans="1:42" x14ac:dyDescent="0.2">
      <c r="A56" s="5" t="s">
        <v>71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>
        <f t="shared" ref="Q56:AP56" si="7">Q22/Q43</f>
        <v>10099.970835452379</v>
      </c>
      <c r="R56" s="3">
        <f t="shared" si="7"/>
        <v>9939.8700062846456</v>
      </c>
      <c r="S56" s="3">
        <f t="shared" si="7"/>
        <v>9875.1225887012479</v>
      </c>
      <c r="T56" s="3">
        <f t="shared" si="7"/>
        <v>9747.0287436259896</v>
      </c>
      <c r="U56" s="3">
        <f t="shared" si="7"/>
        <v>9638.7247098699299</v>
      </c>
      <c r="V56" s="3">
        <f t="shared" si="7"/>
        <v>9533.1033665589457</v>
      </c>
      <c r="W56" s="3">
        <f t="shared" si="7"/>
        <v>9460.5813676160142</v>
      </c>
      <c r="X56" s="3">
        <f t="shared" si="7"/>
        <v>9392.0346628512179</v>
      </c>
      <c r="Y56" s="3">
        <f t="shared" si="7"/>
        <v>9326.1659997462957</v>
      </c>
      <c r="Z56" s="3">
        <f t="shared" si="7"/>
        <v>9264.4286659308964</v>
      </c>
      <c r="AA56" s="3">
        <f t="shared" si="7"/>
        <v>9176.8067446967507</v>
      </c>
      <c r="AB56" s="3">
        <f t="shared" si="7"/>
        <v>9082.08523920076</v>
      </c>
      <c r="AC56" s="3">
        <f t="shared" si="7"/>
        <v>9001.9698715220511</v>
      </c>
      <c r="AD56" s="3">
        <f t="shared" si="7"/>
        <v>8929.2571928584384</v>
      </c>
      <c r="AE56" s="3">
        <f t="shared" si="7"/>
        <v>8849.9221598636996</v>
      </c>
      <c r="AF56" s="3">
        <f t="shared" si="7"/>
        <v>8773.5465074115982</v>
      </c>
      <c r="AG56" s="3">
        <f t="shared" si="7"/>
        <v>8697.3011758535686</v>
      </c>
      <c r="AH56" s="3">
        <f t="shared" si="7"/>
        <v>8626.2175659143795</v>
      </c>
      <c r="AI56" s="3">
        <f t="shared" si="7"/>
        <v>8554.0871033378626</v>
      </c>
      <c r="AJ56" s="3">
        <f t="shared" si="7"/>
        <v>8475.1854486404536</v>
      </c>
      <c r="AK56" s="3">
        <f t="shared" si="7"/>
        <v>8402.8483659764315</v>
      </c>
      <c r="AL56" s="3">
        <f t="shared" si="7"/>
        <v>8320.6395313118082</v>
      </c>
      <c r="AM56" s="3">
        <f t="shared" si="7"/>
        <v>8235.0098235358546</v>
      </c>
      <c r="AN56" s="3">
        <f t="shared" si="7"/>
        <v>8157.5698793161819</v>
      </c>
      <c r="AO56" s="3">
        <f t="shared" si="7"/>
        <v>8083.6874072218952</v>
      </c>
      <c r="AP56" s="3">
        <f t="shared" si="7"/>
        <v>7984.7459259672487</v>
      </c>
    </row>
    <row r="57" spans="1:42" x14ac:dyDescent="0.2">
      <c r="A57" s="6" t="s">
        <v>13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>
        <f t="shared" ref="Q57:AP57" si="8">Q27/Q43</f>
        <v>3358.6149541493255</v>
      </c>
      <c r="R57" s="3">
        <f t="shared" si="8"/>
        <v>3318.3367128667142</v>
      </c>
      <c r="S57" s="3">
        <f t="shared" si="8"/>
        <v>3277.2398325142935</v>
      </c>
      <c r="T57" s="3">
        <f t="shared" si="8"/>
        <v>3247.7155634668738</v>
      </c>
      <c r="U57" s="3">
        <f t="shared" si="8"/>
        <v>3157.9282651189974</v>
      </c>
      <c r="V57" s="3">
        <f t="shared" si="8"/>
        <v>3113.8944095770639</v>
      </c>
      <c r="W57" s="3">
        <f t="shared" si="8"/>
        <v>3047.9450424053375</v>
      </c>
      <c r="X57" s="3">
        <f t="shared" si="8"/>
        <v>3052.9979955395656</v>
      </c>
      <c r="Y57" s="3">
        <f t="shared" si="8"/>
        <v>2996.7216505573269</v>
      </c>
      <c r="Z57" s="3">
        <f t="shared" si="8"/>
        <v>2883.5433292264274</v>
      </c>
      <c r="AA57" s="3">
        <f t="shared" si="8"/>
        <v>2838.4646084123669</v>
      </c>
      <c r="AB57" s="3">
        <f t="shared" si="8"/>
        <v>2799.5561284032997</v>
      </c>
      <c r="AC57" s="3">
        <f t="shared" si="8"/>
        <v>3581.1809748135188</v>
      </c>
      <c r="AD57" s="3">
        <f t="shared" si="8"/>
        <v>3548.3794803296823</v>
      </c>
      <c r="AE57" s="3">
        <f t="shared" si="8"/>
        <v>4250.2152868713101</v>
      </c>
      <c r="AF57" s="3">
        <f t="shared" si="8"/>
        <v>4212.9183301061703</v>
      </c>
      <c r="AG57" s="3">
        <f t="shared" si="8"/>
        <v>4177.102895238977</v>
      </c>
      <c r="AH57" s="3">
        <f t="shared" si="8"/>
        <v>4149.8387927286039</v>
      </c>
      <c r="AI57" s="3">
        <f t="shared" si="8"/>
        <v>4126.5998071776194</v>
      </c>
      <c r="AJ57" s="3">
        <f t="shared" si="8"/>
        <v>4104.0649670897974</v>
      </c>
      <c r="AK57" s="3">
        <f t="shared" si="8"/>
        <v>4065.8511401541082</v>
      </c>
      <c r="AL57" s="3">
        <f t="shared" si="8"/>
        <v>4388.3736792542777</v>
      </c>
      <c r="AM57" s="3">
        <f t="shared" si="8"/>
        <v>4362.9341837010297</v>
      </c>
      <c r="AN57" s="3">
        <f t="shared" si="8"/>
        <v>4341.8115224032099</v>
      </c>
      <c r="AO57" s="3">
        <f t="shared" si="8"/>
        <v>4322.589064183654</v>
      </c>
      <c r="AP57" s="3">
        <f t="shared" si="8"/>
        <v>4289.9187397302694</v>
      </c>
    </row>
    <row r="58" spans="1:42" x14ac:dyDescent="0.2">
      <c r="A58" s="5" t="s">
        <v>14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>
        <f t="shared" ref="Q58:AP58" si="9">Q28/Q43</f>
        <v>4956.2358751960001</v>
      </c>
      <c r="R58" s="3">
        <f t="shared" si="9"/>
        <v>4896.7977289590526</v>
      </c>
      <c r="S58" s="3">
        <f t="shared" si="9"/>
        <v>4884.2010170748727</v>
      </c>
      <c r="T58" s="3">
        <f t="shared" si="9"/>
        <v>4840.1992670517375</v>
      </c>
      <c r="U58" s="3">
        <f t="shared" si="9"/>
        <v>4805.8610861779607</v>
      </c>
      <c r="V58" s="3">
        <f t="shared" si="9"/>
        <v>4772.739318424723</v>
      </c>
      <c r="W58" s="3">
        <f t="shared" si="9"/>
        <v>4756.1390020004874</v>
      </c>
      <c r="X58" s="3">
        <f t="shared" si="9"/>
        <v>4741.5644165817675</v>
      </c>
      <c r="Y58" s="3">
        <f t="shared" si="9"/>
        <v>4728.383119183809</v>
      </c>
      <c r="Z58" s="3">
        <f t="shared" si="9"/>
        <v>4717.3537307091938</v>
      </c>
      <c r="AA58" s="3">
        <f t="shared" si="9"/>
        <v>4693.1553115157803</v>
      </c>
      <c r="AB58" s="3">
        <f t="shared" si="9"/>
        <v>4665.2629594195887</v>
      </c>
      <c r="AC58" s="3">
        <f t="shared" si="9"/>
        <v>4644.8255582018046</v>
      </c>
      <c r="AD58" s="3">
        <f t="shared" si="9"/>
        <v>4628.2106870089056</v>
      </c>
      <c r="AE58" s="3">
        <f t="shared" si="9"/>
        <v>4608.1674379087572</v>
      </c>
      <c r="AF58" s="3">
        <f t="shared" si="9"/>
        <v>4589.6610322752595</v>
      </c>
      <c r="AG58" s="3">
        <f t="shared" si="9"/>
        <v>4571.2262396342721</v>
      </c>
      <c r="AH58" s="3">
        <f t="shared" si="9"/>
        <v>4555.5201245873513</v>
      </c>
      <c r="AI58" s="3">
        <f t="shared" si="9"/>
        <v>4539.2892987238874</v>
      </c>
      <c r="AJ58" s="3">
        <f t="shared" si="9"/>
        <v>4519.4726674072772</v>
      </c>
      <c r="AK58" s="3">
        <f t="shared" si="9"/>
        <v>4503.164816507975</v>
      </c>
      <c r="AL58" s="3">
        <f t="shared" si="9"/>
        <v>4481.564765208821</v>
      </c>
      <c r="AM58" s="3">
        <f t="shared" si="9"/>
        <v>4458.0847892999309</v>
      </c>
      <c r="AN58" s="3">
        <f t="shared" si="9"/>
        <v>4439.0135564761476</v>
      </c>
      <c r="AO58" s="3">
        <f t="shared" si="9"/>
        <v>4421.885385330439</v>
      </c>
      <c r="AP58" s="3">
        <f t="shared" si="9"/>
        <v>4390.9945042770405</v>
      </c>
    </row>
    <row r="59" spans="1:42" x14ac:dyDescent="0.2">
      <c r="A59" s="5" t="s">
        <v>15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 x14ac:dyDescent="0.2">
      <c r="A60" s="5" t="s">
        <v>16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 x14ac:dyDescent="0.2">
      <c r="A61" s="5" t="s">
        <v>17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 x14ac:dyDescent="0.2">
      <c r="A62" s="5" t="s">
        <v>18</v>
      </c>
    </row>
    <row r="63" spans="1:42" x14ac:dyDescent="0.2">
      <c r="A63" s="5" t="s">
        <v>19</v>
      </c>
      <c r="B63" s="11"/>
      <c r="C63" s="11"/>
      <c r="D63" s="11"/>
      <c r="E63" s="11"/>
      <c r="F63" s="3"/>
      <c r="G63" s="3"/>
      <c r="H63" s="28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42" x14ac:dyDescent="0.2">
      <c r="A64" s="14" t="s">
        <v>41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>
        <f>Q11/Q43</f>
        <v>5651.6810583845336</v>
      </c>
      <c r="R64" s="3">
        <f t="shared" ref="R64:AP64" si="10">R11/R43</f>
        <v>5581.7290568041981</v>
      </c>
      <c r="S64" s="3">
        <f t="shared" si="10"/>
        <v>5565.1861990983525</v>
      </c>
      <c r="T64" s="3">
        <f t="shared" si="10"/>
        <v>5512.867525157475</v>
      </c>
      <c r="U64" s="3">
        <f t="shared" si="10"/>
        <v>5471.5738607814064</v>
      </c>
      <c r="V64" s="3">
        <f t="shared" si="10"/>
        <v>5431.6784917002105</v>
      </c>
      <c r="W64" s="3">
        <f t="shared" si="10"/>
        <v>5410.4262081084571</v>
      </c>
      <c r="X64" s="3">
        <f t="shared" si="10"/>
        <v>5391.6395180362215</v>
      </c>
      <c r="Y64" s="3">
        <f t="shared" si="10"/>
        <v>5374.4343305733264</v>
      </c>
      <c r="Z64" s="3">
        <f t="shared" si="10"/>
        <v>5246.3454748648792</v>
      </c>
      <c r="AA64" s="3">
        <f t="shared" si="10"/>
        <v>5216.9432785920335</v>
      </c>
      <c r="AB64" s="3">
        <f t="shared" si="10"/>
        <v>5049.135717527568</v>
      </c>
      <c r="AC64" s="3">
        <f t="shared" si="10"/>
        <v>4967.2554426466631</v>
      </c>
      <c r="AD64" s="3">
        <f t="shared" si="10"/>
        <v>4921.3218742710096</v>
      </c>
      <c r="AE64" s="3">
        <f t="shared" si="10"/>
        <v>4885.5774865435815</v>
      </c>
      <c r="AF64" s="3">
        <f t="shared" si="10"/>
        <v>4862.8716223566271</v>
      </c>
      <c r="AG64" s="3">
        <f t="shared" si="10"/>
        <v>4840.2414433675631</v>
      </c>
      <c r="AH64" s="3">
        <f t="shared" si="10"/>
        <v>4820.4979019684606</v>
      </c>
      <c r="AI64" s="3">
        <f t="shared" si="10"/>
        <v>4800.1953342327806</v>
      </c>
      <c r="AJ64" s="3">
        <f t="shared" si="10"/>
        <v>4776.1000877926199</v>
      </c>
      <c r="AK64" s="3">
        <f t="shared" si="10"/>
        <v>4755.7108093808829</v>
      </c>
      <c r="AL64" s="3">
        <f t="shared" si="10"/>
        <v>4729.7337183281579</v>
      </c>
      <c r="AM64" s="3">
        <f t="shared" si="10"/>
        <v>4701.7776051430164</v>
      </c>
      <c r="AN64" s="3">
        <f t="shared" si="10"/>
        <v>4678.4740200529313</v>
      </c>
      <c r="AO64" s="3">
        <f t="shared" si="10"/>
        <v>4657.217940298483</v>
      </c>
      <c r="AP64" s="3">
        <f t="shared" si="10"/>
        <v>4621.4740847596595</v>
      </c>
    </row>
    <row r="65" spans="1:28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2">
      <c r="D66" s="13" t="s">
        <v>63</v>
      </c>
      <c r="E66">
        <v>1.1363248172978055</v>
      </c>
      <c r="T66" s="13" t="s">
        <v>64</v>
      </c>
      <c r="U66">
        <v>0.74007214810242716</v>
      </c>
    </row>
    <row r="67" spans="1:28" x14ac:dyDescent="0.2">
      <c r="A67" s="27" t="s">
        <v>65</v>
      </c>
      <c r="B67">
        <v>2019</v>
      </c>
      <c r="C67" t="s">
        <v>42</v>
      </c>
      <c r="J67" s="9" t="s">
        <v>35</v>
      </c>
      <c r="R67" s="9" t="s">
        <v>32</v>
      </c>
    </row>
    <row r="68" spans="1:28" x14ac:dyDescent="0.2">
      <c r="A68" s="11" t="s">
        <v>20</v>
      </c>
      <c r="B68" s="9" t="s">
        <v>21</v>
      </c>
      <c r="C68" s="9" t="s">
        <v>22</v>
      </c>
      <c r="D68" s="9" t="s">
        <v>26</v>
      </c>
      <c r="E68" s="9" t="s">
        <v>25</v>
      </c>
      <c r="F68" s="9" t="s">
        <v>24</v>
      </c>
      <c r="J68" s="17"/>
      <c r="K68" s="18" t="s">
        <v>21</v>
      </c>
      <c r="L68" s="18" t="s">
        <v>22</v>
      </c>
      <c r="M68" s="18" t="s">
        <v>26</v>
      </c>
      <c r="N68" s="18" t="s">
        <v>25</v>
      </c>
      <c r="O68" s="19" t="s">
        <v>24</v>
      </c>
      <c r="R68" s="17"/>
      <c r="S68" s="18" t="s">
        <v>21</v>
      </c>
      <c r="T68" s="18" t="s">
        <v>22</v>
      </c>
      <c r="U68" s="18" t="s">
        <v>26</v>
      </c>
      <c r="V68" s="18" t="s">
        <v>25</v>
      </c>
      <c r="W68" s="19" t="s">
        <v>24</v>
      </c>
      <c r="Z68" s="9" t="s">
        <v>21</v>
      </c>
      <c r="AA68" s="9" t="s">
        <v>39</v>
      </c>
    </row>
    <row r="69" spans="1:28" x14ac:dyDescent="0.2">
      <c r="A69" s="10" t="s">
        <v>3</v>
      </c>
      <c r="B69" s="24">
        <v>2010</v>
      </c>
      <c r="C69" s="25">
        <f t="shared" ref="C69:C132" si="11">VLOOKUP(A69,$A$45:$AP$61,VLOOKUP(B69,$Z$69:$AA$109,2,FALSE),FALSE)</f>
        <v>0</v>
      </c>
      <c r="D69" s="25">
        <f>'O&amp;M, Heat Rates'!$D$3</f>
        <v>11.709999999999999</v>
      </c>
      <c r="E69" s="26">
        <f>'O&amp;M, Heat Rates'!$C$3</f>
        <v>4.6199999999999992</v>
      </c>
      <c r="F69" s="26">
        <v>10.2225</v>
      </c>
      <c r="J69" s="20" t="s">
        <v>3</v>
      </c>
      <c r="K69" s="11">
        <v>2010</v>
      </c>
      <c r="L69" s="15"/>
      <c r="M69" s="15"/>
      <c r="N69" s="16"/>
      <c r="O69" s="21"/>
      <c r="R69" s="22" t="s">
        <v>3</v>
      </c>
      <c r="S69">
        <v>2010</v>
      </c>
      <c r="W69" s="23"/>
      <c r="Z69">
        <v>2010</v>
      </c>
      <c r="AA69">
        <v>2</v>
      </c>
    </row>
    <row r="70" spans="1:28" x14ac:dyDescent="0.2">
      <c r="A70" s="10" t="s">
        <v>3</v>
      </c>
      <c r="B70" s="24">
        <v>2011</v>
      </c>
      <c r="C70" s="25">
        <f t="shared" si="11"/>
        <v>0</v>
      </c>
      <c r="D70" s="25">
        <f>'O&amp;M, Heat Rates'!$D$3</f>
        <v>11.709999999999999</v>
      </c>
      <c r="E70" s="26">
        <f>'O&amp;M, Heat Rates'!$C$3</f>
        <v>4.6199999999999992</v>
      </c>
      <c r="F70" s="26">
        <v>10.167857142857143</v>
      </c>
      <c r="J70" s="20" t="s">
        <v>3</v>
      </c>
      <c r="K70" s="11">
        <v>2011</v>
      </c>
      <c r="L70" s="15"/>
      <c r="M70" s="15"/>
      <c r="N70" s="16"/>
      <c r="O70" s="21"/>
      <c r="R70" s="22" t="s">
        <v>3</v>
      </c>
      <c r="S70">
        <v>2011</v>
      </c>
      <c r="W70" s="23"/>
      <c r="Z70">
        <v>2011</v>
      </c>
      <c r="AA70">
        <v>3</v>
      </c>
    </row>
    <row r="71" spans="1:28" x14ac:dyDescent="0.2">
      <c r="A71" s="10" t="s">
        <v>3</v>
      </c>
      <c r="B71" s="24">
        <v>2012</v>
      </c>
      <c r="C71" s="25">
        <f t="shared" si="11"/>
        <v>0</v>
      </c>
      <c r="D71" s="25">
        <f>'O&amp;M, Heat Rates'!$D$3</f>
        <v>11.709999999999999</v>
      </c>
      <c r="E71" s="26">
        <f>'O&amp;M, Heat Rates'!$C$3</f>
        <v>4.6199999999999992</v>
      </c>
      <c r="F71" s="26">
        <v>10.113214285714287</v>
      </c>
      <c r="J71" s="20" t="s">
        <v>3</v>
      </c>
      <c r="K71" s="11">
        <v>2012</v>
      </c>
      <c r="L71" s="15"/>
      <c r="M71" s="15"/>
      <c r="N71" s="16"/>
      <c r="O71" s="21"/>
      <c r="R71" s="22" t="s">
        <v>3</v>
      </c>
      <c r="S71">
        <v>2012</v>
      </c>
      <c r="W71" s="23"/>
      <c r="Z71">
        <v>2012</v>
      </c>
      <c r="AA71">
        <v>4</v>
      </c>
    </row>
    <row r="72" spans="1:28" x14ac:dyDescent="0.2">
      <c r="A72" s="10" t="s">
        <v>3</v>
      </c>
      <c r="B72" s="24">
        <v>2013</v>
      </c>
      <c r="C72" s="25">
        <f t="shared" si="11"/>
        <v>0</v>
      </c>
      <c r="D72" s="25">
        <f>'O&amp;M, Heat Rates'!$D$3</f>
        <v>11.709999999999999</v>
      </c>
      <c r="E72" s="26">
        <f>'O&amp;M, Heat Rates'!$C$3</f>
        <v>4.6199999999999992</v>
      </c>
      <c r="F72" s="26">
        <v>10.05857142857143</v>
      </c>
      <c r="J72" s="20" t="s">
        <v>3</v>
      </c>
      <c r="K72" s="11">
        <v>2013</v>
      </c>
      <c r="L72" s="15"/>
      <c r="M72" s="15"/>
      <c r="N72" s="16"/>
      <c r="O72" s="21"/>
      <c r="R72" s="22" t="s">
        <v>3</v>
      </c>
      <c r="S72">
        <v>2013</v>
      </c>
      <c r="W72" s="23"/>
      <c r="Z72">
        <v>2013</v>
      </c>
      <c r="AA72">
        <v>5</v>
      </c>
    </row>
    <row r="73" spans="1:28" x14ac:dyDescent="0.2">
      <c r="A73" s="10" t="s">
        <v>3</v>
      </c>
      <c r="B73" s="24">
        <v>2014</v>
      </c>
      <c r="C73" s="25">
        <f t="shared" si="11"/>
        <v>0</v>
      </c>
      <c r="D73" s="25">
        <f>'O&amp;M, Heat Rates'!$D$3</f>
        <v>11.709999999999999</v>
      </c>
      <c r="E73" s="26">
        <f>'O&amp;M, Heat Rates'!$C$3</f>
        <v>4.6199999999999992</v>
      </c>
      <c r="F73" s="26">
        <v>10.00392857142857</v>
      </c>
      <c r="J73" s="20" t="s">
        <v>3</v>
      </c>
      <c r="K73" s="11">
        <v>2014</v>
      </c>
      <c r="L73" s="15"/>
      <c r="M73" s="15"/>
      <c r="N73" s="16"/>
      <c r="O73" s="21"/>
      <c r="R73" s="22" t="s">
        <v>3</v>
      </c>
      <c r="S73">
        <v>2014</v>
      </c>
      <c r="W73" s="23"/>
      <c r="Z73">
        <v>2014</v>
      </c>
      <c r="AA73">
        <v>6</v>
      </c>
    </row>
    <row r="74" spans="1:28" x14ac:dyDescent="0.2">
      <c r="A74" s="10" t="s">
        <v>3</v>
      </c>
      <c r="B74" s="24">
        <v>2015</v>
      </c>
      <c r="C74" s="25">
        <f t="shared" si="11"/>
        <v>0</v>
      </c>
      <c r="D74" s="25">
        <f>'O&amp;M, Heat Rates'!$D$3</f>
        <v>11.709999999999999</v>
      </c>
      <c r="E74" s="26">
        <f>'O&amp;M, Heat Rates'!$C$3</f>
        <v>4.6199999999999992</v>
      </c>
      <c r="F74" s="26">
        <v>9.949285714285713</v>
      </c>
      <c r="J74" s="20" t="s">
        <v>3</v>
      </c>
      <c r="K74" s="11">
        <v>2015</v>
      </c>
      <c r="L74" s="15"/>
      <c r="M74" s="15"/>
      <c r="N74" s="16"/>
      <c r="O74" s="21"/>
      <c r="R74" s="22" t="s">
        <v>3</v>
      </c>
      <c r="S74">
        <v>2015</v>
      </c>
      <c r="W74" s="23"/>
      <c r="Z74">
        <v>2015</v>
      </c>
      <c r="AA74">
        <v>7</v>
      </c>
    </row>
    <row r="75" spans="1:28" x14ac:dyDescent="0.2">
      <c r="A75" s="10" t="s">
        <v>3</v>
      </c>
      <c r="B75" s="24">
        <v>2016</v>
      </c>
      <c r="C75" s="25">
        <f t="shared" si="11"/>
        <v>0</v>
      </c>
      <c r="D75" s="25">
        <f>'O&amp;M, Heat Rates'!$D$3</f>
        <v>11.709999999999999</v>
      </c>
      <c r="E75" s="26">
        <f>'O&amp;M, Heat Rates'!$C$3</f>
        <v>4.6199999999999992</v>
      </c>
      <c r="F75" s="26">
        <v>9.8946428571428573</v>
      </c>
      <c r="J75" s="20" t="s">
        <v>3</v>
      </c>
      <c r="K75" s="11">
        <v>2016</v>
      </c>
      <c r="L75" s="15"/>
      <c r="M75" s="15"/>
      <c r="N75" s="16"/>
      <c r="O75" s="21"/>
      <c r="R75" s="22" t="s">
        <v>3</v>
      </c>
      <c r="S75">
        <v>2016</v>
      </c>
      <c r="W75" s="23"/>
      <c r="Z75">
        <v>2016</v>
      </c>
      <c r="AA75">
        <v>8</v>
      </c>
    </row>
    <row r="76" spans="1:28" x14ac:dyDescent="0.2">
      <c r="A76" s="10" t="s">
        <v>3</v>
      </c>
      <c r="B76" s="24">
        <v>2017</v>
      </c>
      <c r="C76" s="25">
        <f t="shared" si="11"/>
        <v>0</v>
      </c>
      <c r="D76" s="25">
        <f>'O&amp;M, Heat Rates'!$D$3</f>
        <v>11.709999999999999</v>
      </c>
      <c r="E76" s="26">
        <f>'O&amp;M, Heat Rates'!$C$3</f>
        <v>4.6199999999999992</v>
      </c>
      <c r="F76" s="26">
        <f>IF(B76&lt;2031,'O&amp;M, Heat Rates'!$E$3-'O&amp;M, Heat Rates'!$G$3*(B76-$B$67),'O&amp;M, Heat Rates'!$F$3)/1000</f>
        <v>9.5145</v>
      </c>
      <c r="G76" s="33"/>
      <c r="J76" s="20" t="s">
        <v>3</v>
      </c>
      <c r="K76" s="11">
        <v>2017</v>
      </c>
      <c r="L76" s="15"/>
      <c r="M76" s="15"/>
      <c r="N76" s="16"/>
      <c r="O76" s="21"/>
      <c r="R76" s="22" t="s">
        <v>3</v>
      </c>
      <c r="S76">
        <v>2017</v>
      </c>
      <c r="W76" s="23"/>
      <c r="Z76">
        <v>2017</v>
      </c>
      <c r="AA76">
        <v>9</v>
      </c>
    </row>
    <row r="77" spans="1:28" x14ac:dyDescent="0.2">
      <c r="A77" s="10" t="s">
        <v>3</v>
      </c>
      <c r="B77" s="24">
        <v>2018</v>
      </c>
      <c r="C77" s="25">
        <f t="shared" si="11"/>
        <v>0</v>
      </c>
      <c r="D77" s="25">
        <f>'O&amp;M, Heat Rates'!$D$3</f>
        <v>11.709999999999999</v>
      </c>
      <c r="E77" s="26">
        <f>'O&amp;M, Heat Rates'!$C$3</f>
        <v>4.6199999999999992</v>
      </c>
      <c r="F77" s="26">
        <f>IF(B77&lt;2031,'O&amp;M, Heat Rates'!$E$3-'O&amp;M, Heat Rates'!$G$3*(B77-$B$67),'O&amp;M, Heat Rates'!$F$3)/1000</f>
        <v>9.5145</v>
      </c>
      <c r="J77" s="20" t="s">
        <v>3</v>
      </c>
      <c r="K77" s="11">
        <v>2018</v>
      </c>
      <c r="L77" s="15"/>
      <c r="M77" s="15"/>
      <c r="N77" s="16"/>
      <c r="O77" s="21"/>
      <c r="R77" s="22" t="s">
        <v>3</v>
      </c>
      <c r="S77">
        <v>2018</v>
      </c>
      <c r="W77" s="23"/>
      <c r="Z77">
        <v>2018</v>
      </c>
      <c r="AA77">
        <v>10</v>
      </c>
    </row>
    <row r="78" spans="1:28" x14ac:dyDescent="0.2">
      <c r="A78" s="10" t="s">
        <v>3</v>
      </c>
      <c r="B78" s="24">
        <v>2019</v>
      </c>
      <c r="C78" s="25">
        <f t="shared" si="11"/>
        <v>0</v>
      </c>
      <c r="D78" s="25">
        <f>'O&amp;M, Heat Rates'!$D$3</f>
        <v>11.709999999999999</v>
      </c>
      <c r="E78" s="26">
        <f>'O&amp;M, Heat Rates'!$C$3</f>
        <v>4.6199999999999992</v>
      </c>
      <c r="F78" s="26">
        <f>IF(B78&lt;2031,'O&amp;M, Heat Rates'!$E$3-'O&amp;M, Heat Rates'!$G$3*(B78-$B$67),'O&amp;M, Heat Rates'!$F$3)/1000</f>
        <v>9.5145</v>
      </c>
      <c r="J78" s="20" t="s">
        <v>3</v>
      </c>
      <c r="K78" s="11">
        <v>2019</v>
      </c>
      <c r="L78" s="15"/>
      <c r="M78" s="15"/>
      <c r="N78" s="16"/>
      <c r="O78" s="21"/>
      <c r="R78" s="22" t="s">
        <v>3</v>
      </c>
      <c r="S78">
        <v>2019</v>
      </c>
      <c r="W78" s="23"/>
      <c r="Z78">
        <v>2019</v>
      </c>
      <c r="AA78">
        <v>11</v>
      </c>
    </row>
    <row r="79" spans="1:28" x14ac:dyDescent="0.2">
      <c r="A79" s="10" t="s">
        <v>3</v>
      </c>
      <c r="B79" s="24">
        <v>2020</v>
      </c>
      <c r="C79" s="25">
        <f t="shared" si="11"/>
        <v>0</v>
      </c>
      <c r="D79" s="25">
        <f>'O&amp;M, Heat Rates'!$D$3</f>
        <v>11.709999999999999</v>
      </c>
      <c r="E79" s="26">
        <f>'O&amp;M, Heat Rates'!$C$3</f>
        <v>4.6199999999999992</v>
      </c>
      <c r="F79" s="26">
        <f>IF(B79&lt;2031,'O&amp;M, Heat Rates'!$E$3-'O&amp;M, Heat Rates'!$G$3*(B79-$B$67),'O&amp;M, Heat Rates'!$F$3)/1000</f>
        <v>9.5145</v>
      </c>
      <c r="J79" s="20" t="s">
        <v>3</v>
      </c>
      <c r="K79" s="11">
        <v>2020</v>
      </c>
      <c r="L79" s="15"/>
      <c r="M79" s="15"/>
      <c r="N79" s="16"/>
      <c r="O79" s="21"/>
      <c r="R79" s="22" t="s">
        <v>3</v>
      </c>
      <c r="S79">
        <v>2020</v>
      </c>
      <c r="W79" s="23"/>
      <c r="Z79">
        <v>2020</v>
      </c>
      <c r="AA79">
        <v>12</v>
      </c>
    </row>
    <row r="80" spans="1:28" x14ac:dyDescent="0.2">
      <c r="A80" s="10" t="s">
        <v>3</v>
      </c>
      <c r="B80" s="24">
        <v>2021</v>
      </c>
      <c r="C80" s="25">
        <f t="shared" si="11"/>
        <v>0</v>
      </c>
      <c r="D80" s="25">
        <f>'O&amp;M, Heat Rates'!$D$3</f>
        <v>11.709999999999999</v>
      </c>
      <c r="E80" s="26">
        <f>'O&amp;M, Heat Rates'!$C$3</f>
        <v>4.6199999999999992</v>
      </c>
      <c r="F80" s="26">
        <f>IF(B80&lt;2031,'O&amp;M, Heat Rates'!$E$3-'O&amp;M, Heat Rates'!$G$3*(B80-$B$67),'O&amp;M, Heat Rates'!$F$3)/1000</f>
        <v>9.5145</v>
      </c>
      <c r="J80" s="20" t="s">
        <v>3</v>
      </c>
      <c r="K80" s="11">
        <v>2021</v>
      </c>
      <c r="L80" s="15"/>
      <c r="M80" s="15"/>
      <c r="N80" s="16"/>
      <c r="O80" s="21"/>
      <c r="R80" s="22" t="s">
        <v>3</v>
      </c>
      <c r="S80">
        <v>2021</v>
      </c>
      <c r="W80" s="23"/>
      <c r="Z80">
        <v>2021</v>
      </c>
      <c r="AA80">
        <v>13</v>
      </c>
    </row>
    <row r="81" spans="1:27" x14ac:dyDescent="0.2">
      <c r="A81" s="10" t="s">
        <v>3</v>
      </c>
      <c r="B81" s="24">
        <v>2022</v>
      </c>
      <c r="C81" s="25">
        <f t="shared" si="11"/>
        <v>0</v>
      </c>
      <c r="D81" s="25">
        <f>'O&amp;M, Heat Rates'!$D$3</f>
        <v>11.709999999999999</v>
      </c>
      <c r="E81" s="26">
        <f>'O&amp;M, Heat Rates'!$C$3</f>
        <v>4.6199999999999992</v>
      </c>
      <c r="F81" s="26">
        <f>IF(B81&lt;2031,'O&amp;M, Heat Rates'!$E$3-'O&amp;M, Heat Rates'!$G$3*(B81-$B$67),'O&amp;M, Heat Rates'!$F$3)/1000</f>
        <v>9.5145</v>
      </c>
      <c r="J81" s="20" t="s">
        <v>3</v>
      </c>
      <c r="K81" s="11">
        <v>2022</v>
      </c>
      <c r="L81" s="15"/>
      <c r="M81" s="15"/>
      <c r="N81" s="16"/>
      <c r="O81" s="21"/>
      <c r="R81" s="22" t="s">
        <v>3</v>
      </c>
      <c r="S81">
        <v>2022</v>
      </c>
      <c r="W81" s="23"/>
      <c r="Z81">
        <v>2022</v>
      </c>
      <c r="AA81">
        <v>14</v>
      </c>
    </row>
    <row r="82" spans="1:27" x14ac:dyDescent="0.2">
      <c r="A82" s="10" t="s">
        <v>3</v>
      </c>
      <c r="B82" s="24">
        <v>2023</v>
      </c>
      <c r="C82" s="25">
        <f t="shared" si="11"/>
        <v>0</v>
      </c>
      <c r="D82" s="25">
        <f>'O&amp;M, Heat Rates'!$D$3</f>
        <v>11.709999999999999</v>
      </c>
      <c r="E82" s="26">
        <f>'O&amp;M, Heat Rates'!$C$3</f>
        <v>4.6199999999999992</v>
      </c>
      <c r="F82" s="26">
        <f>IF(B82&lt;2031,'O&amp;M, Heat Rates'!$E$3-'O&amp;M, Heat Rates'!$G$3*(B82-$B$67),'O&amp;M, Heat Rates'!$F$3)/1000</f>
        <v>9.5145</v>
      </c>
      <c r="J82" s="20" t="s">
        <v>3</v>
      </c>
      <c r="K82" s="11">
        <v>2023</v>
      </c>
      <c r="L82" s="15"/>
      <c r="M82" s="15"/>
      <c r="N82" s="16"/>
      <c r="O82" s="21"/>
      <c r="R82" s="22" t="s">
        <v>3</v>
      </c>
      <c r="S82">
        <v>2023</v>
      </c>
      <c r="W82" s="23"/>
      <c r="Z82">
        <v>2023</v>
      </c>
      <c r="AA82">
        <v>15</v>
      </c>
    </row>
    <row r="83" spans="1:27" x14ac:dyDescent="0.2">
      <c r="A83" s="10" t="s">
        <v>3</v>
      </c>
      <c r="B83" s="24">
        <v>2024</v>
      </c>
      <c r="C83" s="25">
        <f t="shared" si="11"/>
        <v>0</v>
      </c>
      <c r="D83" s="25">
        <f>'O&amp;M, Heat Rates'!$D$3</f>
        <v>11.709999999999999</v>
      </c>
      <c r="E83" s="26">
        <f>'O&amp;M, Heat Rates'!$C$3</f>
        <v>4.6199999999999992</v>
      </c>
      <c r="F83" s="26">
        <f>IF(B83&lt;2031,'O&amp;M, Heat Rates'!$E$3-'O&amp;M, Heat Rates'!$G$3*(B83-$B$67),'O&amp;M, Heat Rates'!$F$3)/1000</f>
        <v>9.5145</v>
      </c>
      <c r="J83" s="20" t="s">
        <v>3</v>
      </c>
      <c r="K83" s="11">
        <v>2024</v>
      </c>
      <c r="L83" s="15"/>
      <c r="M83" s="15"/>
      <c r="N83" s="16"/>
      <c r="O83" s="21"/>
      <c r="R83" s="22" t="s">
        <v>3</v>
      </c>
      <c r="S83">
        <v>2024</v>
      </c>
      <c r="W83" s="23"/>
      <c r="Z83">
        <v>2024</v>
      </c>
      <c r="AA83">
        <v>16</v>
      </c>
    </row>
    <row r="84" spans="1:27" x14ac:dyDescent="0.2">
      <c r="A84" s="10" t="s">
        <v>3</v>
      </c>
      <c r="B84" s="24">
        <v>2025</v>
      </c>
      <c r="C84" s="25">
        <f t="shared" si="11"/>
        <v>1253.8600233109669</v>
      </c>
      <c r="D84" s="25">
        <f>'O&amp;M, Heat Rates'!$D$3</f>
        <v>11.709999999999999</v>
      </c>
      <c r="E84" s="26">
        <f>'O&amp;M, Heat Rates'!$C$3</f>
        <v>4.6199999999999992</v>
      </c>
      <c r="F84" s="26">
        <f>IF(B84&lt;2031,'O&amp;M, Heat Rates'!$E$3-'O&amp;M, Heat Rates'!$G$3*(B84-$B$67),'O&amp;M, Heat Rates'!$F$3)/1000</f>
        <v>9.5145</v>
      </c>
      <c r="J84" s="20" t="s">
        <v>3</v>
      </c>
      <c r="K84" s="11">
        <v>2025</v>
      </c>
      <c r="L84" s="15"/>
      <c r="M84" s="15"/>
      <c r="N84" s="16"/>
      <c r="O84" s="21"/>
      <c r="R84" s="22" t="s">
        <v>3</v>
      </c>
      <c r="S84">
        <v>2025</v>
      </c>
      <c r="W84" s="23"/>
      <c r="Z84">
        <v>2025</v>
      </c>
      <c r="AA84">
        <v>17</v>
      </c>
    </row>
    <row r="85" spans="1:27" x14ac:dyDescent="0.2">
      <c r="A85" s="10" t="s">
        <v>3</v>
      </c>
      <c r="B85" s="24">
        <v>2026</v>
      </c>
      <c r="C85" s="25">
        <f t="shared" si="11"/>
        <v>1238.6922911635686</v>
      </c>
      <c r="D85" s="25">
        <f>'O&amp;M, Heat Rates'!$D$3</f>
        <v>11.709999999999999</v>
      </c>
      <c r="E85" s="26">
        <f>'O&amp;M, Heat Rates'!$C$3</f>
        <v>4.6199999999999992</v>
      </c>
      <c r="F85" s="26">
        <f>IF(B85&lt;2031,'O&amp;M, Heat Rates'!$E$3-'O&amp;M, Heat Rates'!$G$3*(B85-$B$67),'O&amp;M, Heat Rates'!$F$3)/1000</f>
        <v>9.5145</v>
      </c>
      <c r="J85" s="20" t="s">
        <v>3</v>
      </c>
      <c r="K85" s="11">
        <v>2026</v>
      </c>
      <c r="L85" s="15"/>
      <c r="M85" s="15"/>
      <c r="N85" s="16"/>
      <c r="O85" s="21"/>
      <c r="R85" s="22" t="s">
        <v>3</v>
      </c>
      <c r="S85">
        <v>2026</v>
      </c>
      <c r="W85" s="23"/>
      <c r="Z85">
        <v>2026</v>
      </c>
      <c r="AA85">
        <v>18</v>
      </c>
    </row>
    <row r="86" spans="1:27" x14ac:dyDescent="0.2">
      <c r="A86" s="10" t="s">
        <v>3</v>
      </c>
      <c r="B86" s="24">
        <v>2027</v>
      </c>
      <c r="C86" s="25">
        <f t="shared" si="11"/>
        <v>1226.5977799950754</v>
      </c>
      <c r="D86" s="25">
        <f>'O&amp;M, Heat Rates'!$D$3</f>
        <v>11.709999999999999</v>
      </c>
      <c r="E86" s="26">
        <f>'O&amp;M, Heat Rates'!$C$3</f>
        <v>4.6199999999999992</v>
      </c>
      <c r="F86" s="26">
        <f>IF(B86&lt;2031,'O&amp;M, Heat Rates'!$E$3-'O&amp;M, Heat Rates'!$G$3*(B86-$B$67),'O&amp;M, Heat Rates'!$F$3)/1000</f>
        <v>9.5145</v>
      </c>
      <c r="J86" s="20" t="s">
        <v>3</v>
      </c>
      <c r="K86" s="11">
        <v>2027</v>
      </c>
      <c r="L86" s="15"/>
      <c r="M86" s="15"/>
      <c r="N86" s="16"/>
      <c r="O86" s="21"/>
      <c r="R86" s="22" t="s">
        <v>3</v>
      </c>
      <c r="S86">
        <v>2027</v>
      </c>
      <c r="W86" s="23"/>
      <c r="Z86">
        <v>2027</v>
      </c>
      <c r="AA86">
        <v>19</v>
      </c>
    </row>
    <row r="87" spans="1:27" x14ac:dyDescent="0.2">
      <c r="A87" s="10" t="s">
        <v>3</v>
      </c>
      <c r="B87" s="24">
        <v>2028</v>
      </c>
      <c r="C87" s="25">
        <f t="shared" si="11"/>
        <v>1203.9205952072539</v>
      </c>
      <c r="D87" s="25">
        <f>'O&amp;M, Heat Rates'!$D$3</f>
        <v>11.709999999999999</v>
      </c>
      <c r="E87" s="26">
        <f>'O&amp;M, Heat Rates'!$C$3</f>
        <v>4.6199999999999992</v>
      </c>
      <c r="F87" s="26">
        <f>IF(B87&lt;2031,'O&amp;M, Heat Rates'!$E$3-'O&amp;M, Heat Rates'!$G$3*(B87-$B$67),'O&amp;M, Heat Rates'!$F$3)/1000</f>
        <v>9.5145</v>
      </c>
      <c r="J87" s="20" t="s">
        <v>3</v>
      </c>
      <c r="K87" s="11">
        <v>2028</v>
      </c>
      <c r="L87" s="15"/>
      <c r="M87" s="15"/>
      <c r="N87" s="16"/>
      <c r="O87" s="21"/>
      <c r="R87" s="22" t="s">
        <v>3</v>
      </c>
      <c r="S87">
        <v>2028</v>
      </c>
      <c r="W87" s="23"/>
      <c r="Z87">
        <v>2028</v>
      </c>
      <c r="AA87">
        <v>20</v>
      </c>
    </row>
    <row r="88" spans="1:27" x14ac:dyDescent="0.2">
      <c r="A88" s="10" t="s">
        <v>3</v>
      </c>
      <c r="B88" s="24">
        <v>2029</v>
      </c>
      <c r="C88" s="25">
        <f t="shared" si="11"/>
        <v>1185.0378039477109</v>
      </c>
      <c r="D88" s="25">
        <f>'O&amp;M, Heat Rates'!$D$3</f>
        <v>11.709999999999999</v>
      </c>
      <c r="E88" s="26">
        <f>'O&amp;M, Heat Rates'!$C$3</f>
        <v>4.6199999999999992</v>
      </c>
      <c r="F88" s="26">
        <f>IF(B88&lt;2031,'O&amp;M, Heat Rates'!$E$3-'O&amp;M, Heat Rates'!$G$3*(B88-$B$67),'O&amp;M, Heat Rates'!$F$3)/1000</f>
        <v>9.5145</v>
      </c>
      <c r="J88" s="20" t="s">
        <v>3</v>
      </c>
      <c r="K88" s="11">
        <v>2029</v>
      </c>
      <c r="L88" s="15"/>
      <c r="M88" s="15"/>
      <c r="N88" s="16"/>
      <c r="O88" s="21"/>
      <c r="R88" s="22" t="s">
        <v>3</v>
      </c>
      <c r="S88">
        <v>2029</v>
      </c>
      <c r="W88" s="23"/>
      <c r="Z88">
        <v>2029</v>
      </c>
      <c r="AA88">
        <v>21</v>
      </c>
    </row>
    <row r="89" spans="1:27" x14ac:dyDescent="0.2">
      <c r="A89" s="10" t="s">
        <v>3</v>
      </c>
      <c r="B89" s="24">
        <v>2030</v>
      </c>
      <c r="C89" s="25">
        <f t="shared" si="11"/>
        <v>1169.4869853246223</v>
      </c>
      <c r="D89" s="25">
        <f>'O&amp;M, Heat Rates'!$D$3</f>
        <v>11.709999999999999</v>
      </c>
      <c r="E89" s="26">
        <f>'O&amp;M, Heat Rates'!$C$3</f>
        <v>4.6199999999999992</v>
      </c>
      <c r="F89" s="26">
        <f>IF(B89&lt;2031,'O&amp;M, Heat Rates'!$E$3-'O&amp;M, Heat Rates'!$G$3*(B89-$B$67),'O&amp;M, Heat Rates'!$F$3)/1000</f>
        <v>9.5145</v>
      </c>
      <c r="J89" s="20" t="s">
        <v>3</v>
      </c>
      <c r="K89" s="11">
        <v>2030</v>
      </c>
      <c r="L89" s="15"/>
      <c r="M89" s="15"/>
      <c r="N89" s="16"/>
      <c r="O89" s="21"/>
      <c r="R89" s="22" t="s">
        <v>3</v>
      </c>
      <c r="S89">
        <v>2030</v>
      </c>
      <c r="W89" s="23"/>
      <c r="Z89">
        <v>2030</v>
      </c>
      <c r="AA89">
        <v>22</v>
      </c>
    </row>
    <row r="90" spans="1:27" x14ac:dyDescent="0.2">
      <c r="A90" s="10" t="s">
        <v>3</v>
      </c>
      <c r="B90" s="24">
        <v>2031</v>
      </c>
      <c r="C90" s="25">
        <f t="shared" si="11"/>
        <v>1157.2622399407226</v>
      </c>
      <c r="D90" s="25">
        <f>'O&amp;M, Heat Rates'!$D$3</f>
        <v>11.709999999999999</v>
      </c>
      <c r="E90" s="26">
        <f>'O&amp;M, Heat Rates'!$C$3</f>
        <v>4.6199999999999992</v>
      </c>
      <c r="F90" s="26">
        <f>IF(B90&lt;2031,'O&amp;M, Heat Rates'!$E$3-'O&amp;M, Heat Rates'!$G$3*(B90-$B$67),'O&amp;M, Heat Rates'!$F$3)/1000</f>
        <v>9.5145</v>
      </c>
      <c r="J90" s="20" t="s">
        <v>3</v>
      </c>
      <c r="K90" s="11">
        <v>2031</v>
      </c>
      <c r="L90" s="15"/>
      <c r="M90" s="15"/>
      <c r="N90" s="16"/>
      <c r="O90" s="21"/>
      <c r="R90" s="22" t="s">
        <v>3</v>
      </c>
      <c r="S90">
        <v>2031</v>
      </c>
      <c r="W90" s="23"/>
      <c r="Z90">
        <v>2031</v>
      </c>
      <c r="AA90">
        <v>23</v>
      </c>
    </row>
    <row r="91" spans="1:27" x14ac:dyDescent="0.2">
      <c r="A91" s="10" t="s">
        <v>3</v>
      </c>
      <c r="B91" s="24">
        <v>2032</v>
      </c>
      <c r="C91" s="25">
        <f t="shared" si="11"/>
        <v>1146.599186273409</v>
      </c>
      <c r="D91" s="25">
        <f>'O&amp;M, Heat Rates'!$D$3</f>
        <v>11.709999999999999</v>
      </c>
      <c r="E91" s="26">
        <f>'O&amp;M, Heat Rates'!$C$3</f>
        <v>4.6199999999999992</v>
      </c>
      <c r="F91" s="26">
        <f>IF(B91&lt;2031,'O&amp;M, Heat Rates'!$E$3-'O&amp;M, Heat Rates'!$G$3*(B91-$B$67),'O&amp;M, Heat Rates'!$F$3)/1000</f>
        <v>9.5145</v>
      </c>
      <c r="J91" s="20" t="s">
        <v>3</v>
      </c>
      <c r="K91" s="11">
        <v>2032</v>
      </c>
      <c r="L91" s="15"/>
      <c r="M91" s="15"/>
      <c r="N91" s="16"/>
      <c r="O91" s="21"/>
      <c r="R91" s="22" t="s">
        <v>3</v>
      </c>
      <c r="S91">
        <v>2032</v>
      </c>
      <c r="W91" s="23"/>
      <c r="Z91">
        <v>2032</v>
      </c>
      <c r="AA91">
        <v>24</v>
      </c>
    </row>
    <row r="92" spans="1:27" x14ac:dyDescent="0.2">
      <c r="A92" s="10" t="s">
        <v>3</v>
      </c>
      <c r="B92" s="24">
        <v>2033</v>
      </c>
      <c r="C92" s="25">
        <f t="shared" si="11"/>
        <v>1136.2215840915794</v>
      </c>
      <c r="D92" s="25">
        <f>'O&amp;M, Heat Rates'!$D$3</f>
        <v>11.709999999999999</v>
      </c>
      <c r="E92" s="26">
        <f>'O&amp;M, Heat Rates'!$C$3</f>
        <v>4.6199999999999992</v>
      </c>
      <c r="F92" s="26">
        <f>IF(B92&lt;2031,'O&amp;M, Heat Rates'!$E$3-'O&amp;M, Heat Rates'!$G$3*(B92-$B$67),'O&amp;M, Heat Rates'!$F$3)/1000</f>
        <v>9.5145</v>
      </c>
      <c r="J92" s="20" t="s">
        <v>3</v>
      </c>
      <c r="K92" s="11">
        <v>2033</v>
      </c>
      <c r="L92" s="15"/>
      <c r="M92" s="15"/>
      <c r="N92" s="16"/>
      <c r="O92" s="21"/>
      <c r="R92" s="22" t="s">
        <v>3</v>
      </c>
      <c r="S92">
        <v>2033</v>
      </c>
      <c r="W92" s="23"/>
      <c r="Z92">
        <v>2033</v>
      </c>
      <c r="AA92">
        <v>25</v>
      </c>
    </row>
    <row r="93" spans="1:27" x14ac:dyDescent="0.2">
      <c r="A93" s="10" t="s">
        <v>3</v>
      </c>
      <c r="B93" s="24">
        <v>2034</v>
      </c>
      <c r="C93" s="25">
        <f t="shared" si="11"/>
        <v>1114.3324537937397</v>
      </c>
      <c r="D93" s="25">
        <f>'O&amp;M, Heat Rates'!$D$3</f>
        <v>11.709999999999999</v>
      </c>
      <c r="E93" s="26">
        <f>'O&amp;M, Heat Rates'!$C$3</f>
        <v>4.6199999999999992</v>
      </c>
      <c r="F93" s="26">
        <f>IF(B93&lt;2031,'O&amp;M, Heat Rates'!$E$3-'O&amp;M, Heat Rates'!$G$3*(B93-$B$67),'O&amp;M, Heat Rates'!$F$3)/1000</f>
        <v>9.5145</v>
      </c>
      <c r="J93" s="20" t="s">
        <v>3</v>
      </c>
      <c r="K93" s="11">
        <v>2034</v>
      </c>
      <c r="L93" s="15"/>
      <c r="M93" s="15"/>
      <c r="N93" s="16"/>
      <c r="O93" s="21"/>
      <c r="R93" s="22" t="s">
        <v>3</v>
      </c>
      <c r="S93">
        <v>2034</v>
      </c>
      <c r="W93" s="23"/>
      <c r="Z93">
        <v>2034</v>
      </c>
      <c r="AA93">
        <v>26</v>
      </c>
    </row>
    <row r="94" spans="1:27" x14ac:dyDescent="0.2">
      <c r="A94" s="10" t="s">
        <v>3</v>
      </c>
      <c r="B94" s="24">
        <v>2035</v>
      </c>
      <c r="C94" s="25">
        <f t="shared" si="11"/>
        <v>1106.7469380713992</v>
      </c>
      <c r="D94" s="25">
        <f>'O&amp;M, Heat Rates'!$D$3</f>
        <v>11.709999999999999</v>
      </c>
      <c r="E94" s="26">
        <f>'O&amp;M, Heat Rates'!$C$3</f>
        <v>4.6199999999999992</v>
      </c>
      <c r="F94" s="26">
        <f>IF(B94&lt;2031,'O&amp;M, Heat Rates'!$E$3-'O&amp;M, Heat Rates'!$G$3*(B94-$B$67),'O&amp;M, Heat Rates'!$F$3)/1000</f>
        <v>9.5145</v>
      </c>
      <c r="J94" s="20" t="s">
        <v>3</v>
      </c>
      <c r="K94" s="11">
        <v>2035</v>
      </c>
      <c r="L94" s="15"/>
      <c r="M94" s="15"/>
      <c r="N94" s="16"/>
      <c r="O94" s="21"/>
      <c r="R94" s="22" t="s">
        <v>3</v>
      </c>
      <c r="S94">
        <v>2035</v>
      </c>
      <c r="W94" s="23"/>
      <c r="Z94">
        <v>2035</v>
      </c>
      <c r="AA94">
        <v>27</v>
      </c>
    </row>
    <row r="95" spans="1:27" x14ac:dyDescent="0.2">
      <c r="A95" s="10" t="s">
        <v>3</v>
      </c>
      <c r="B95" s="24">
        <v>2036</v>
      </c>
      <c r="C95" s="25">
        <f t="shared" si="11"/>
        <v>1098.6852864113409</v>
      </c>
      <c r="D95" s="25">
        <f>'O&amp;M, Heat Rates'!$D$3</f>
        <v>11.709999999999999</v>
      </c>
      <c r="E95" s="26">
        <f>'O&amp;M, Heat Rates'!$C$3</f>
        <v>4.6199999999999992</v>
      </c>
      <c r="F95" s="26">
        <f>IF(B95&lt;2031,'O&amp;M, Heat Rates'!$E$3-'O&amp;M, Heat Rates'!$G$3*(B95-$B$67),'O&amp;M, Heat Rates'!$F$3)/1000</f>
        <v>9.5145</v>
      </c>
      <c r="J95" s="20" t="s">
        <v>3</v>
      </c>
      <c r="K95" s="11">
        <v>2036</v>
      </c>
      <c r="L95" s="15"/>
      <c r="M95" s="15"/>
      <c r="N95" s="16"/>
      <c r="O95" s="21"/>
      <c r="R95" s="22" t="s">
        <v>3</v>
      </c>
      <c r="S95">
        <v>2036</v>
      </c>
      <c r="W95" s="23"/>
      <c r="Z95">
        <v>2036</v>
      </c>
      <c r="AA95">
        <v>28</v>
      </c>
    </row>
    <row r="96" spans="1:27" x14ac:dyDescent="0.2">
      <c r="A96" s="10" t="s">
        <v>3</v>
      </c>
      <c r="B96" s="24">
        <v>2037</v>
      </c>
      <c r="C96" s="25">
        <f t="shared" si="11"/>
        <v>1092.1518730341509</v>
      </c>
      <c r="D96" s="25">
        <f>'O&amp;M, Heat Rates'!$D$3</f>
        <v>11.709999999999999</v>
      </c>
      <c r="E96" s="26">
        <f>'O&amp;M, Heat Rates'!$C$3</f>
        <v>4.6199999999999992</v>
      </c>
      <c r="F96" s="26">
        <f>IF(B96&lt;2031,'O&amp;M, Heat Rates'!$E$3-'O&amp;M, Heat Rates'!$G$3*(B96-$B$67),'O&amp;M, Heat Rates'!$F$3)/1000</f>
        <v>9.5145</v>
      </c>
      <c r="J96" s="20" t="s">
        <v>3</v>
      </c>
      <c r="K96" s="11">
        <v>2037</v>
      </c>
      <c r="L96" s="15"/>
      <c r="M96" s="15"/>
      <c r="N96" s="16"/>
      <c r="O96" s="21"/>
      <c r="R96" s="22" t="s">
        <v>3</v>
      </c>
      <c r="S96">
        <v>2037</v>
      </c>
      <c r="W96" s="23"/>
      <c r="Z96">
        <v>2037</v>
      </c>
      <c r="AA96">
        <v>29</v>
      </c>
    </row>
    <row r="97" spans="1:27" x14ac:dyDescent="0.2">
      <c r="A97" s="10" t="s">
        <v>3</v>
      </c>
      <c r="B97" s="24">
        <v>2038</v>
      </c>
      <c r="C97" s="25">
        <f t="shared" si="11"/>
        <v>1088.6188202776202</v>
      </c>
      <c r="D97" s="25">
        <f>'O&amp;M, Heat Rates'!$D$3</f>
        <v>11.709999999999999</v>
      </c>
      <c r="E97" s="26">
        <f>'O&amp;M, Heat Rates'!$C$3</f>
        <v>4.6199999999999992</v>
      </c>
      <c r="F97" s="26">
        <f>IF(B97&lt;2031,'O&amp;M, Heat Rates'!$E$3-'O&amp;M, Heat Rates'!$G$3*(B97-$B$67),'O&amp;M, Heat Rates'!$F$3)/1000</f>
        <v>9.5145</v>
      </c>
      <c r="J97" s="20" t="s">
        <v>3</v>
      </c>
      <c r="K97" s="11">
        <v>2038</v>
      </c>
      <c r="L97" s="15"/>
      <c r="M97" s="15"/>
      <c r="N97" s="16"/>
      <c r="O97" s="21"/>
      <c r="R97" s="22" t="s">
        <v>3</v>
      </c>
      <c r="S97">
        <v>2038</v>
      </c>
      <c r="W97" s="23"/>
      <c r="Z97">
        <v>2038</v>
      </c>
      <c r="AA97">
        <v>30</v>
      </c>
    </row>
    <row r="98" spans="1:27" x14ac:dyDescent="0.2">
      <c r="A98" s="10" t="s">
        <v>3</v>
      </c>
      <c r="B98" s="24">
        <v>2039</v>
      </c>
      <c r="C98" s="25">
        <f t="shared" si="11"/>
        <v>1084.7428457951405</v>
      </c>
      <c r="D98" s="25">
        <f>'O&amp;M, Heat Rates'!$D$3</f>
        <v>11.709999999999999</v>
      </c>
      <c r="E98" s="26">
        <f>'O&amp;M, Heat Rates'!$C$3</f>
        <v>4.6199999999999992</v>
      </c>
      <c r="F98" s="26">
        <f>IF(B98&lt;2031,'O&amp;M, Heat Rates'!$E$3-'O&amp;M, Heat Rates'!$G$3*(B98-$B$67),'O&amp;M, Heat Rates'!$F$3)/1000</f>
        <v>9.5145</v>
      </c>
      <c r="J98" s="20" t="s">
        <v>3</v>
      </c>
      <c r="K98" s="11">
        <v>2039</v>
      </c>
      <c r="L98" s="15"/>
      <c r="M98" s="15"/>
      <c r="N98" s="16"/>
      <c r="O98" s="21"/>
      <c r="R98" s="22" t="s">
        <v>3</v>
      </c>
      <c r="S98">
        <v>2039</v>
      </c>
      <c r="W98" s="23"/>
      <c r="Z98">
        <v>2039</v>
      </c>
      <c r="AA98">
        <v>31</v>
      </c>
    </row>
    <row r="99" spans="1:27" x14ac:dyDescent="0.2">
      <c r="A99" s="10" t="s">
        <v>3</v>
      </c>
      <c r="B99" s="24">
        <v>2040</v>
      </c>
      <c r="C99" s="25">
        <f t="shared" si="11"/>
        <v>1080.1441512537895</v>
      </c>
      <c r="D99" s="25">
        <f>'O&amp;M, Heat Rates'!$D$3</f>
        <v>11.709999999999999</v>
      </c>
      <c r="E99" s="26">
        <f>'O&amp;M, Heat Rates'!$C$3</f>
        <v>4.6199999999999992</v>
      </c>
      <c r="F99" s="26">
        <f>IF(B99&lt;2031,'O&amp;M, Heat Rates'!$E$3-'O&amp;M, Heat Rates'!$G$3*(B99-$B$67),'O&amp;M, Heat Rates'!$F$3)/1000</f>
        <v>9.5145</v>
      </c>
      <c r="J99" s="20" t="s">
        <v>3</v>
      </c>
      <c r="K99" s="11">
        <v>2040</v>
      </c>
      <c r="L99" s="15"/>
      <c r="M99" s="15"/>
      <c r="N99" s="16"/>
      <c r="O99" s="21"/>
      <c r="R99" s="22" t="s">
        <v>3</v>
      </c>
      <c r="S99">
        <v>2040</v>
      </c>
      <c r="W99" s="23"/>
      <c r="Z99">
        <v>2040</v>
      </c>
      <c r="AA99">
        <v>32</v>
      </c>
    </row>
    <row r="100" spans="1:27" x14ac:dyDescent="0.2">
      <c r="A100" s="10" t="s">
        <v>3</v>
      </c>
      <c r="B100" s="24">
        <v>2041</v>
      </c>
      <c r="C100" s="25">
        <f t="shared" si="11"/>
        <v>1073.3605074564464</v>
      </c>
      <c r="D100" s="25">
        <f>'O&amp;M, Heat Rates'!$D$3</f>
        <v>11.709999999999999</v>
      </c>
      <c r="E100" s="26">
        <f>'O&amp;M, Heat Rates'!$C$3</f>
        <v>4.6199999999999992</v>
      </c>
      <c r="F100" s="26">
        <f>IF(B100&lt;2031,'O&amp;M, Heat Rates'!$E$3-'O&amp;M, Heat Rates'!$G$3*(B100-$B$67),'O&amp;M, Heat Rates'!$F$3)/1000</f>
        <v>9.5145</v>
      </c>
      <c r="J100" s="20" t="s">
        <v>3</v>
      </c>
      <c r="K100" s="11">
        <v>2041</v>
      </c>
      <c r="L100" s="15"/>
      <c r="M100" s="15"/>
      <c r="N100" s="16"/>
      <c r="O100" s="21"/>
      <c r="R100" s="22" t="s">
        <v>3</v>
      </c>
      <c r="S100">
        <v>2041</v>
      </c>
      <c r="W100" s="23"/>
      <c r="Z100">
        <v>2041</v>
      </c>
      <c r="AA100">
        <v>33</v>
      </c>
    </row>
    <row r="101" spans="1:27" x14ac:dyDescent="0.2">
      <c r="A101" s="10" t="s">
        <v>3</v>
      </c>
      <c r="B101" s="24">
        <v>2042</v>
      </c>
      <c r="C101" s="25">
        <f t="shared" si="11"/>
        <v>1070.0760978468575</v>
      </c>
      <c r="D101" s="25">
        <f>'O&amp;M, Heat Rates'!$D$3</f>
        <v>11.709999999999999</v>
      </c>
      <c r="E101" s="26">
        <f>'O&amp;M, Heat Rates'!$C$3</f>
        <v>4.6199999999999992</v>
      </c>
      <c r="F101" s="26">
        <f>IF(B101&lt;2031,'O&amp;M, Heat Rates'!$E$3-'O&amp;M, Heat Rates'!$G$3*(B101-$B$67),'O&amp;M, Heat Rates'!$F$3)/1000</f>
        <v>9.5145</v>
      </c>
      <c r="J101" s="20" t="s">
        <v>3</v>
      </c>
      <c r="K101" s="11">
        <v>2042</v>
      </c>
      <c r="L101" s="15"/>
      <c r="M101" s="15"/>
      <c r="N101" s="16"/>
      <c r="O101" s="21"/>
      <c r="R101" s="22" t="s">
        <v>3</v>
      </c>
      <c r="S101">
        <v>2042</v>
      </c>
      <c r="W101" s="23"/>
      <c r="Z101">
        <v>2042</v>
      </c>
      <c r="AA101">
        <v>34</v>
      </c>
    </row>
    <row r="102" spans="1:27" x14ac:dyDescent="0.2">
      <c r="A102" s="10" t="s">
        <v>3</v>
      </c>
      <c r="B102" s="24">
        <v>2043</v>
      </c>
      <c r="C102" s="25">
        <f t="shared" si="11"/>
        <v>1067.0972251745757</v>
      </c>
      <c r="D102" s="25">
        <f>'O&amp;M, Heat Rates'!$D$3</f>
        <v>11.709999999999999</v>
      </c>
      <c r="E102" s="26">
        <f>'O&amp;M, Heat Rates'!$C$3</f>
        <v>4.6199999999999992</v>
      </c>
      <c r="F102" s="26">
        <f>IF(B102&lt;2031,'O&amp;M, Heat Rates'!$E$3-'O&amp;M, Heat Rates'!$G$3*(B102-$B$67),'O&amp;M, Heat Rates'!$F$3)/1000</f>
        <v>9.5145</v>
      </c>
      <c r="J102" s="20" t="s">
        <v>3</v>
      </c>
      <c r="K102" s="11">
        <v>2043</v>
      </c>
      <c r="L102" s="15"/>
      <c r="M102" s="15"/>
      <c r="N102" s="16"/>
      <c r="O102" s="21"/>
      <c r="R102" s="22" t="s">
        <v>3</v>
      </c>
      <c r="S102">
        <v>2043</v>
      </c>
      <c r="W102" s="23"/>
      <c r="Z102">
        <v>2043</v>
      </c>
      <c r="AA102">
        <v>35</v>
      </c>
    </row>
    <row r="103" spans="1:27" x14ac:dyDescent="0.2">
      <c r="A103" s="10" t="s">
        <v>3</v>
      </c>
      <c r="B103" s="24">
        <v>2044</v>
      </c>
      <c r="C103" s="25">
        <f t="shared" si="11"/>
        <v>1063.2757151525448</v>
      </c>
      <c r="D103" s="25">
        <f>'O&amp;M, Heat Rates'!$D$3</f>
        <v>11.709999999999999</v>
      </c>
      <c r="E103" s="26">
        <f>'O&amp;M, Heat Rates'!$C$3</f>
        <v>4.6199999999999992</v>
      </c>
      <c r="F103" s="26">
        <f>IF(B103&lt;2031,'O&amp;M, Heat Rates'!$E$3-'O&amp;M, Heat Rates'!$G$3*(B103-$B$67),'O&amp;M, Heat Rates'!$F$3)/1000</f>
        <v>9.5145</v>
      </c>
      <c r="J103" s="20" t="s">
        <v>3</v>
      </c>
      <c r="K103" s="11">
        <v>2044</v>
      </c>
      <c r="L103" s="15"/>
      <c r="M103" s="15"/>
      <c r="N103" s="16"/>
      <c r="O103" s="21"/>
      <c r="R103" s="22" t="s">
        <v>3</v>
      </c>
      <c r="S103">
        <v>2044</v>
      </c>
      <c r="W103" s="23"/>
      <c r="Z103">
        <v>2044</v>
      </c>
      <c r="AA103">
        <v>36</v>
      </c>
    </row>
    <row r="104" spans="1:27" x14ac:dyDescent="0.2">
      <c r="A104" s="10" t="s">
        <v>3</v>
      </c>
      <c r="B104" s="24">
        <v>2045</v>
      </c>
      <c r="C104" s="25">
        <f t="shared" si="11"/>
        <v>1060.2797738409438</v>
      </c>
      <c r="D104" s="25">
        <f>'O&amp;M, Heat Rates'!$D$3</f>
        <v>11.709999999999999</v>
      </c>
      <c r="E104" s="26">
        <f>'O&amp;M, Heat Rates'!$C$3</f>
        <v>4.6199999999999992</v>
      </c>
      <c r="F104" s="26">
        <f>IF(B104&lt;2031,'O&amp;M, Heat Rates'!$E$3-'O&amp;M, Heat Rates'!$G$3*(B104-$B$67),'O&amp;M, Heat Rates'!$F$3)/1000</f>
        <v>9.5145</v>
      </c>
      <c r="J104" s="20" t="s">
        <v>3</v>
      </c>
      <c r="K104" s="11">
        <v>2045</v>
      </c>
      <c r="L104" s="15"/>
      <c r="M104" s="15"/>
      <c r="N104" s="16"/>
      <c r="O104" s="21"/>
      <c r="R104" s="22" t="s">
        <v>3</v>
      </c>
      <c r="S104">
        <v>2045</v>
      </c>
      <c r="W104" s="23"/>
      <c r="Z104">
        <v>2045</v>
      </c>
      <c r="AA104">
        <v>37</v>
      </c>
    </row>
    <row r="105" spans="1:27" x14ac:dyDescent="0.2">
      <c r="A105" s="10" t="s">
        <v>3</v>
      </c>
      <c r="B105" s="24">
        <v>2046</v>
      </c>
      <c r="C105" s="25">
        <f t="shared" si="11"/>
        <v>1056.0380568544285</v>
      </c>
      <c r="D105" s="25">
        <f>'O&amp;M, Heat Rates'!$D$3</f>
        <v>11.709999999999999</v>
      </c>
      <c r="E105" s="26">
        <f>'O&amp;M, Heat Rates'!$C$3</f>
        <v>4.6199999999999992</v>
      </c>
      <c r="F105" s="26">
        <f>IF(B105&lt;2031,'O&amp;M, Heat Rates'!$E$3-'O&amp;M, Heat Rates'!$G$3*(B105-$B$67),'O&amp;M, Heat Rates'!$F$3)/1000</f>
        <v>9.5145</v>
      </c>
      <c r="J105" s="20" t="s">
        <v>3</v>
      </c>
      <c r="K105" s="11">
        <v>2046</v>
      </c>
      <c r="L105" s="15"/>
      <c r="M105" s="15"/>
      <c r="N105" s="16"/>
      <c r="O105" s="21"/>
      <c r="R105" s="22" t="s">
        <v>3</v>
      </c>
      <c r="S105">
        <v>2046</v>
      </c>
      <c r="W105" s="23"/>
      <c r="Z105">
        <v>2046</v>
      </c>
      <c r="AA105">
        <v>38</v>
      </c>
    </row>
    <row r="106" spans="1:27" x14ac:dyDescent="0.2">
      <c r="A106" s="10" t="s">
        <v>3</v>
      </c>
      <c r="B106" s="24">
        <v>2047</v>
      </c>
      <c r="C106" s="25">
        <f t="shared" si="11"/>
        <v>1051.3518463988321</v>
      </c>
      <c r="D106" s="25">
        <f>'O&amp;M, Heat Rates'!$D$3</f>
        <v>11.709999999999999</v>
      </c>
      <c r="E106" s="26">
        <f>'O&amp;M, Heat Rates'!$C$3</f>
        <v>4.6199999999999992</v>
      </c>
      <c r="F106" s="26">
        <f>IF(B106&lt;2031,'O&amp;M, Heat Rates'!$E$3-'O&amp;M, Heat Rates'!$G$3*(B106-$B$67),'O&amp;M, Heat Rates'!$F$3)/1000</f>
        <v>9.5145</v>
      </c>
      <c r="J106" s="20" t="s">
        <v>3</v>
      </c>
      <c r="K106" s="11">
        <v>2047</v>
      </c>
      <c r="L106" s="15"/>
      <c r="M106" s="15"/>
      <c r="N106" s="16"/>
      <c r="O106" s="21"/>
      <c r="R106" s="22" t="s">
        <v>3</v>
      </c>
      <c r="S106">
        <v>2047</v>
      </c>
      <c r="W106" s="23"/>
      <c r="Z106">
        <v>2047</v>
      </c>
      <c r="AA106">
        <v>39</v>
      </c>
    </row>
    <row r="107" spans="1:27" x14ac:dyDescent="0.2">
      <c r="A107" s="10" t="s">
        <v>3</v>
      </c>
      <c r="B107" s="24">
        <v>2048</v>
      </c>
      <c r="C107" s="25">
        <f t="shared" si="11"/>
        <v>1047.7042802110802</v>
      </c>
      <c r="D107" s="25">
        <f>'O&amp;M, Heat Rates'!$D$3</f>
        <v>11.709999999999999</v>
      </c>
      <c r="E107" s="26">
        <f>'O&amp;M, Heat Rates'!$C$3</f>
        <v>4.6199999999999992</v>
      </c>
      <c r="F107" s="26">
        <f>IF(B107&lt;2031,'O&amp;M, Heat Rates'!$E$3-'O&amp;M, Heat Rates'!$G$3*(B107-$B$67),'O&amp;M, Heat Rates'!$F$3)/1000</f>
        <v>9.5145</v>
      </c>
      <c r="J107" s="20" t="s">
        <v>3</v>
      </c>
      <c r="K107" s="11">
        <v>2048</v>
      </c>
      <c r="L107" s="15"/>
      <c r="M107" s="15"/>
      <c r="N107" s="16"/>
      <c r="O107" s="21"/>
      <c r="R107" s="22" t="s">
        <v>3</v>
      </c>
      <c r="S107">
        <v>2048</v>
      </c>
      <c r="W107" s="23"/>
      <c r="Z107">
        <v>2048</v>
      </c>
      <c r="AA107">
        <v>40</v>
      </c>
    </row>
    <row r="108" spans="1:27" x14ac:dyDescent="0.2">
      <c r="A108" s="10" t="s">
        <v>3</v>
      </c>
      <c r="B108" s="24">
        <v>2049</v>
      </c>
      <c r="C108" s="25">
        <f t="shared" si="11"/>
        <v>1044.5156139131468</v>
      </c>
      <c r="D108" s="25">
        <f>'O&amp;M, Heat Rates'!$D$3</f>
        <v>11.709999999999999</v>
      </c>
      <c r="E108" s="26">
        <f>'O&amp;M, Heat Rates'!$C$3</f>
        <v>4.6199999999999992</v>
      </c>
      <c r="F108" s="26">
        <f>IF(B108&lt;2031,'O&amp;M, Heat Rates'!$E$3-'O&amp;M, Heat Rates'!$G$3*(B108-$B$67),'O&amp;M, Heat Rates'!$F$3)/1000</f>
        <v>9.5145</v>
      </c>
      <c r="J108" s="20" t="s">
        <v>3</v>
      </c>
      <c r="K108" s="11">
        <v>2049</v>
      </c>
      <c r="L108" s="15"/>
      <c r="M108" s="15"/>
      <c r="N108" s="16"/>
      <c r="O108" s="21"/>
      <c r="R108" s="22" t="s">
        <v>3</v>
      </c>
      <c r="S108">
        <v>2049</v>
      </c>
      <c r="W108" s="23"/>
      <c r="Z108">
        <v>2049</v>
      </c>
      <c r="AA108">
        <v>41</v>
      </c>
    </row>
    <row r="109" spans="1:27" x14ac:dyDescent="0.2">
      <c r="A109" s="10" t="s">
        <v>3</v>
      </c>
      <c r="B109" s="24">
        <v>2050</v>
      </c>
      <c r="C109" s="25">
        <f t="shared" si="11"/>
        <v>1038.0740535682428</v>
      </c>
      <c r="D109" s="25">
        <f>'O&amp;M, Heat Rates'!$D$3</f>
        <v>11.709999999999999</v>
      </c>
      <c r="E109" s="26">
        <f>'O&amp;M, Heat Rates'!$C$3</f>
        <v>4.6199999999999992</v>
      </c>
      <c r="F109" s="26">
        <f>IF(B109&lt;2031,'O&amp;M, Heat Rates'!$E$3-'O&amp;M, Heat Rates'!$G$3*(B109-$B$67),'O&amp;M, Heat Rates'!$F$3)/1000</f>
        <v>9.5145</v>
      </c>
      <c r="J109" s="20" t="s">
        <v>3</v>
      </c>
      <c r="K109" s="11">
        <v>2050</v>
      </c>
      <c r="L109" s="15"/>
      <c r="M109" s="15"/>
      <c r="N109" s="16"/>
      <c r="O109" s="21"/>
      <c r="R109" s="22" t="s">
        <v>3</v>
      </c>
      <c r="S109">
        <v>2050</v>
      </c>
      <c r="W109" s="23"/>
      <c r="Z109">
        <v>2050</v>
      </c>
      <c r="AA109">
        <v>42</v>
      </c>
    </row>
    <row r="110" spans="1:27" x14ac:dyDescent="0.2">
      <c r="A110" s="10" t="s">
        <v>4</v>
      </c>
      <c r="B110" s="24">
        <v>2010</v>
      </c>
      <c r="C110" s="25">
        <f t="shared" si="11"/>
        <v>0</v>
      </c>
      <c r="D110" s="25">
        <f>'O&amp;M, Heat Rates'!$D$4</f>
        <v>13.215</v>
      </c>
      <c r="E110" s="26">
        <f>'O&amp;M, Heat Rates'!$C$4</f>
        <v>2.2199999999999998</v>
      </c>
      <c r="F110" s="26">
        <v>6.5374999999999996</v>
      </c>
      <c r="J110" s="20" t="s">
        <v>4</v>
      </c>
      <c r="K110" s="11">
        <v>2010</v>
      </c>
      <c r="L110" s="15"/>
      <c r="M110" s="15"/>
      <c r="N110" s="16"/>
      <c r="O110" s="21"/>
      <c r="R110" s="22" t="s">
        <v>4</v>
      </c>
      <c r="S110">
        <v>2010</v>
      </c>
      <c r="W110" s="23"/>
    </row>
    <row r="111" spans="1:27" x14ac:dyDescent="0.2">
      <c r="A111" s="10" t="s">
        <v>4</v>
      </c>
      <c r="B111" s="24">
        <v>2011</v>
      </c>
      <c r="C111" s="25">
        <f t="shared" si="11"/>
        <v>0</v>
      </c>
      <c r="D111" s="25">
        <f>'O&amp;M, Heat Rates'!$D$4</f>
        <v>13.215</v>
      </c>
      <c r="E111" s="26">
        <f>'O&amp;M, Heat Rates'!$C$4</f>
        <v>2.2199999999999998</v>
      </c>
      <c r="F111" s="26">
        <v>6.5250000000000004</v>
      </c>
      <c r="J111" s="20" t="s">
        <v>4</v>
      </c>
      <c r="K111" s="11">
        <v>2011</v>
      </c>
      <c r="L111" s="15"/>
      <c r="M111" s="15"/>
      <c r="N111" s="16"/>
      <c r="O111" s="21"/>
      <c r="R111" s="22" t="s">
        <v>4</v>
      </c>
      <c r="S111">
        <v>2011</v>
      </c>
      <c r="W111" s="23"/>
    </row>
    <row r="112" spans="1:27" x14ac:dyDescent="0.2">
      <c r="A112" s="10" t="s">
        <v>4</v>
      </c>
      <c r="B112" s="24">
        <v>2012</v>
      </c>
      <c r="C112" s="25">
        <f t="shared" si="11"/>
        <v>0</v>
      </c>
      <c r="D112" s="25">
        <f>'O&amp;M, Heat Rates'!$D$4</f>
        <v>13.215</v>
      </c>
      <c r="E112" s="26">
        <f>'O&amp;M, Heat Rates'!$C$4</f>
        <v>2.2199999999999998</v>
      </c>
      <c r="F112" s="26">
        <v>6.5125000000000002</v>
      </c>
      <c r="J112" s="20" t="s">
        <v>4</v>
      </c>
      <c r="K112" s="11">
        <v>2012</v>
      </c>
      <c r="L112" s="15"/>
      <c r="M112" s="15"/>
      <c r="N112" s="16"/>
      <c r="O112" s="21"/>
      <c r="R112" s="22" t="s">
        <v>4</v>
      </c>
      <c r="S112">
        <v>2012</v>
      </c>
      <c r="W112" s="23"/>
    </row>
    <row r="113" spans="1:23" x14ac:dyDescent="0.2">
      <c r="A113" s="10" t="s">
        <v>4</v>
      </c>
      <c r="B113" s="24">
        <v>2013</v>
      </c>
      <c r="C113" s="25">
        <f t="shared" si="11"/>
        <v>0</v>
      </c>
      <c r="D113" s="25">
        <f>'O&amp;M, Heat Rates'!$D$4</f>
        <v>13.215</v>
      </c>
      <c r="E113" s="26">
        <f>'O&amp;M, Heat Rates'!$C$4</f>
        <v>2.2199999999999998</v>
      </c>
      <c r="F113" s="26">
        <v>6.5</v>
      </c>
      <c r="J113" s="20" t="s">
        <v>4</v>
      </c>
      <c r="K113" s="11">
        <v>2013</v>
      </c>
      <c r="L113" s="15"/>
      <c r="M113" s="15"/>
      <c r="N113" s="16"/>
      <c r="O113" s="21"/>
      <c r="R113" s="22" t="s">
        <v>4</v>
      </c>
      <c r="S113">
        <v>2013</v>
      </c>
      <c r="W113" s="23"/>
    </row>
    <row r="114" spans="1:23" x14ac:dyDescent="0.2">
      <c r="A114" s="10" t="s">
        <v>4</v>
      </c>
      <c r="B114" s="24">
        <v>2014</v>
      </c>
      <c r="C114" s="25">
        <f t="shared" si="11"/>
        <v>0</v>
      </c>
      <c r="D114" s="25">
        <f>'O&amp;M, Heat Rates'!$D$4</f>
        <v>13.215</v>
      </c>
      <c r="E114" s="26">
        <f>'O&amp;M, Heat Rates'!$C$4</f>
        <v>2.2199999999999998</v>
      </c>
      <c r="F114" s="26">
        <v>6.4874999999999998</v>
      </c>
      <c r="J114" s="20" t="s">
        <v>4</v>
      </c>
      <c r="K114" s="11">
        <v>2014</v>
      </c>
      <c r="L114" s="15"/>
      <c r="M114" s="15"/>
      <c r="N114" s="16"/>
      <c r="O114" s="21"/>
      <c r="R114" s="22" t="s">
        <v>4</v>
      </c>
      <c r="S114">
        <v>2014</v>
      </c>
      <c r="W114" s="23"/>
    </row>
    <row r="115" spans="1:23" x14ac:dyDescent="0.2">
      <c r="A115" s="10" t="s">
        <v>4</v>
      </c>
      <c r="B115" s="24">
        <v>2015</v>
      </c>
      <c r="C115" s="25">
        <f t="shared" si="11"/>
        <v>0</v>
      </c>
      <c r="D115" s="25">
        <f>'O&amp;M, Heat Rates'!$D$4</f>
        <v>13.215</v>
      </c>
      <c r="E115" s="26">
        <f>'O&amp;M, Heat Rates'!$C$4</f>
        <v>2.2199999999999998</v>
      </c>
      <c r="F115" s="26">
        <v>6.4749999999999996</v>
      </c>
      <c r="J115" s="20" t="s">
        <v>4</v>
      </c>
      <c r="K115" s="11">
        <v>2015</v>
      </c>
      <c r="L115" s="15"/>
      <c r="M115" s="15"/>
      <c r="N115" s="16"/>
      <c r="O115" s="21"/>
      <c r="R115" s="22" t="s">
        <v>4</v>
      </c>
      <c r="S115">
        <v>2015</v>
      </c>
      <c r="W115" s="23"/>
    </row>
    <row r="116" spans="1:23" x14ac:dyDescent="0.2">
      <c r="A116" s="10" t="s">
        <v>4</v>
      </c>
      <c r="B116" s="24">
        <v>2016</v>
      </c>
      <c r="C116" s="25">
        <f t="shared" si="11"/>
        <v>0</v>
      </c>
      <c r="D116" s="25">
        <f>'O&amp;M, Heat Rates'!$D$4</f>
        <v>13.215</v>
      </c>
      <c r="E116" s="26">
        <f>'O&amp;M, Heat Rates'!$C$4</f>
        <v>2.2199999999999998</v>
      </c>
      <c r="F116" s="26">
        <v>6.4625000000000004</v>
      </c>
      <c r="J116" s="20" t="s">
        <v>4</v>
      </c>
      <c r="K116" s="11">
        <v>2016</v>
      </c>
      <c r="L116" s="15"/>
      <c r="M116" s="15"/>
      <c r="N116" s="16"/>
      <c r="O116" s="21"/>
      <c r="R116" s="22" t="s">
        <v>4</v>
      </c>
      <c r="S116">
        <v>2016</v>
      </c>
      <c r="W116" s="23"/>
    </row>
    <row r="117" spans="1:23" x14ac:dyDescent="0.2">
      <c r="A117" s="10" t="s">
        <v>4</v>
      </c>
      <c r="B117" s="24">
        <v>2017</v>
      </c>
      <c r="C117" s="25">
        <f t="shared" si="11"/>
        <v>0</v>
      </c>
      <c r="D117" s="25">
        <f>'O&amp;M, Heat Rates'!$D$4</f>
        <v>13.215</v>
      </c>
      <c r="E117" s="26">
        <f>'O&amp;M, Heat Rates'!$C$4</f>
        <v>2.2199999999999998</v>
      </c>
      <c r="F117" s="26">
        <f>IF(B117&lt;2031,'O&amp;M, Heat Rates'!$E$4-'O&amp;M, Heat Rates'!$G$4*(B117-$B$67),'O&amp;M, Heat Rates'!$F$4)/1000</f>
        <v>6.4005000000000001</v>
      </c>
      <c r="J117" s="20" t="s">
        <v>4</v>
      </c>
      <c r="K117" s="11">
        <v>2017</v>
      </c>
      <c r="L117" s="15"/>
      <c r="M117" s="15"/>
      <c r="N117" s="16"/>
      <c r="O117" s="21"/>
      <c r="R117" s="22" t="s">
        <v>4</v>
      </c>
      <c r="S117">
        <v>2017</v>
      </c>
      <c r="W117" s="23"/>
    </row>
    <row r="118" spans="1:23" x14ac:dyDescent="0.2">
      <c r="A118" s="10" t="s">
        <v>4</v>
      </c>
      <c r="B118" s="24">
        <v>2018</v>
      </c>
      <c r="C118" s="25">
        <f t="shared" si="11"/>
        <v>0</v>
      </c>
      <c r="D118" s="25">
        <f>'O&amp;M, Heat Rates'!$D$4</f>
        <v>13.215</v>
      </c>
      <c r="E118" s="26">
        <f>'O&amp;M, Heat Rates'!$C$4</f>
        <v>2.2199999999999998</v>
      </c>
      <c r="F118" s="26">
        <f>IF(B118&lt;2031,'O&amp;M, Heat Rates'!$E$4-'O&amp;M, Heat Rates'!$G$4*(B118-$B$67),'O&amp;M, Heat Rates'!$F$4)/1000</f>
        <v>6.4005000000000001</v>
      </c>
      <c r="J118" s="20" t="s">
        <v>4</v>
      </c>
      <c r="K118" s="11">
        <v>2018</v>
      </c>
      <c r="L118" s="15"/>
      <c r="M118" s="15"/>
      <c r="N118" s="16"/>
      <c r="O118" s="21"/>
      <c r="R118" s="22" t="s">
        <v>4</v>
      </c>
      <c r="S118">
        <v>2018</v>
      </c>
      <c r="W118" s="23"/>
    </row>
    <row r="119" spans="1:23" x14ac:dyDescent="0.2">
      <c r="A119" s="10" t="s">
        <v>4</v>
      </c>
      <c r="B119" s="24">
        <v>2019</v>
      </c>
      <c r="C119" s="25">
        <f t="shared" si="11"/>
        <v>0</v>
      </c>
      <c r="D119" s="25">
        <f>'O&amp;M, Heat Rates'!$D$4</f>
        <v>13.215</v>
      </c>
      <c r="E119" s="26">
        <f>'O&amp;M, Heat Rates'!$C$4</f>
        <v>2.2199999999999998</v>
      </c>
      <c r="F119" s="26">
        <f>IF(B119&lt;2031,'O&amp;M, Heat Rates'!$E$4-'O&amp;M, Heat Rates'!$G$4*(B119-$B$67),'O&amp;M, Heat Rates'!$F$4)/1000</f>
        <v>6.4005000000000001</v>
      </c>
      <c r="J119" s="20" t="s">
        <v>4</v>
      </c>
      <c r="K119" s="11">
        <v>2019</v>
      </c>
      <c r="L119" s="15"/>
      <c r="M119" s="15"/>
      <c r="N119" s="16"/>
      <c r="O119" s="21"/>
      <c r="R119" s="22" t="s">
        <v>4</v>
      </c>
      <c r="S119">
        <v>2019</v>
      </c>
      <c r="W119" s="23"/>
    </row>
    <row r="120" spans="1:23" x14ac:dyDescent="0.2">
      <c r="A120" s="10" t="s">
        <v>4</v>
      </c>
      <c r="B120" s="24">
        <v>2020</v>
      </c>
      <c r="C120" s="25">
        <f t="shared" si="11"/>
        <v>0</v>
      </c>
      <c r="D120" s="25">
        <f>'O&amp;M, Heat Rates'!$D$4</f>
        <v>13.215</v>
      </c>
      <c r="E120" s="26">
        <f>'O&amp;M, Heat Rates'!$C$4</f>
        <v>2.2199999999999998</v>
      </c>
      <c r="F120" s="26">
        <f>IF(B120&lt;2031,'O&amp;M, Heat Rates'!$E$4-'O&amp;M, Heat Rates'!$G$4*(B120-$B$67),'O&amp;M, Heat Rates'!$F$4)/1000</f>
        <v>6.4005000000000001</v>
      </c>
      <c r="J120" s="20" t="s">
        <v>4</v>
      </c>
      <c r="K120" s="11">
        <v>2020</v>
      </c>
      <c r="L120" s="15"/>
      <c r="M120" s="15"/>
      <c r="N120" s="16"/>
      <c r="O120" s="21"/>
      <c r="R120" s="22" t="s">
        <v>4</v>
      </c>
      <c r="S120">
        <v>2020</v>
      </c>
      <c r="W120" s="23"/>
    </row>
    <row r="121" spans="1:23" x14ac:dyDescent="0.2">
      <c r="A121" s="10" t="s">
        <v>4</v>
      </c>
      <c r="B121" s="24">
        <v>2021</v>
      </c>
      <c r="C121" s="25">
        <f t="shared" si="11"/>
        <v>0</v>
      </c>
      <c r="D121" s="25">
        <f>'O&amp;M, Heat Rates'!$D$4</f>
        <v>13.215</v>
      </c>
      <c r="E121" s="26">
        <f>'O&amp;M, Heat Rates'!$C$4</f>
        <v>2.2199999999999998</v>
      </c>
      <c r="F121" s="26">
        <f>IF(B121&lt;2031,'O&amp;M, Heat Rates'!$E$4-'O&amp;M, Heat Rates'!$G$4*(B121-$B$67),'O&amp;M, Heat Rates'!$F$4)/1000</f>
        <v>6.4005000000000001</v>
      </c>
      <c r="J121" s="20" t="s">
        <v>4</v>
      </c>
      <c r="K121" s="11">
        <v>2021</v>
      </c>
      <c r="L121" s="15"/>
      <c r="M121" s="15"/>
      <c r="N121" s="16"/>
      <c r="O121" s="21"/>
      <c r="R121" s="22" t="s">
        <v>4</v>
      </c>
      <c r="S121">
        <v>2021</v>
      </c>
      <c r="W121" s="23"/>
    </row>
    <row r="122" spans="1:23" x14ac:dyDescent="0.2">
      <c r="A122" s="10" t="s">
        <v>4</v>
      </c>
      <c r="B122" s="24">
        <v>2022</v>
      </c>
      <c r="C122" s="25">
        <f t="shared" si="11"/>
        <v>0</v>
      </c>
      <c r="D122" s="25">
        <f>'O&amp;M, Heat Rates'!$D$4</f>
        <v>13.215</v>
      </c>
      <c r="E122" s="26">
        <f>'O&amp;M, Heat Rates'!$C$4</f>
        <v>2.2199999999999998</v>
      </c>
      <c r="F122" s="26">
        <f>IF(B122&lt;2031,'O&amp;M, Heat Rates'!$E$4-'O&amp;M, Heat Rates'!$G$4*(B122-$B$67),'O&amp;M, Heat Rates'!$F$4)/1000</f>
        <v>6.4005000000000001</v>
      </c>
      <c r="J122" s="20" t="s">
        <v>4</v>
      </c>
      <c r="K122" s="11">
        <v>2022</v>
      </c>
      <c r="L122" s="15"/>
      <c r="M122" s="15"/>
      <c r="N122" s="16"/>
      <c r="O122" s="21"/>
      <c r="R122" s="22" t="s">
        <v>4</v>
      </c>
      <c r="S122">
        <v>2022</v>
      </c>
      <c r="W122" s="23"/>
    </row>
    <row r="123" spans="1:23" x14ac:dyDescent="0.2">
      <c r="A123" s="10" t="s">
        <v>4</v>
      </c>
      <c r="B123" s="24">
        <v>2023</v>
      </c>
      <c r="C123" s="25">
        <f t="shared" si="11"/>
        <v>0</v>
      </c>
      <c r="D123" s="25">
        <f>'O&amp;M, Heat Rates'!$D$4</f>
        <v>13.215</v>
      </c>
      <c r="E123" s="26">
        <f>'O&amp;M, Heat Rates'!$C$4</f>
        <v>2.2199999999999998</v>
      </c>
      <c r="F123" s="26">
        <f>IF(B123&lt;2031,'O&amp;M, Heat Rates'!$E$4-'O&amp;M, Heat Rates'!$G$4*(B123-$B$67),'O&amp;M, Heat Rates'!$F$4)/1000</f>
        <v>6.4005000000000001</v>
      </c>
      <c r="J123" s="20" t="s">
        <v>4</v>
      </c>
      <c r="K123" s="11">
        <v>2023</v>
      </c>
      <c r="L123" s="15"/>
      <c r="M123" s="15"/>
      <c r="N123" s="16"/>
      <c r="O123" s="21"/>
      <c r="R123" s="22" t="s">
        <v>4</v>
      </c>
      <c r="S123">
        <v>2023</v>
      </c>
      <c r="W123" s="23"/>
    </row>
    <row r="124" spans="1:23" x14ac:dyDescent="0.2">
      <c r="A124" s="10" t="s">
        <v>4</v>
      </c>
      <c r="B124" s="24">
        <v>2024</v>
      </c>
      <c r="C124" s="25">
        <f t="shared" si="11"/>
        <v>0</v>
      </c>
      <c r="D124" s="25">
        <f>'O&amp;M, Heat Rates'!$D$4</f>
        <v>13.215</v>
      </c>
      <c r="E124" s="26">
        <f>'O&amp;M, Heat Rates'!$C$4</f>
        <v>2.2199999999999998</v>
      </c>
      <c r="F124" s="26">
        <f>IF(B124&lt;2031,'O&amp;M, Heat Rates'!$E$4-'O&amp;M, Heat Rates'!$G$4*(B124-$B$67),'O&amp;M, Heat Rates'!$F$4)/1000</f>
        <v>6.4005000000000001</v>
      </c>
      <c r="J124" s="20" t="s">
        <v>4</v>
      </c>
      <c r="K124" s="11">
        <v>2024</v>
      </c>
      <c r="L124" s="15"/>
      <c r="M124" s="15"/>
      <c r="N124" s="16"/>
      <c r="O124" s="21"/>
      <c r="R124" s="22" t="s">
        <v>4</v>
      </c>
      <c r="S124">
        <v>2024</v>
      </c>
      <c r="W124" s="23"/>
    </row>
    <row r="125" spans="1:23" x14ac:dyDescent="0.2">
      <c r="A125" s="10" t="s">
        <v>4</v>
      </c>
      <c r="B125" s="24">
        <v>2025</v>
      </c>
      <c r="C125" s="25">
        <f t="shared" si="11"/>
        <v>921.17079511709596</v>
      </c>
      <c r="D125" s="25">
        <f>'O&amp;M, Heat Rates'!$D$4</f>
        <v>13.215</v>
      </c>
      <c r="E125" s="26">
        <f>'O&amp;M, Heat Rates'!$C$4</f>
        <v>2.2199999999999998</v>
      </c>
      <c r="F125" s="26">
        <f>IF(B125&lt;2031,'O&amp;M, Heat Rates'!$E$4-'O&amp;M, Heat Rates'!$G$4*(B125-$B$67),'O&amp;M, Heat Rates'!$F$4)/1000</f>
        <v>6.4005000000000001</v>
      </c>
      <c r="J125" s="20" t="s">
        <v>4</v>
      </c>
      <c r="K125" s="11">
        <v>2025</v>
      </c>
      <c r="L125" s="15"/>
      <c r="M125" s="15"/>
      <c r="N125" s="16"/>
      <c r="O125" s="21"/>
      <c r="R125" s="22" t="s">
        <v>4</v>
      </c>
      <c r="S125">
        <v>2025</v>
      </c>
      <c r="W125" s="23"/>
    </row>
    <row r="126" spans="1:23" x14ac:dyDescent="0.2">
      <c r="A126" s="10" t="s">
        <v>4</v>
      </c>
      <c r="B126" s="24">
        <v>2026</v>
      </c>
      <c r="C126" s="25">
        <f t="shared" si="11"/>
        <v>910.96215511142225</v>
      </c>
      <c r="D126" s="25">
        <f>'O&amp;M, Heat Rates'!$D$4</f>
        <v>13.215</v>
      </c>
      <c r="E126" s="26">
        <f>'O&amp;M, Heat Rates'!$C$4</f>
        <v>2.2199999999999998</v>
      </c>
      <c r="F126" s="26">
        <f>IF(B126&lt;2031,'O&amp;M, Heat Rates'!$E$4-'O&amp;M, Heat Rates'!$G$4*(B126-$B$67),'O&amp;M, Heat Rates'!$F$4)/1000</f>
        <v>6.4005000000000001</v>
      </c>
      <c r="J126" s="20" t="s">
        <v>4</v>
      </c>
      <c r="K126" s="11">
        <v>2026</v>
      </c>
      <c r="L126" s="15"/>
      <c r="M126" s="15"/>
      <c r="N126" s="16"/>
      <c r="O126" s="21"/>
      <c r="R126" s="22" t="s">
        <v>4</v>
      </c>
      <c r="S126">
        <v>2026</v>
      </c>
      <c r="W126" s="23"/>
    </row>
    <row r="127" spans="1:23" x14ac:dyDescent="0.2">
      <c r="A127" s="10" t="s">
        <v>4</v>
      </c>
      <c r="B127" s="24">
        <v>2027</v>
      </c>
      <c r="C127" s="25">
        <f t="shared" si="11"/>
        <v>906.5766969145277</v>
      </c>
      <c r="D127" s="25">
        <f>'O&amp;M, Heat Rates'!$D$4</f>
        <v>13.215</v>
      </c>
      <c r="E127" s="26">
        <f>'O&amp;M, Heat Rates'!$C$4</f>
        <v>2.2199999999999998</v>
      </c>
      <c r="F127" s="26">
        <f>IF(B127&lt;2031,'O&amp;M, Heat Rates'!$E$4-'O&amp;M, Heat Rates'!$G$4*(B127-$B$67),'O&amp;M, Heat Rates'!$F$4)/1000</f>
        <v>6.4005000000000001</v>
      </c>
      <c r="J127" s="20" t="s">
        <v>4</v>
      </c>
      <c r="K127" s="11">
        <v>2027</v>
      </c>
      <c r="L127" s="15"/>
      <c r="M127" s="15"/>
      <c r="N127" s="16"/>
      <c r="O127" s="21"/>
      <c r="R127" s="22" t="s">
        <v>4</v>
      </c>
      <c r="S127">
        <v>2027</v>
      </c>
      <c r="W127" s="23"/>
    </row>
    <row r="128" spans="1:23" x14ac:dyDescent="0.2">
      <c r="A128" s="10" t="s">
        <v>4</v>
      </c>
      <c r="B128" s="24">
        <v>2028</v>
      </c>
      <c r="C128" s="25">
        <f t="shared" si="11"/>
        <v>895.56077614430342</v>
      </c>
      <c r="D128" s="25">
        <f>'O&amp;M, Heat Rates'!$D$4</f>
        <v>13.215</v>
      </c>
      <c r="E128" s="26">
        <f>'O&amp;M, Heat Rates'!$C$4</f>
        <v>2.2199999999999998</v>
      </c>
      <c r="F128" s="26">
        <f>IF(B128&lt;2031,'O&amp;M, Heat Rates'!$E$4-'O&amp;M, Heat Rates'!$G$4*(B128-$B$67),'O&amp;M, Heat Rates'!$F$4)/1000</f>
        <v>6.4005000000000001</v>
      </c>
      <c r="J128" s="20" t="s">
        <v>4</v>
      </c>
      <c r="K128" s="11">
        <v>2028</v>
      </c>
      <c r="L128" s="15"/>
      <c r="M128" s="15"/>
      <c r="N128" s="16"/>
      <c r="O128" s="21"/>
      <c r="R128" s="22" t="s">
        <v>4</v>
      </c>
      <c r="S128">
        <v>2028</v>
      </c>
      <c r="W128" s="23"/>
    </row>
    <row r="129" spans="1:23" x14ac:dyDescent="0.2">
      <c r="A129" s="10" t="s">
        <v>4</v>
      </c>
      <c r="B129" s="24">
        <v>2029</v>
      </c>
      <c r="C129" s="25">
        <f t="shared" si="11"/>
        <v>886.64675604041872</v>
      </c>
      <c r="D129" s="25">
        <f>'O&amp;M, Heat Rates'!$D$4</f>
        <v>13.215</v>
      </c>
      <c r="E129" s="26">
        <f>'O&amp;M, Heat Rates'!$C$4</f>
        <v>2.2199999999999998</v>
      </c>
      <c r="F129" s="26">
        <f>IF(B129&lt;2031,'O&amp;M, Heat Rates'!$E$4-'O&amp;M, Heat Rates'!$G$4*(B129-$B$67),'O&amp;M, Heat Rates'!$F$4)/1000</f>
        <v>6.4005000000000001</v>
      </c>
      <c r="J129" s="20" t="s">
        <v>4</v>
      </c>
      <c r="K129" s="11">
        <v>2029</v>
      </c>
      <c r="L129" s="15"/>
      <c r="M129" s="15"/>
      <c r="N129" s="16"/>
      <c r="O129" s="21"/>
      <c r="R129" s="22" t="s">
        <v>4</v>
      </c>
      <c r="S129">
        <v>2029</v>
      </c>
      <c r="W129" s="23"/>
    </row>
    <row r="130" spans="1:23" x14ac:dyDescent="0.2">
      <c r="A130" s="10" t="s">
        <v>4</v>
      </c>
      <c r="B130" s="24">
        <v>2030</v>
      </c>
      <c r="C130" s="25">
        <f t="shared" si="11"/>
        <v>878.84349700277949</v>
      </c>
      <c r="D130" s="25">
        <f>'O&amp;M, Heat Rates'!$D$4</f>
        <v>13.215</v>
      </c>
      <c r="E130" s="26">
        <f>'O&amp;M, Heat Rates'!$C$4</f>
        <v>2.2199999999999998</v>
      </c>
      <c r="F130" s="26">
        <f>IF(B130&lt;2031,'O&amp;M, Heat Rates'!$E$4-'O&amp;M, Heat Rates'!$G$4*(B130-$B$67),'O&amp;M, Heat Rates'!$F$4)/1000</f>
        <v>6.4005000000000001</v>
      </c>
      <c r="J130" s="20" t="s">
        <v>4</v>
      </c>
      <c r="K130" s="11">
        <v>2030</v>
      </c>
      <c r="L130" s="15"/>
      <c r="M130" s="15"/>
      <c r="N130" s="16"/>
      <c r="O130" s="21"/>
      <c r="R130" s="22" t="s">
        <v>4</v>
      </c>
      <c r="S130">
        <v>2030</v>
      </c>
      <c r="W130" s="23"/>
    </row>
    <row r="131" spans="1:23" x14ac:dyDescent="0.2">
      <c r="A131" s="10" t="s">
        <v>4</v>
      </c>
      <c r="B131" s="24">
        <v>2031</v>
      </c>
      <c r="C131" s="25">
        <f t="shared" si="11"/>
        <v>873.83310321296881</v>
      </c>
      <c r="D131" s="25">
        <f>'O&amp;M, Heat Rates'!$D$4</f>
        <v>13.215</v>
      </c>
      <c r="E131" s="26">
        <f>'O&amp;M, Heat Rates'!$C$4</f>
        <v>2.2199999999999998</v>
      </c>
      <c r="F131" s="26">
        <f>IF(B131&lt;2031,'O&amp;M, Heat Rates'!$E$4-'O&amp;M, Heat Rates'!$G$4*(B131-$B$67),'O&amp;M, Heat Rates'!$F$4)/1000</f>
        <v>6.4005000000000001</v>
      </c>
      <c r="J131" s="20" t="s">
        <v>4</v>
      </c>
      <c r="K131" s="11">
        <v>2031</v>
      </c>
      <c r="L131" s="15"/>
      <c r="M131" s="15"/>
      <c r="N131" s="16"/>
      <c r="O131" s="21"/>
      <c r="R131" s="22" t="s">
        <v>4</v>
      </c>
      <c r="S131">
        <v>2031</v>
      </c>
      <c r="W131" s="23"/>
    </row>
    <row r="132" spans="1:23" x14ac:dyDescent="0.2">
      <c r="A132" s="10" t="s">
        <v>4</v>
      </c>
      <c r="B132" s="24">
        <v>2032</v>
      </c>
      <c r="C132" s="25">
        <f t="shared" si="11"/>
        <v>869.61110227338258</v>
      </c>
      <c r="D132" s="25">
        <f>'O&amp;M, Heat Rates'!$D$4</f>
        <v>13.215</v>
      </c>
      <c r="E132" s="26">
        <f>'O&amp;M, Heat Rates'!$C$4</f>
        <v>2.2199999999999998</v>
      </c>
      <c r="F132" s="26">
        <f>IF(B132&lt;2031,'O&amp;M, Heat Rates'!$E$4-'O&amp;M, Heat Rates'!$G$4*(B132-$B$67),'O&amp;M, Heat Rates'!$F$4)/1000</f>
        <v>6.4005000000000001</v>
      </c>
      <c r="J132" s="20" t="s">
        <v>4</v>
      </c>
      <c r="K132" s="11">
        <v>2032</v>
      </c>
      <c r="L132" s="15"/>
      <c r="M132" s="15"/>
      <c r="N132" s="16"/>
      <c r="O132" s="21"/>
      <c r="R132" s="22" t="s">
        <v>4</v>
      </c>
      <c r="S132">
        <v>2032</v>
      </c>
      <c r="W132" s="23"/>
    </row>
    <row r="133" spans="1:23" x14ac:dyDescent="0.2">
      <c r="A133" s="10" t="s">
        <v>4</v>
      </c>
      <c r="B133" s="24">
        <v>2033</v>
      </c>
      <c r="C133" s="25">
        <f t="shared" ref="C133:C196" si="12">VLOOKUP(A133,$A$45:$AP$61,VLOOKUP(B133,$Z$69:$AA$109,2,FALSE),FALSE)</f>
        <v>865.64810260610466</v>
      </c>
      <c r="D133" s="25">
        <f>'O&amp;M, Heat Rates'!$D$4</f>
        <v>13.215</v>
      </c>
      <c r="E133" s="26">
        <f>'O&amp;M, Heat Rates'!$C$4</f>
        <v>2.2199999999999998</v>
      </c>
      <c r="F133" s="26">
        <f>IF(B133&lt;2031,'O&amp;M, Heat Rates'!$E$4-'O&amp;M, Heat Rates'!$G$4*(B133-$B$67),'O&amp;M, Heat Rates'!$F$4)/1000</f>
        <v>6.4005000000000001</v>
      </c>
      <c r="J133" s="20" t="s">
        <v>4</v>
      </c>
      <c r="K133" s="11">
        <v>2033</v>
      </c>
      <c r="L133" s="15"/>
      <c r="M133" s="15"/>
      <c r="N133" s="16"/>
      <c r="O133" s="21"/>
      <c r="R133" s="22" t="s">
        <v>4</v>
      </c>
      <c r="S133">
        <v>2033</v>
      </c>
      <c r="W133" s="23"/>
    </row>
    <row r="134" spans="1:23" x14ac:dyDescent="0.2">
      <c r="A134" s="10" t="s">
        <v>4</v>
      </c>
      <c r="B134" s="24">
        <v>2034</v>
      </c>
      <c r="C134" s="25">
        <f t="shared" si="12"/>
        <v>858.07334768966916</v>
      </c>
      <c r="D134" s="25">
        <f>'O&amp;M, Heat Rates'!$D$4</f>
        <v>13.215</v>
      </c>
      <c r="E134" s="26">
        <f>'O&amp;M, Heat Rates'!$C$4</f>
        <v>2.2199999999999998</v>
      </c>
      <c r="F134" s="26">
        <f>IF(B134&lt;2031,'O&amp;M, Heat Rates'!$E$4-'O&amp;M, Heat Rates'!$G$4*(B134-$B$67),'O&amp;M, Heat Rates'!$F$4)/1000</f>
        <v>6.4005000000000001</v>
      </c>
      <c r="J134" s="20" t="s">
        <v>4</v>
      </c>
      <c r="K134" s="11">
        <v>2034</v>
      </c>
      <c r="L134" s="15"/>
      <c r="M134" s="15"/>
      <c r="N134" s="16"/>
      <c r="O134" s="21"/>
      <c r="R134" s="22" t="s">
        <v>4</v>
      </c>
      <c r="S134">
        <v>2034</v>
      </c>
      <c r="W134" s="23"/>
    </row>
    <row r="135" spans="1:23" x14ac:dyDescent="0.2">
      <c r="A135" s="10" t="s">
        <v>4</v>
      </c>
      <c r="B135" s="24">
        <v>2035</v>
      </c>
      <c r="C135" s="25">
        <f t="shared" si="12"/>
        <v>853.90860334273941</v>
      </c>
      <c r="D135" s="25">
        <f>'O&amp;M, Heat Rates'!$D$4</f>
        <v>13.215</v>
      </c>
      <c r="E135" s="26">
        <f>'O&amp;M, Heat Rates'!$C$4</f>
        <v>2.2199999999999998</v>
      </c>
      <c r="F135" s="26">
        <f>IF(B135&lt;2031,'O&amp;M, Heat Rates'!$E$4-'O&amp;M, Heat Rates'!$G$4*(B135-$B$67),'O&amp;M, Heat Rates'!$F$4)/1000</f>
        <v>6.4005000000000001</v>
      </c>
      <c r="J135" s="20" t="s">
        <v>4</v>
      </c>
      <c r="K135" s="11">
        <v>2035</v>
      </c>
      <c r="L135" s="15"/>
      <c r="M135" s="15"/>
      <c r="N135" s="16"/>
      <c r="O135" s="21"/>
      <c r="R135" s="22" t="s">
        <v>4</v>
      </c>
      <c r="S135">
        <v>2035</v>
      </c>
      <c r="W135" s="23"/>
    </row>
    <row r="136" spans="1:23" x14ac:dyDescent="0.2">
      <c r="A136" s="10" t="s">
        <v>4</v>
      </c>
      <c r="B136" s="24">
        <v>2036</v>
      </c>
      <c r="C136" s="25">
        <f t="shared" si="12"/>
        <v>849.21350844553626</v>
      </c>
      <c r="D136" s="25">
        <f>'O&amp;M, Heat Rates'!$D$4</f>
        <v>13.215</v>
      </c>
      <c r="E136" s="26">
        <f>'O&amp;M, Heat Rates'!$C$4</f>
        <v>2.2199999999999998</v>
      </c>
      <c r="F136" s="26">
        <f>IF(B136&lt;2031,'O&amp;M, Heat Rates'!$E$4-'O&amp;M, Heat Rates'!$G$4*(B136-$B$67),'O&amp;M, Heat Rates'!$F$4)/1000</f>
        <v>6.4005000000000001</v>
      </c>
      <c r="J136" s="20" t="s">
        <v>4</v>
      </c>
      <c r="K136" s="11">
        <v>2036</v>
      </c>
      <c r="L136" s="15"/>
      <c r="M136" s="15"/>
      <c r="N136" s="16"/>
      <c r="O136" s="21"/>
      <c r="R136" s="22" t="s">
        <v>4</v>
      </c>
      <c r="S136">
        <v>2036</v>
      </c>
      <c r="W136" s="23"/>
    </row>
    <row r="137" spans="1:23" x14ac:dyDescent="0.2">
      <c r="A137" s="10" t="s">
        <v>4</v>
      </c>
      <c r="B137" s="24">
        <v>2037</v>
      </c>
      <c r="C137" s="25">
        <f t="shared" si="12"/>
        <v>845.79005326239894</v>
      </c>
      <c r="D137" s="25">
        <f>'O&amp;M, Heat Rates'!$D$4</f>
        <v>13.215</v>
      </c>
      <c r="E137" s="26">
        <f>'O&amp;M, Heat Rates'!$C$4</f>
        <v>2.2199999999999998</v>
      </c>
      <c r="F137" s="26">
        <f>IF(B137&lt;2031,'O&amp;M, Heat Rates'!$E$4-'O&amp;M, Heat Rates'!$G$4*(B137-$B$67),'O&amp;M, Heat Rates'!$F$4)/1000</f>
        <v>6.4005000000000001</v>
      </c>
      <c r="J137" s="20" t="s">
        <v>4</v>
      </c>
      <c r="K137" s="11">
        <v>2037</v>
      </c>
      <c r="L137" s="15"/>
      <c r="M137" s="15"/>
      <c r="N137" s="16"/>
      <c r="O137" s="21"/>
      <c r="R137" s="22" t="s">
        <v>4</v>
      </c>
      <c r="S137">
        <v>2037</v>
      </c>
      <c r="W137" s="23"/>
    </row>
    <row r="138" spans="1:23" x14ac:dyDescent="0.2">
      <c r="A138" s="10" t="s">
        <v>4</v>
      </c>
      <c r="B138" s="24">
        <v>2038</v>
      </c>
      <c r="C138" s="25">
        <f t="shared" si="12"/>
        <v>843.83223017045952</v>
      </c>
      <c r="D138" s="25">
        <f>'O&amp;M, Heat Rates'!$D$4</f>
        <v>13.215</v>
      </c>
      <c r="E138" s="26">
        <f>'O&amp;M, Heat Rates'!$C$4</f>
        <v>2.2199999999999998</v>
      </c>
      <c r="F138" s="26">
        <f>IF(B138&lt;2031,'O&amp;M, Heat Rates'!$E$4-'O&amp;M, Heat Rates'!$G$4*(B138-$B$67),'O&amp;M, Heat Rates'!$F$4)/1000</f>
        <v>6.4005000000000001</v>
      </c>
      <c r="J138" s="20" t="s">
        <v>4</v>
      </c>
      <c r="K138" s="11">
        <v>2038</v>
      </c>
      <c r="L138" s="15"/>
      <c r="M138" s="15"/>
      <c r="N138" s="16"/>
      <c r="O138" s="21"/>
      <c r="R138" s="22" t="s">
        <v>4</v>
      </c>
      <c r="S138">
        <v>2038</v>
      </c>
      <c r="W138" s="23"/>
    </row>
    <row r="139" spans="1:23" x14ac:dyDescent="0.2">
      <c r="A139" s="10" t="s">
        <v>4</v>
      </c>
      <c r="B139" s="24">
        <v>2039</v>
      </c>
      <c r="C139" s="25">
        <f t="shared" si="12"/>
        <v>841.4191903857145</v>
      </c>
      <c r="D139" s="25">
        <f>'O&amp;M, Heat Rates'!$D$4</f>
        <v>13.215</v>
      </c>
      <c r="E139" s="26">
        <f>'O&amp;M, Heat Rates'!$C$4</f>
        <v>2.2199999999999998</v>
      </c>
      <c r="F139" s="26">
        <f>IF(B139&lt;2031,'O&amp;M, Heat Rates'!$E$4-'O&amp;M, Heat Rates'!$G$4*(B139-$B$67),'O&amp;M, Heat Rates'!$F$4)/1000</f>
        <v>6.4005000000000001</v>
      </c>
      <c r="J139" s="20" t="s">
        <v>4</v>
      </c>
      <c r="K139" s="11">
        <v>2039</v>
      </c>
      <c r="L139" s="15"/>
      <c r="M139" s="15"/>
      <c r="N139" s="16"/>
      <c r="O139" s="21"/>
      <c r="R139" s="22" t="s">
        <v>4</v>
      </c>
      <c r="S139">
        <v>2039</v>
      </c>
      <c r="W139" s="23"/>
    </row>
    <row r="140" spans="1:23" x14ac:dyDescent="0.2">
      <c r="A140" s="10" t="s">
        <v>4</v>
      </c>
      <c r="B140" s="24">
        <v>2040</v>
      </c>
      <c r="C140" s="25">
        <f t="shared" si="12"/>
        <v>838.88951022358083</v>
      </c>
      <c r="D140" s="25">
        <f>'O&amp;M, Heat Rates'!$D$4</f>
        <v>13.215</v>
      </c>
      <c r="E140" s="26">
        <f>'O&amp;M, Heat Rates'!$C$4</f>
        <v>2.2199999999999998</v>
      </c>
      <c r="F140" s="26">
        <f>IF(B140&lt;2031,'O&amp;M, Heat Rates'!$E$4-'O&amp;M, Heat Rates'!$G$4*(B140-$B$67),'O&amp;M, Heat Rates'!$F$4)/1000</f>
        <v>6.4005000000000001</v>
      </c>
      <c r="J140" s="20" t="s">
        <v>4</v>
      </c>
      <c r="K140" s="11">
        <v>2040</v>
      </c>
      <c r="L140" s="15"/>
      <c r="M140" s="15"/>
      <c r="N140" s="16"/>
      <c r="O140" s="21"/>
      <c r="R140" s="22" t="s">
        <v>4</v>
      </c>
      <c r="S140">
        <v>2040</v>
      </c>
      <c r="W140" s="23"/>
    </row>
    <row r="141" spans="1:23" x14ac:dyDescent="0.2">
      <c r="A141" s="10" t="s">
        <v>4</v>
      </c>
      <c r="B141" s="24">
        <v>2041</v>
      </c>
      <c r="C141" s="25">
        <f t="shared" si="12"/>
        <v>835.56696107323296</v>
      </c>
      <c r="D141" s="25">
        <f>'O&amp;M, Heat Rates'!$D$4</f>
        <v>13.215</v>
      </c>
      <c r="E141" s="26">
        <f>'O&amp;M, Heat Rates'!$C$4</f>
        <v>2.2199999999999998</v>
      </c>
      <c r="F141" s="26">
        <f>IF(B141&lt;2031,'O&amp;M, Heat Rates'!$E$4-'O&amp;M, Heat Rates'!$G$4*(B141-$B$67),'O&amp;M, Heat Rates'!$F$4)/1000</f>
        <v>6.4005000000000001</v>
      </c>
      <c r="J141" s="20" t="s">
        <v>4</v>
      </c>
      <c r="K141" s="11">
        <v>2041</v>
      </c>
      <c r="L141" s="15"/>
      <c r="M141" s="15"/>
      <c r="N141" s="16"/>
      <c r="O141" s="21"/>
      <c r="R141" s="22" t="s">
        <v>4</v>
      </c>
      <c r="S141">
        <v>2041</v>
      </c>
      <c r="W141" s="23"/>
    </row>
    <row r="142" spans="1:23" x14ac:dyDescent="0.2">
      <c r="A142" s="10" t="s">
        <v>4</v>
      </c>
      <c r="B142" s="24">
        <v>2042</v>
      </c>
      <c r="C142" s="25">
        <f t="shared" si="12"/>
        <v>833.79042917515358</v>
      </c>
      <c r="D142" s="25">
        <f>'O&amp;M, Heat Rates'!$D$4</f>
        <v>13.215</v>
      </c>
      <c r="E142" s="26">
        <f>'O&amp;M, Heat Rates'!$C$4</f>
        <v>2.2199999999999998</v>
      </c>
      <c r="F142" s="26">
        <f>IF(B142&lt;2031,'O&amp;M, Heat Rates'!$E$4-'O&amp;M, Heat Rates'!$G$4*(B142-$B$67),'O&amp;M, Heat Rates'!$F$4)/1000</f>
        <v>6.4005000000000001</v>
      </c>
      <c r="J142" s="20" t="s">
        <v>4</v>
      </c>
      <c r="K142" s="11">
        <v>2042</v>
      </c>
      <c r="L142" s="15"/>
      <c r="M142" s="15"/>
      <c r="N142" s="16"/>
      <c r="O142" s="21"/>
      <c r="R142" s="22" t="s">
        <v>4</v>
      </c>
      <c r="S142">
        <v>2042</v>
      </c>
      <c r="W142" s="23"/>
    </row>
    <row r="143" spans="1:23" x14ac:dyDescent="0.2">
      <c r="A143" s="10" t="s">
        <v>4</v>
      </c>
      <c r="B143" s="24">
        <v>2043</v>
      </c>
      <c r="C143" s="25">
        <f t="shared" si="12"/>
        <v>832.07607528994731</v>
      </c>
      <c r="D143" s="25">
        <f>'O&amp;M, Heat Rates'!$D$4</f>
        <v>13.215</v>
      </c>
      <c r="E143" s="26">
        <f>'O&amp;M, Heat Rates'!$C$4</f>
        <v>2.2199999999999998</v>
      </c>
      <c r="F143" s="26">
        <f>IF(B143&lt;2031,'O&amp;M, Heat Rates'!$E$4-'O&amp;M, Heat Rates'!$G$4*(B143-$B$67),'O&amp;M, Heat Rates'!$F$4)/1000</f>
        <v>6.4005000000000001</v>
      </c>
      <c r="J143" s="20" t="s">
        <v>4</v>
      </c>
      <c r="K143" s="11">
        <v>2043</v>
      </c>
      <c r="L143" s="15"/>
      <c r="M143" s="15"/>
      <c r="N143" s="16"/>
      <c r="O143" s="21"/>
      <c r="R143" s="22" t="s">
        <v>4</v>
      </c>
      <c r="S143">
        <v>2043</v>
      </c>
      <c r="W143" s="23"/>
    </row>
    <row r="144" spans="1:23" x14ac:dyDescent="0.2">
      <c r="A144" s="10" t="s">
        <v>4</v>
      </c>
      <c r="B144" s="24">
        <v>2044</v>
      </c>
      <c r="C144" s="25">
        <f t="shared" si="12"/>
        <v>829.70491005875465</v>
      </c>
      <c r="D144" s="25">
        <f>'O&amp;M, Heat Rates'!$D$4</f>
        <v>13.215</v>
      </c>
      <c r="E144" s="26">
        <f>'O&amp;M, Heat Rates'!$C$4</f>
        <v>2.2199999999999998</v>
      </c>
      <c r="F144" s="26">
        <f>IF(B144&lt;2031,'O&amp;M, Heat Rates'!$E$4-'O&amp;M, Heat Rates'!$G$4*(B144-$B$67),'O&amp;M, Heat Rates'!$F$4)/1000</f>
        <v>6.4005000000000001</v>
      </c>
      <c r="J144" s="20" t="s">
        <v>4</v>
      </c>
      <c r="K144" s="11">
        <v>2044</v>
      </c>
      <c r="L144" s="15"/>
      <c r="M144" s="15"/>
      <c r="N144" s="16"/>
      <c r="O144" s="21"/>
      <c r="R144" s="22" t="s">
        <v>4</v>
      </c>
      <c r="S144">
        <v>2044</v>
      </c>
      <c r="W144" s="23"/>
    </row>
    <row r="145" spans="1:23" x14ac:dyDescent="0.2">
      <c r="A145" s="10" t="s">
        <v>4</v>
      </c>
      <c r="B145" s="24">
        <v>2045</v>
      </c>
      <c r="C145" s="25">
        <f t="shared" si="12"/>
        <v>827.97818772027824</v>
      </c>
      <c r="D145" s="25">
        <f>'O&amp;M, Heat Rates'!$D$4</f>
        <v>13.215</v>
      </c>
      <c r="E145" s="26">
        <f>'O&amp;M, Heat Rates'!$C$4</f>
        <v>2.2199999999999998</v>
      </c>
      <c r="F145" s="26">
        <f>IF(B145&lt;2031,'O&amp;M, Heat Rates'!$E$4-'O&amp;M, Heat Rates'!$G$4*(B145-$B$67),'O&amp;M, Heat Rates'!$F$4)/1000</f>
        <v>6.4005000000000001</v>
      </c>
      <c r="J145" s="20" t="s">
        <v>4</v>
      </c>
      <c r="K145" s="11">
        <v>2045</v>
      </c>
      <c r="L145" s="15"/>
      <c r="M145" s="15"/>
      <c r="N145" s="16"/>
      <c r="O145" s="21"/>
      <c r="R145" s="22" t="s">
        <v>4</v>
      </c>
      <c r="S145">
        <v>2045</v>
      </c>
      <c r="W145" s="23"/>
    </row>
    <row r="146" spans="1:23" x14ac:dyDescent="0.2">
      <c r="A146" s="10" t="s">
        <v>4</v>
      </c>
      <c r="B146" s="24">
        <v>2046</v>
      </c>
      <c r="C146" s="25">
        <f t="shared" si="12"/>
        <v>825.27845965587414</v>
      </c>
      <c r="D146" s="25">
        <f>'O&amp;M, Heat Rates'!$D$4</f>
        <v>13.215</v>
      </c>
      <c r="E146" s="26">
        <f>'O&amp;M, Heat Rates'!$C$4</f>
        <v>2.2199999999999998</v>
      </c>
      <c r="F146" s="26">
        <f>IF(B146&lt;2031,'O&amp;M, Heat Rates'!$E$4-'O&amp;M, Heat Rates'!$G$4*(B146-$B$67),'O&amp;M, Heat Rates'!$F$4)/1000</f>
        <v>6.4005000000000001</v>
      </c>
      <c r="J146" s="20" t="s">
        <v>4</v>
      </c>
      <c r="K146" s="11">
        <v>2046</v>
      </c>
      <c r="L146" s="15"/>
      <c r="M146" s="15"/>
      <c r="N146" s="16"/>
      <c r="O146" s="21"/>
      <c r="R146" s="22" t="s">
        <v>4</v>
      </c>
      <c r="S146">
        <v>2046</v>
      </c>
      <c r="W146" s="23"/>
    </row>
    <row r="147" spans="1:23" x14ac:dyDescent="0.2">
      <c r="A147" s="10" t="s">
        <v>4</v>
      </c>
      <c r="B147" s="24">
        <v>2047</v>
      </c>
      <c r="C147" s="25">
        <f t="shared" si="12"/>
        <v>822.23047241594838</v>
      </c>
      <c r="D147" s="25">
        <f>'O&amp;M, Heat Rates'!$D$4</f>
        <v>13.215</v>
      </c>
      <c r="E147" s="26">
        <f>'O&amp;M, Heat Rates'!$C$4</f>
        <v>2.2199999999999998</v>
      </c>
      <c r="F147" s="26">
        <f>IF(B147&lt;2031,'O&amp;M, Heat Rates'!$E$4-'O&amp;M, Heat Rates'!$G$4*(B147-$B$67),'O&amp;M, Heat Rates'!$F$4)/1000</f>
        <v>6.4005000000000001</v>
      </c>
      <c r="J147" s="20" t="s">
        <v>4</v>
      </c>
      <c r="K147" s="11">
        <v>2047</v>
      </c>
      <c r="L147" s="15"/>
      <c r="M147" s="15"/>
      <c r="N147" s="16"/>
      <c r="O147" s="21"/>
      <c r="R147" s="22" t="s">
        <v>4</v>
      </c>
      <c r="S147">
        <v>2047</v>
      </c>
      <c r="W147" s="23"/>
    </row>
    <row r="148" spans="1:23" x14ac:dyDescent="0.2">
      <c r="A148" s="10" t="s">
        <v>4</v>
      </c>
      <c r="B148" s="24">
        <v>2048</v>
      </c>
      <c r="C148" s="25">
        <f t="shared" si="12"/>
        <v>819.9940462326897</v>
      </c>
      <c r="D148" s="25">
        <f>'O&amp;M, Heat Rates'!$D$4</f>
        <v>13.215</v>
      </c>
      <c r="E148" s="26">
        <f>'O&amp;M, Heat Rates'!$C$4</f>
        <v>2.2199999999999998</v>
      </c>
      <c r="F148" s="26">
        <f>IF(B148&lt;2031,'O&amp;M, Heat Rates'!$E$4-'O&amp;M, Heat Rates'!$G$4*(B148-$B$67),'O&amp;M, Heat Rates'!$F$4)/1000</f>
        <v>6.4005000000000001</v>
      </c>
      <c r="J148" s="20" t="s">
        <v>4</v>
      </c>
      <c r="K148" s="11">
        <v>2048</v>
      </c>
      <c r="L148" s="15"/>
      <c r="M148" s="15"/>
      <c r="N148" s="16"/>
      <c r="O148" s="21"/>
      <c r="R148" s="22" t="s">
        <v>4</v>
      </c>
      <c r="S148">
        <v>2048</v>
      </c>
      <c r="W148" s="23"/>
    </row>
    <row r="149" spans="1:23" x14ac:dyDescent="0.2">
      <c r="A149" s="10" t="s">
        <v>4</v>
      </c>
      <c r="B149" s="24">
        <v>2049</v>
      </c>
      <c r="C149" s="25">
        <f t="shared" si="12"/>
        <v>818.11698352008409</v>
      </c>
      <c r="D149" s="25">
        <f>'O&amp;M, Heat Rates'!$D$4</f>
        <v>13.215</v>
      </c>
      <c r="E149" s="26">
        <f>'O&amp;M, Heat Rates'!$C$4</f>
        <v>2.2199999999999998</v>
      </c>
      <c r="F149" s="26">
        <f>IF(B149&lt;2031,'O&amp;M, Heat Rates'!$E$4-'O&amp;M, Heat Rates'!$G$4*(B149-$B$67),'O&amp;M, Heat Rates'!$F$4)/1000</f>
        <v>6.4005000000000001</v>
      </c>
      <c r="J149" s="20" t="s">
        <v>4</v>
      </c>
      <c r="K149" s="11">
        <v>2049</v>
      </c>
      <c r="L149" s="15"/>
      <c r="M149" s="15"/>
      <c r="N149" s="16"/>
      <c r="O149" s="21"/>
      <c r="R149" s="22" t="s">
        <v>4</v>
      </c>
      <c r="S149">
        <v>2049</v>
      </c>
      <c r="W149" s="23"/>
    </row>
    <row r="150" spans="1:23" x14ac:dyDescent="0.2">
      <c r="A150" s="10" t="s">
        <v>4</v>
      </c>
      <c r="B150" s="24">
        <v>2050</v>
      </c>
      <c r="C150" s="25">
        <f t="shared" si="12"/>
        <v>813.69069817835714</v>
      </c>
      <c r="D150" s="25">
        <f>'O&amp;M, Heat Rates'!$D$4</f>
        <v>13.215</v>
      </c>
      <c r="E150" s="26">
        <f>'O&amp;M, Heat Rates'!$C$4</f>
        <v>2.2199999999999998</v>
      </c>
      <c r="F150" s="26">
        <f>IF(B150&lt;2031,'O&amp;M, Heat Rates'!$E$4-'O&amp;M, Heat Rates'!$G$4*(B150-$B$67),'O&amp;M, Heat Rates'!$F$4)/1000</f>
        <v>6.4005000000000001</v>
      </c>
      <c r="J150" s="20" t="s">
        <v>4</v>
      </c>
      <c r="K150" s="11">
        <v>2050</v>
      </c>
      <c r="L150" s="15"/>
      <c r="M150" s="15"/>
      <c r="N150" s="16"/>
      <c r="O150" s="21"/>
      <c r="R150" s="22" t="s">
        <v>4</v>
      </c>
      <c r="S150">
        <v>2050</v>
      </c>
      <c r="W150" s="23"/>
    </row>
    <row r="151" spans="1:23" x14ac:dyDescent="0.2">
      <c r="A151" s="10" t="s">
        <v>5</v>
      </c>
      <c r="B151" s="24">
        <v>2010</v>
      </c>
      <c r="C151" s="25">
        <f t="shared" si="12"/>
        <v>0</v>
      </c>
      <c r="D151" s="25">
        <f>'O&amp;M, Heat Rates'!$D$5</f>
        <v>27.74</v>
      </c>
      <c r="E151" s="26">
        <f>'O&amp;M, Heat Rates'!$C$5</f>
        <v>5.87</v>
      </c>
      <c r="F151" s="26">
        <v>7.5410000000000004</v>
      </c>
      <c r="J151" s="20" t="s">
        <v>5</v>
      </c>
      <c r="K151" s="11">
        <v>2010</v>
      </c>
      <c r="L151" s="15"/>
      <c r="M151" s="15"/>
      <c r="N151" s="16"/>
      <c r="O151" s="21"/>
      <c r="R151" s="22" t="s">
        <v>5</v>
      </c>
      <c r="S151">
        <v>2010</v>
      </c>
      <c r="W151" s="23"/>
    </row>
    <row r="152" spans="1:23" x14ac:dyDescent="0.2">
      <c r="A152" s="10" t="s">
        <v>5</v>
      </c>
      <c r="B152" s="24">
        <v>2011</v>
      </c>
      <c r="C152" s="25">
        <f t="shared" si="12"/>
        <v>0</v>
      </c>
      <c r="D152" s="25">
        <f>'O&amp;M, Heat Rates'!$D$5</f>
        <v>27.74</v>
      </c>
      <c r="E152" s="26">
        <f>'O&amp;M, Heat Rates'!$C$5</f>
        <v>5.87</v>
      </c>
      <c r="F152" s="26">
        <v>7.5387142857142857</v>
      </c>
      <c r="J152" s="20" t="s">
        <v>5</v>
      </c>
      <c r="K152" s="11">
        <v>2011</v>
      </c>
      <c r="L152" s="15"/>
      <c r="M152" s="15"/>
      <c r="N152" s="16"/>
      <c r="O152" s="21"/>
      <c r="R152" s="22" t="s">
        <v>5</v>
      </c>
      <c r="S152">
        <v>2011</v>
      </c>
      <c r="W152" s="23"/>
    </row>
    <row r="153" spans="1:23" x14ac:dyDescent="0.2">
      <c r="A153" s="10" t="s">
        <v>5</v>
      </c>
      <c r="B153" s="24">
        <v>2012</v>
      </c>
      <c r="C153" s="25">
        <f t="shared" si="12"/>
        <v>0</v>
      </c>
      <c r="D153" s="25">
        <f>'O&amp;M, Heat Rates'!$D$5</f>
        <v>27.74</v>
      </c>
      <c r="E153" s="26">
        <f>'O&amp;M, Heat Rates'!$C$5</f>
        <v>5.87</v>
      </c>
      <c r="F153" s="26">
        <v>7.5364285714285719</v>
      </c>
      <c r="J153" s="20" t="s">
        <v>5</v>
      </c>
      <c r="K153" s="11">
        <v>2012</v>
      </c>
      <c r="L153" s="15"/>
      <c r="M153" s="15"/>
      <c r="N153" s="16"/>
      <c r="O153" s="21"/>
      <c r="R153" s="22" t="s">
        <v>5</v>
      </c>
      <c r="S153">
        <v>2012</v>
      </c>
      <c r="W153" s="23"/>
    </row>
    <row r="154" spans="1:23" x14ac:dyDescent="0.2">
      <c r="A154" s="10" t="s">
        <v>5</v>
      </c>
      <c r="B154" s="24">
        <v>2013</v>
      </c>
      <c r="C154" s="25">
        <f t="shared" si="12"/>
        <v>0</v>
      </c>
      <c r="D154" s="25">
        <f>'O&amp;M, Heat Rates'!$D$5</f>
        <v>27.74</v>
      </c>
      <c r="E154" s="26">
        <f>'O&amp;M, Heat Rates'!$C$5</f>
        <v>5.87</v>
      </c>
      <c r="F154" s="26">
        <v>7.5341428571428573</v>
      </c>
      <c r="J154" s="20" t="s">
        <v>5</v>
      </c>
      <c r="K154" s="11">
        <v>2013</v>
      </c>
      <c r="L154" s="15"/>
      <c r="M154" s="15"/>
      <c r="N154" s="16"/>
      <c r="O154" s="21"/>
      <c r="R154" s="22" t="s">
        <v>5</v>
      </c>
      <c r="S154">
        <v>2013</v>
      </c>
      <c r="W154" s="23"/>
    </row>
    <row r="155" spans="1:23" x14ac:dyDescent="0.2">
      <c r="A155" s="10" t="s">
        <v>5</v>
      </c>
      <c r="B155" s="24">
        <v>2014</v>
      </c>
      <c r="C155" s="25">
        <f t="shared" si="12"/>
        <v>0</v>
      </c>
      <c r="D155" s="25">
        <f>'O&amp;M, Heat Rates'!$D$5</f>
        <v>27.74</v>
      </c>
      <c r="E155" s="26">
        <f>'O&amp;M, Heat Rates'!$C$5</f>
        <v>5.87</v>
      </c>
      <c r="F155" s="26">
        <v>7.5318571428571435</v>
      </c>
      <c r="J155" s="20" t="s">
        <v>5</v>
      </c>
      <c r="K155" s="11">
        <v>2014</v>
      </c>
      <c r="L155" s="15"/>
      <c r="M155" s="15"/>
      <c r="N155" s="16"/>
      <c r="O155" s="21"/>
      <c r="R155" s="22" t="s">
        <v>5</v>
      </c>
      <c r="S155">
        <v>2014</v>
      </c>
      <c r="W155" s="23"/>
    </row>
    <row r="156" spans="1:23" x14ac:dyDescent="0.2">
      <c r="A156" s="10" t="s">
        <v>5</v>
      </c>
      <c r="B156" s="24">
        <v>2015</v>
      </c>
      <c r="C156" s="25">
        <f t="shared" si="12"/>
        <v>0</v>
      </c>
      <c r="D156" s="25">
        <f>'O&amp;M, Heat Rates'!$D$5</f>
        <v>27.74</v>
      </c>
      <c r="E156" s="26">
        <f>'O&amp;M, Heat Rates'!$C$5</f>
        <v>5.87</v>
      </c>
      <c r="F156" s="26">
        <v>7.5295714285714288</v>
      </c>
      <c r="J156" s="20" t="s">
        <v>5</v>
      </c>
      <c r="K156" s="11">
        <v>2015</v>
      </c>
      <c r="L156" s="15"/>
      <c r="M156" s="15"/>
      <c r="N156" s="16"/>
      <c r="O156" s="21"/>
      <c r="R156" s="22" t="s">
        <v>5</v>
      </c>
      <c r="S156">
        <v>2015</v>
      </c>
      <c r="W156" s="23"/>
    </row>
    <row r="157" spans="1:23" x14ac:dyDescent="0.2">
      <c r="A157" s="10" t="s">
        <v>5</v>
      </c>
      <c r="B157" s="24">
        <v>2016</v>
      </c>
      <c r="C157" s="25">
        <f t="shared" si="12"/>
        <v>0</v>
      </c>
      <c r="D157" s="25">
        <f>'O&amp;M, Heat Rates'!$D$5</f>
        <v>27.74</v>
      </c>
      <c r="E157" s="26">
        <f>'O&amp;M, Heat Rates'!$C$5</f>
        <v>5.87</v>
      </c>
      <c r="F157" s="26">
        <v>7.527285714285715</v>
      </c>
      <c r="J157" s="20" t="s">
        <v>5</v>
      </c>
      <c r="K157" s="11">
        <v>2016</v>
      </c>
      <c r="L157" s="15"/>
      <c r="M157" s="15"/>
      <c r="N157" s="16"/>
      <c r="O157" s="21"/>
      <c r="R157" s="22" t="s">
        <v>5</v>
      </c>
      <c r="S157">
        <v>2016</v>
      </c>
      <c r="W157" s="23"/>
    </row>
    <row r="158" spans="1:23" x14ac:dyDescent="0.2">
      <c r="A158" s="10" t="s">
        <v>5</v>
      </c>
      <c r="B158" s="24">
        <v>2017</v>
      </c>
      <c r="C158" s="25">
        <f t="shared" si="12"/>
        <v>0</v>
      </c>
      <c r="D158" s="25">
        <f>'O&amp;M, Heat Rates'!$D$5</f>
        <v>27.74</v>
      </c>
      <c r="E158" s="26">
        <f>'O&amp;M, Heat Rates'!$C$5</f>
        <v>5.87</v>
      </c>
      <c r="F158" s="26">
        <f>IF(B158&lt;2031,'O&amp;M, Heat Rates'!$E$5-'O&amp;M, Heat Rates'!$G$5*(B158-$B$67),'O&amp;M, Heat Rates'!$F$5)/1000</f>
        <v>7.1239999999999997</v>
      </c>
      <c r="J158" s="20" t="s">
        <v>5</v>
      </c>
      <c r="K158" s="11">
        <v>2017</v>
      </c>
      <c r="L158" s="15"/>
      <c r="M158" s="15"/>
      <c r="N158" s="16"/>
      <c r="O158" s="21"/>
      <c r="R158" s="22" t="s">
        <v>5</v>
      </c>
      <c r="S158">
        <v>2017</v>
      </c>
      <c r="W158" s="23"/>
    </row>
    <row r="159" spans="1:23" x14ac:dyDescent="0.2">
      <c r="A159" s="10" t="s">
        <v>5</v>
      </c>
      <c r="B159" s="24">
        <v>2018</v>
      </c>
      <c r="C159" s="25">
        <f t="shared" si="12"/>
        <v>0</v>
      </c>
      <c r="D159" s="25">
        <f>'O&amp;M, Heat Rates'!$D$5</f>
        <v>27.74</v>
      </c>
      <c r="E159" s="26">
        <f>'O&amp;M, Heat Rates'!$C$5</f>
        <v>5.87</v>
      </c>
      <c r="F159" s="26">
        <f>IF(B159&lt;2031,'O&amp;M, Heat Rates'!$E$5-'O&amp;M, Heat Rates'!$G$5*(B159-$B$67),'O&amp;M, Heat Rates'!$F$5)/1000</f>
        <v>7.1239999999999997</v>
      </c>
      <c r="J159" s="20" t="s">
        <v>5</v>
      </c>
      <c r="K159" s="11">
        <v>2018</v>
      </c>
      <c r="L159" s="15"/>
      <c r="M159" s="15"/>
      <c r="N159" s="16"/>
      <c r="O159" s="21"/>
      <c r="R159" s="22" t="s">
        <v>5</v>
      </c>
      <c r="S159">
        <v>2018</v>
      </c>
      <c r="W159" s="23"/>
    </row>
    <row r="160" spans="1:23" x14ac:dyDescent="0.2">
      <c r="A160" s="10" t="s">
        <v>5</v>
      </c>
      <c r="B160" s="24">
        <v>2019</v>
      </c>
      <c r="C160" s="25">
        <f t="shared" si="12"/>
        <v>0</v>
      </c>
      <c r="D160" s="25">
        <f>'O&amp;M, Heat Rates'!$D$5</f>
        <v>27.74</v>
      </c>
      <c r="E160" s="26">
        <f>'O&amp;M, Heat Rates'!$C$5</f>
        <v>5.87</v>
      </c>
      <c r="F160" s="26">
        <f>IF(B160&lt;2031,'O&amp;M, Heat Rates'!$E$5-'O&amp;M, Heat Rates'!$G$5*(B160-$B$67),'O&amp;M, Heat Rates'!$F$5)/1000</f>
        <v>7.1239999999999997</v>
      </c>
      <c r="J160" s="20" t="s">
        <v>5</v>
      </c>
      <c r="K160" s="11">
        <v>2019</v>
      </c>
      <c r="L160" s="15"/>
      <c r="M160" s="15"/>
      <c r="N160" s="16"/>
      <c r="O160" s="21"/>
      <c r="R160" s="22" t="s">
        <v>5</v>
      </c>
      <c r="S160">
        <v>2019</v>
      </c>
      <c r="W160" s="23"/>
    </row>
    <row r="161" spans="1:23" x14ac:dyDescent="0.2">
      <c r="A161" s="10" t="s">
        <v>5</v>
      </c>
      <c r="B161" s="24">
        <v>2020</v>
      </c>
      <c r="C161" s="25">
        <f t="shared" si="12"/>
        <v>0</v>
      </c>
      <c r="D161" s="25">
        <f>'O&amp;M, Heat Rates'!$D$5</f>
        <v>27.74</v>
      </c>
      <c r="E161" s="26">
        <f>'O&amp;M, Heat Rates'!$C$5</f>
        <v>5.87</v>
      </c>
      <c r="F161" s="26">
        <f>IF(B161&lt;2031,'O&amp;M, Heat Rates'!$E$5-'O&amp;M, Heat Rates'!$G$5*(B161-$B$67),'O&amp;M, Heat Rates'!$F$5)/1000</f>
        <v>7.1239999999999997</v>
      </c>
      <c r="J161" s="20" t="s">
        <v>5</v>
      </c>
      <c r="K161" s="11">
        <v>2020</v>
      </c>
      <c r="L161" s="15"/>
      <c r="M161" s="15"/>
      <c r="N161" s="16"/>
      <c r="O161" s="21"/>
      <c r="R161" s="22" t="s">
        <v>5</v>
      </c>
      <c r="S161">
        <v>2020</v>
      </c>
      <c r="W161" s="23"/>
    </row>
    <row r="162" spans="1:23" x14ac:dyDescent="0.2">
      <c r="A162" s="10" t="s">
        <v>5</v>
      </c>
      <c r="B162" s="24">
        <v>2021</v>
      </c>
      <c r="C162" s="25">
        <f t="shared" si="12"/>
        <v>0</v>
      </c>
      <c r="D162" s="25">
        <f>'O&amp;M, Heat Rates'!$D$5</f>
        <v>27.74</v>
      </c>
      <c r="E162" s="26">
        <f>'O&amp;M, Heat Rates'!$C$5</f>
        <v>5.87</v>
      </c>
      <c r="F162" s="26">
        <f>IF(B162&lt;2031,'O&amp;M, Heat Rates'!$E$5-'O&amp;M, Heat Rates'!$G$5*(B162-$B$67),'O&amp;M, Heat Rates'!$F$5)/1000</f>
        <v>7.1239999999999997</v>
      </c>
      <c r="J162" s="20" t="s">
        <v>5</v>
      </c>
      <c r="K162" s="11">
        <v>2021</v>
      </c>
      <c r="L162" s="15"/>
      <c r="M162" s="15"/>
      <c r="N162" s="16"/>
      <c r="O162" s="21"/>
      <c r="R162" s="22" t="s">
        <v>5</v>
      </c>
      <c r="S162">
        <v>2021</v>
      </c>
      <c r="W162" s="23"/>
    </row>
    <row r="163" spans="1:23" x14ac:dyDescent="0.2">
      <c r="A163" s="10" t="s">
        <v>5</v>
      </c>
      <c r="B163" s="24">
        <v>2022</v>
      </c>
      <c r="C163" s="25">
        <f t="shared" si="12"/>
        <v>0</v>
      </c>
      <c r="D163" s="25">
        <f>'O&amp;M, Heat Rates'!$D$5</f>
        <v>27.74</v>
      </c>
      <c r="E163" s="26">
        <f>'O&amp;M, Heat Rates'!$C$5</f>
        <v>5.87</v>
      </c>
      <c r="F163" s="26">
        <f>IF(B163&lt;2031,'O&amp;M, Heat Rates'!$E$5-'O&amp;M, Heat Rates'!$G$5*(B163-$B$67),'O&amp;M, Heat Rates'!$F$5)/1000</f>
        <v>7.1239999999999997</v>
      </c>
      <c r="J163" s="20" t="s">
        <v>5</v>
      </c>
      <c r="K163" s="11">
        <v>2022</v>
      </c>
      <c r="L163" s="15"/>
      <c r="M163" s="15"/>
      <c r="N163" s="16"/>
      <c r="O163" s="21"/>
      <c r="R163" s="22" t="s">
        <v>5</v>
      </c>
      <c r="S163">
        <v>2022</v>
      </c>
      <c r="W163" s="23"/>
    </row>
    <row r="164" spans="1:23" x14ac:dyDescent="0.2">
      <c r="A164" s="10" t="s">
        <v>5</v>
      </c>
      <c r="B164" s="24">
        <v>2023</v>
      </c>
      <c r="C164" s="25">
        <f t="shared" si="12"/>
        <v>0</v>
      </c>
      <c r="D164" s="25">
        <f>'O&amp;M, Heat Rates'!$D$5</f>
        <v>27.74</v>
      </c>
      <c r="E164" s="26">
        <f>'O&amp;M, Heat Rates'!$C$5</f>
        <v>5.87</v>
      </c>
      <c r="F164" s="26">
        <f>IF(B164&lt;2031,'O&amp;M, Heat Rates'!$E$5-'O&amp;M, Heat Rates'!$G$5*(B164-$B$67),'O&amp;M, Heat Rates'!$F$5)/1000</f>
        <v>7.1239999999999997</v>
      </c>
      <c r="J164" s="20" t="s">
        <v>5</v>
      </c>
      <c r="K164" s="11">
        <v>2023</v>
      </c>
      <c r="L164" s="15"/>
      <c r="M164" s="15"/>
      <c r="N164" s="16"/>
      <c r="O164" s="21"/>
      <c r="R164" s="22" t="s">
        <v>5</v>
      </c>
      <c r="S164">
        <v>2023</v>
      </c>
      <c r="W164" s="23"/>
    </row>
    <row r="165" spans="1:23" x14ac:dyDescent="0.2">
      <c r="A165" s="10" t="s">
        <v>5</v>
      </c>
      <c r="B165" s="24">
        <v>2024</v>
      </c>
      <c r="C165" s="25">
        <f t="shared" si="12"/>
        <v>0</v>
      </c>
      <c r="D165" s="25">
        <f>'O&amp;M, Heat Rates'!$D$5</f>
        <v>27.74</v>
      </c>
      <c r="E165" s="26">
        <f>'O&amp;M, Heat Rates'!$C$5</f>
        <v>5.87</v>
      </c>
      <c r="F165" s="26">
        <f>IF(B165&lt;2031,'O&amp;M, Heat Rates'!$E$5-'O&amp;M, Heat Rates'!$G$5*(B165-$B$67),'O&amp;M, Heat Rates'!$F$5)/1000</f>
        <v>7.1239999999999997</v>
      </c>
      <c r="J165" s="20" t="s">
        <v>5</v>
      </c>
      <c r="K165" s="11">
        <v>2024</v>
      </c>
      <c r="L165" s="15"/>
      <c r="M165" s="15"/>
      <c r="N165" s="16"/>
      <c r="O165" s="21"/>
      <c r="R165" s="22" t="s">
        <v>5</v>
      </c>
      <c r="S165">
        <v>2024</v>
      </c>
      <c r="W165" s="23"/>
    </row>
    <row r="166" spans="1:23" x14ac:dyDescent="0.2">
      <c r="A166" s="10" t="s">
        <v>5</v>
      </c>
      <c r="B166" s="24">
        <v>2025</v>
      </c>
      <c r="C166" s="25">
        <f t="shared" si="12"/>
        <v>2677.6518144065985</v>
      </c>
      <c r="D166" s="25">
        <f>'O&amp;M, Heat Rates'!$D$5</f>
        <v>27.74</v>
      </c>
      <c r="E166" s="26">
        <f>'O&amp;M, Heat Rates'!$C$5</f>
        <v>5.87</v>
      </c>
      <c r="F166" s="26">
        <f>IF(B166&lt;2031,'O&amp;M, Heat Rates'!$E$5-'O&amp;M, Heat Rates'!$G$5*(B166-$B$67),'O&amp;M, Heat Rates'!$F$5)/1000</f>
        <v>7.1239999999999997</v>
      </c>
      <c r="J166" s="20" t="s">
        <v>5</v>
      </c>
      <c r="K166" s="11">
        <v>2025</v>
      </c>
      <c r="L166" s="15"/>
      <c r="M166" s="15"/>
      <c r="N166" s="16"/>
      <c r="O166" s="21"/>
      <c r="R166" s="22" t="s">
        <v>5</v>
      </c>
      <c r="S166">
        <v>2025</v>
      </c>
      <c r="W166" s="23"/>
    </row>
    <row r="167" spans="1:23" x14ac:dyDescent="0.2">
      <c r="A167" s="10" t="s">
        <v>5</v>
      </c>
      <c r="B167" s="24">
        <v>2026</v>
      </c>
      <c r="C167" s="25">
        <f t="shared" si="12"/>
        <v>2642.8767707439902</v>
      </c>
      <c r="D167" s="25">
        <f>'O&amp;M, Heat Rates'!$D$5</f>
        <v>27.74</v>
      </c>
      <c r="E167" s="26">
        <f>'O&amp;M, Heat Rates'!$C$5</f>
        <v>5.87</v>
      </c>
      <c r="F167" s="26">
        <f>IF(B167&lt;2031,'O&amp;M, Heat Rates'!$E$5-'O&amp;M, Heat Rates'!$G$5*(B167-$B$67),'O&amp;M, Heat Rates'!$F$5)/1000</f>
        <v>7.1239999999999997</v>
      </c>
      <c r="J167" s="20" t="s">
        <v>5</v>
      </c>
      <c r="K167" s="11">
        <v>2026</v>
      </c>
      <c r="L167" s="15"/>
      <c r="M167" s="15"/>
      <c r="N167" s="16"/>
      <c r="O167" s="21"/>
      <c r="R167" s="22" t="s">
        <v>5</v>
      </c>
      <c r="S167">
        <v>2026</v>
      </c>
      <c r="W167" s="23"/>
    </row>
    <row r="168" spans="1:23" x14ac:dyDescent="0.2">
      <c r="A168" s="10" t="s">
        <v>5</v>
      </c>
      <c r="B168" s="24">
        <v>2027</v>
      </c>
      <c r="C168" s="25">
        <f t="shared" si="12"/>
        <v>2628.3649214314555</v>
      </c>
      <c r="D168" s="25">
        <f>'O&amp;M, Heat Rates'!$D$5</f>
        <v>27.74</v>
      </c>
      <c r="E168" s="26">
        <f>'O&amp;M, Heat Rates'!$C$5</f>
        <v>5.87</v>
      </c>
      <c r="F168" s="26">
        <f>IF(B168&lt;2031,'O&amp;M, Heat Rates'!$E$5-'O&amp;M, Heat Rates'!$G$5*(B168-$B$67),'O&amp;M, Heat Rates'!$F$5)/1000</f>
        <v>7.1239999999999997</v>
      </c>
      <c r="J168" s="20" t="s">
        <v>5</v>
      </c>
      <c r="K168" s="11">
        <v>2027</v>
      </c>
      <c r="L168" s="15"/>
      <c r="M168" s="15"/>
      <c r="N168" s="16"/>
      <c r="O168" s="21"/>
      <c r="R168" s="22" t="s">
        <v>5</v>
      </c>
      <c r="S168">
        <v>2027</v>
      </c>
      <c r="W168" s="23"/>
    </row>
    <row r="169" spans="1:23" x14ac:dyDescent="0.2">
      <c r="A169" s="10" t="s">
        <v>5</v>
      </c>
      <c r="B169" s="24">
        <v>2028</v>
      </c>
      <c r="C169" s="25">
        <f t="shared" si="12"/>
        <v>2595.5696962593679</v>
      </c>
      <c r="D169" s="25">
        <f>'O&amp;M, Heat Rates'!$D$5</f>
        <v>27.74</v>
      </c>
      <c r="E169" s="26">
        <f>'O&amp;M, Heat Rates'!$C$5</f>
        <v>5.87</v>
      </c>
      <c r="F169" s="26">
        <f>IF(B169&lt;2031,'O&amp;M, Heat Rates'!$E$5-'O&amp;M, Heat Rates'!$G$5*(B169-$B$67),'O&amp;M, Heat Rates'!$F$5)/1000</f>
        <v>7.1239999999999997</v>
      </c>
      <c r="J169" s="20" t="s">
        <v>5</v>
      </c>
      <c r="K169" s="11">
        <v>2028</v>
      </c>
      <c r="L169" s="15"/>
      <c r="M169" s="15"/>
      <c r="N169" s="16"/>
      <c r="O169" s="21"/>
      <c r="R169" s="22" t="s">
        <v>5</v>
      </c>
      <c r="S169">
        <v>2028</v>
      </c>
      <c r="W169" s="23"/>
    </row>
    <row r="170" spans="1:23" x14ac:dyDescent="0.2">
      <c r="A170" s="10" t="s">
        <v>5</v>
      </c>
      <c r="B170" s="24">
        <v>2029</v>
      </c>
      <c r="C170" s="25">
        <f t="shared" si="12"/>
        <v>2568.5389894071895</v>
      </c>
      <c r="D170" s="25">
        <f>'O&amp;M, Heat Rates'!$D$5</f>
        <v>27.74</v>
      </c>
      <c r="E170" s="26">
        <f>'O&amp;M, Heat Rates'!$C$5</f>
        <v>5.87</v>
      </c>
      <c r="F170" s="26">
        <f>IF(B170&lt;2031,'O&amp;M, Heat Rates'!$E$5-'O&amp;M, Heat Rates'!$G$5*(B170-$B$67),'O&amp;M, Heat Rates'!$F$5)/1000</f>
        <v>7.1239999999999997</v>
      </c>
      <c r="J170" s="20" t="s">
        <v>5</v>
      </c>
      <c r="K170" s="11">
        <v>2029</v>
      </c>
      <c r="L170" s="15"/>
      <c r="M170" s="15"/>
      <c r="N170" s="16"/>
      <c r="O170" s="21"/>
      <c r="R170" s="22" t="s">
        <v>5</v>
      </c>
      <c r="S170">
        <v>2029</v>
      </c>
      <c r="W170" s="23"/>
    </row>
    <row r="171" spans="1:23" x14ac:dyDescent="0.2">
      <c r="A171" s="10" t="s">
        <v>5</v>
      </c>
      <c r="B171" s="24">
        <v>2030</v>
      </c>
      <c r="C171" s="25">
        <f t="shared" si="12"/>
        <v>2543.7322463567766</v>
      </c>
      <c r="D171" s="25">
        <f>'O&amp;M, Heat Rates'!$D$5</f>
        <v>27.74</v>
      </c>
      <c r="E171" s="26">
        <f>'O&amp;M, Heat Rates'!$C$5</f>
        <v>5.87</v>
      </c>
      <c r="F171" s="26">
        <f>IF(B171&lt;2031,'O&amp;M, Heat Rates'!$E$5-'O&amp;M, Heat Rates'!$G$5*(B171-$B$67),'O&amp;M, Heat Rates'!$F$5)/1000</f>
        <v>7.1239999999999997</v>
      </c>
      <c r="J171" s="20" t="s">
        <v>5</v>
      </c>
      <c r="K171" s="11">
        <v>2030</v>
      </c>
      <c r="L171" s="15"/>
      <c r="M171" s="15"/>
      <c r="N171" s="16"/>
      <c r="O171" s="21"/>
      <c r="R171" s="22" t="s">
        <v>5</v>
      </c>
      <c r="S171">
        <v>2030</v>
      </c>
      <c r="W171" s="23"/>
    </row>
    <row r="172" spans="1:23" x14ac:dyDescent="0.2">
      <c r="A172" s="10" t="s">
        <v>5</v>
      </c>
      <c r="B172" s="24">
        <v>2031</v>
      </c>
      <c r="C172" s="25">
        <f t="shared" si="12"/>
        <v>2527.3054907008077</v>
      </c>
      <c r="D172" s="25">
        <f>'O&amp;M, Heat Rates'!$D$5</f>
        <v>27.74</v>
      </c>
      <c r="E172" s="26">
        <f>'O&amp;M, Heat Rates'!$C$5</f>
        <v>5.87</v>
      </c>
      <c r="F172" s="26">
        <f>IF(B172&lt;2031,'O&amp;M, Heat Rates'!$E$5-'O&amp;M, Heat Rates'!$G$5*(B172-$B$67),'O&amp;M, Heat Rates'!$F$5)/1000</f>
        <v>7.1239999999999997</v>
      </c>
      <c r="J172" s="20" t="s">
        <v>5</v>
      </c>
      <c r="K172" s="11">
        <v>2031</v>
      </c>
      <c r="L172" s="15"/>
      <c r="M172" s="15"/>
      <c r="N172" s="16"/>
      <c r="O172" s="21"/>
      <c r="R172" s="22" t="s">
        <v>5</v>
      </c>
      <c r="S172">
        <v>2031</v>
      </c>
      <c r="W172" s="23"/>
    </row>
    <row r="173" spans="1:23" x14ac:dyDescent="0.2">
      <c r="A173" s="10" t="s">
        <v>5</v>
      </c>
      <c r="B173" s="24">
        <v>2032</v>
      </c>
      <c r="C173" s="25">
        <f t="shared" si="12"/>
        <v>2512.6765395656821</v>
      </c>
      <c r="D173" s="25">
        <f>'O&amp;M, Heat Rates'!$D$5</f>
        <v>27.74</v>
      </c>
      <c r="E173" s="26">
        <f>'O&amp;M, Heat Rates'!$C$5</f>
        <v>5.87</v>
      </c>
      <c r="F173" s="26">
        <f>IF(B173&lt;2031,'O&amp;M, Heat Rates'!$E$5-'O&amp;M, Heat Rates'!$G$5*(B173-$B$67),'O&amp;M, Heat Rates'!$F$5)/1000</f>
        <v>7.1239999999999997</v>
      </c>
      <c r="J173" s="20" t="s">
        <v>5</v>
      </c>
      <c r="K173" s="11">
        <v>2032</v>
      </c>
      <c r="L173" s="15"/>
      <c r="M173" s="15"/>
      <c r="N173" s="16"/>
      <c r="O173" s="21"/>
      <c r="R173" s="22" t="s">
        <v>5</v>
      </c>
      <c r="S173">
        <v>2032</v>
      </c>
      <c r="W173" s="23"/>
    </row>
    <row r="174" spans="1:23" x14ac:dyDescent="0.2">
      <c r="A174" s="10" t="s">
        <v>5</v>
      </c>
      <c r="B174" s="24">
        <v>2033</v>
      </c>
      <c r="C174" s="25">
        <f t="shared" si="12"/>
        <v>2498.7833679824021</v>
      </c>
      <c r="D174" s="25">
        <f>'O&amp;M, Heat Rates'!$D$5</f>
        <v>27.74</v>
      </c>
      <c r="E174" s="26">
        <f>'O&amp;M, Heat Rates'!$C$5</f>
        <v>5.87</v>
      </c>
      <c r="F174" s="26">
        <f>IF(B174&lt;2031,'O&amp;M, Heat Rates'!$E$5-'O&amp;M, Heat Rates'!$G$5*(B174-$B$67),'O&amp;M, Heat Rates'!$F$5)/1000</f>
        <v>7.1239999999999997</v>
      </c>
      <c r="J174" s="20" t="s">
        <v>5</v>
      </c>
      <c r="K174" s="11">
        <v>2033</v>
      </c>
      <c r="L174" s="15"/>
      <c r="M174" s="15"/>
      <c r="N174" s="16"/>
      <c r="O174" s="21"/>
      <c r="R174" s="22" t="s">
        <v>5</v>
      </c>
      <c r="S174">
        <v>2033</v>
      </c>
      <c r="W174" s="23"/>
    </row>
    <row r="175" spans="1:23" x14ac:dyDescent="0.2">
      <c r="A175" s="10" t="s">
        <v>5</v>
      </c>
      <c r="B175" s="24">
        <v>2034</v>
      </c>
      <c r="C175" s="25">
        <f t="shared" si="12"/>
        <v>2274.7072213088504</v>
      </c>
      <c r="D175" s="25">
        <f>'O&amp;M, Heat Rates'!$D$5</f>
        <v>27.74</v>
      </c>
      <c r="E175" s="26">
        <f>'O&amp;M, Heat Rates'!$C$5</f>
        <v>5.87</v>
      </c>
      <c r="F175" s="26">
        <f>IF(B175&lt;2031,'O&amp;M, Heat Rates'!$E$5-'O&amp;M, Heat Rates'!$G$5*(B175-$B$67),'O&amp;M, Heat Rates'!$F$5)/1000</f>
        <v>7.1239999999999997</v>
      </c>
      <c r="J175" s="20" t="s">
        <v>5</v>
      </c>
      <c r="K175" s="11">
        <v>2034</v>
      </c>
      <c r="L175" s="15"/>
      <c r="M175" s="15"/>
      <c r="N175" s="16"/>
      <c r="O175" s="21"/>
      <c r="R175" s="22" t="s">
        <v>5</v>
      </c>
      <c r="S175">
        <v>2034</v>
      </c>
      <c r="W175" s="23"/>
    </row>
    <row r="176" spans="1:23" x14ac:dyDescent="0.2">
      <c r="A176" s="10" t="s">
        <v>5</v>
      </c>
      <c r="B176" s="24">
        <v>2035</v>
      </c>
      <c r="C176" s="25">
        <f t="shared" si="12"/>
        <v>2258.8200903250076</v>
      </c>
      <c r="D176" s="25">
        <f>'O&amp;M, Heat Rates'!$D$5</f>
        <v>27.74</v>
      </c>
      <c r="E176" s="26">
        <f>'O&amp;M, Heat Rates'!$C$5</f>
        <v>5.87</v>
      </c>
      <c r="F176" s="26">
        <f>IF(B176&lt;2031,'O&amp;M, Heat Rates'!$E$5-'O&amp;M, Heat Rates'!$G$5*(B176-$B$67),'O&amp;M, Heat Rates'!$F$5)/1000</f>
        <v>7.1239999999999997</v>
      </c>
      <c r="J176" s="20" t="s">
        <v>5</v>
      </c>
      <c r="K176" s="11">
        <v>2035</v>
      </c>
      <c r="L176" s="15"/>
      <c r="M176" s="15"/>
      <c r="N176" s="16"/>
      <c r="O176" s="21"/>
      <c r="R176" s="22" t="s">
        <v>5</v>
      </c>
      <c r="S176">
        <v>2035</v>
      </c>
      <c r="W176" s="23"/>
    </row>
    <row r="177" spans="1:23" x14ac:dyDescent="0.2">
      <c r="A177" s="10" t="s">
        <v>5</v>
      </c>
      <c r="B177" s="24">
        <v>2036</v>
      </c>
      <c r="C177" s="25">
        <f t="shared" si="12"/>
        <v>2008.0280044610834</v>
      </c>
      <c r="D177" s="25">
        <f>'O&amp;M, Heat Rates'!$D$5</f>
        <v>27.74</v>
      </c>
      <c r="E177" s="26">
        <f>'O&amp;M, Heat Rates'!$C$5</f>
        <v>5.87</v>
      </c>
      <c r="F177" s="26">
        <f>IF(B177&lt;2031,'O&amp;M, Heat Rates'!$E$5-'O&amp;M, Heat Rates'!$G$5*(B177-$B$67),'O&amp;M, Heat Rates'!$F$5)/1000</f>
        <v>7.1239999999999997</v>
      </c>
      <c r="J177" s="20" t="s">
        <v>5</v>
      </c>
      <c r="K177" s="11">
        <v>2036</v>
      </c>
      <c r="L177" s="15"/>
      <c r="M177" s="15"/>
      <c r="N177" s="16"/>
      <c r="O177" s="21"/>
      <c r="R177" s="22" t="s">
        <v>5</v>
      </c>
      <c r="S177">
        <v>2036</v>
      </c>
      <c r="W177" s="23"/>
    </row>
    <row r="178" spans="1:23" x14ac:dyDescent="0.2">
      <c r="A178" s="10" t="s">
        <v>5</v>
      </c>
      <c r="B178" s="24">
        <v>2037</v>
      </c>
      <c r="C178" s="25">
        <f t="shared" si="12"/>
        <v>1899.6675662395587</v>
      </c>
      <c r="D178" s="25">
        <f>'O&amp;M, Heat Rates'!$D$5</f>
        <v>27.74</v>
      </c>
      <c r="E178" s="26">
        <f>'O&amp;M, Heat Rates'!$C$5</f>
        <v>5.87</v>
      </c>
      <c r="F178" s="26">
        <f>IF(B178&lt;2031,'O&amp;M, Heat Rates'!$E$5-'O&amp;M, Heat Rates'!$G$5*(B178-$B$67),'O&amp;M, Heat Rates'!$F$5)/1000</f>
        <v>7.1239999999999997</v>
      </c>
      <c r="J178" s="20" t="s">
        <v>5</v>
      </c>
      <c r="K178" s="11">
        <v>2037</v>
      </c>
      <c r="L178" s="15"/>
      <c r="M178" s="15"/>
      <c r="N178" s="16"/>
      <c r="O178" s="21"/>
      <c r="R178" s="22" t="s">
        <v>5</v>
      </c>
      <c r="S178">
        <v>2037</v>
      </c>
      <c r="W178" s="23"/>
    </row>
    <row r="179" spans="1:23" x14ac:dyDescent="0.2">
      <c r="A179" s="10" t="s">
        <v>5</v>
      </c>
      <c r="B179" s="24">
        <v>2038</v>
      </c>
      <c r="C179" s="25">
        <f t="shared" si="12"/>
        <v>1844.7319915813916</v>
      </c>
      <c r="D179" s="25">
        <f>'O&amp;M, Heat Rates'!$D$5</f>
        <v>27.74</v>
      </c>
      <c r="E179" s="26">
        <f>'O&amp;M, Heat Rates'!$C$5</f>
        <v>5.87</v>
      </c>
      <c r="F179" s="26">
        <f>IF(B179&lt;2031,'O&amp;M, Heat Rates'!$E$5-'O&amp;M, Heat Rates'!$G$5*(B179-$B$67),'O&amp;M, Heat Rates'!$F$5)/1000</f>
        <v>7.1239999999999997</v>
      </c>
      <c r="J179" s="20" t="s">
        <v>5</v>
      </c>
      <c r="K179" s="11">
        <v>2038</v>
      </c>
      <c r="L179" s="15"/>
      <c r="M179" s="15"/>
      <c r="N179" s="16"/>
      <c r="O179" s="21"/>
      <c r="R179" s="22" t="s">
        <v>5</v>
      </c>
      <c r="S179">
        <v>2038</v>
      </c>
      <c r="W179" s="23"/>
    </row>
    <row r="180" spans="1:23" x14ac:dyDescent="0.2">
      <c r="A180" s="10" t="s">
        <v>5</v>
      </c>
      <c r="B180" s="24">
        <v>2039</v>
      </c>
      <c r="C180" s="25">
        <f t="shared" si="12"/>
        <v>1813.1779360404121</v>
      </c>
      <c r="D180" s="25">
        <f>'O&amp;M, Heat Rates'!$D$5</f>
        <v>27.74</v>
      </c>
      <c r="E180" s="26">
        <f>'O&amp;M, Heat Rates'!$C$5</f>
        <v>5.87</v>
      </c>
      <c r="F180" s="26">
        <f>IF(B180&lt;2031,'O&amp;M, Heat Rates'!$E$5-'O&amp;M, Heat Rates'!$G$5*(B180-$B$67),'O&amp;M, Heat Rates'!$F$5)/1000</f>
        <v>7.1239999999999997</v>
      </c>
      <c r="J180" s="20" t="s">
        <v>5</v>
      </c>
      <c r="K180" s="11">
        <v>2039</v>
      </c>
      <c r="L180" s="15"/>
      <c r="M180" s="15"/>
      <c r="N180" s="16"/>
      <c r="O180" s="21"/>
      <c r="R180" s="22" t="s">
        <v>5</v>
      </c>
      <c r="S180">
        <v>2039</v>
      </c>
      <c r="W180" s="23"/>
    </row>
    <row r="181" spans="1:23" x14ac:dyDescent="0.2">
      <c r="A181" s="10" t="s">
        <v>5</v>
      </c>
      <c r="B181" s="24">
        <v>2040</v>
      </c>
      <c r="C181" s="25">
        <f t="shared" si="12"/>
        <v>1801.786424112712</v>
      </c>
      <c r="D181" s="25">
        <f>'O&amp;M, Heat Rates'!$D$5</f>
        <v>27.74</v>
      </c>
      <c r="E181" s="26">
        <f>'O&amp;M, Heat Rates'!$C$5</f>
        <v>5.87</v>
      </c>
      <c r="F181" s="26">
        <f>IF(B181&lt;2031,'O&amp;M, Heat Rates'!$E$5-'O&amp;M, Heat Rates'!$G$5*(B181-$B$67),'O&amp;M, Heat Rates'!$F$5)/1000</f>
        <v>7.1239999999999997</v>
      </c>
      <c r="J181" s="20" t="s">
        <v>5</v>
      </c>
      <c r="K181" s="11">
        <v>2040</v>
      </c>
      <c r="L181" s="15"/>
      <c r="M181" s="15"/>
      <c r="N181" s="16"/>
      <c r="O181" s="21"/>
      <c r="R181" s="22" t="s">
        <v>5</v>
      </c>
      <c r="S181">
        <v>2040</v>
      </c>
      <c r="W181" s="23"/>
    </row>
    <row r="182" spans="1:23" x14ac:dyDescent="0.2">
      <c r="A182" s="10" t="s">
        <v>5</v>
      </c>
      <c r="B182" s="24">
        <v>2041</v>
      </c>
      <c r="C182" s="25">
        <f t="shared" si="12"/>
        <v>1789.1429108599066</v>
      </c>
      <c r="D182" s="25">
        <f>'O&amp;M, Heat Rates'!$D$5</f>
        <v>27.74</v>
      </c>
      <c r="E182" s="26">
        <f>'O&amp;M, Heat Rates'!$C$5</f>
        <v>5.87</v>
      </c>
      <c r="F182" s="26">
        <f>IF(B182&lt;2031,'O&amp;M, Heat Rates'!$E$5-'O&amp;M, Heat Rates'!$G$5*(B182-$B$67),'O&amp;M, Heat Rates'!$F$5)/1000</f>
        <v>7.1239999999999997</v>
      </c>
      <c r="J182" s="20" t="s">
        <v>5</v>
      </c>
      <c r="K182" s="11">
        <v>2041</v>
      </c>
      <c r="L182" s="15"/>
      <c r="M182" s="15"/>
      <c r="N182" s="16"/>
      <c r="O182" s="21"/>
      <c r="R182" s="22" t="s">
        <v>5</v>
      </c>
      <c r="S182">
        <v>2041</v>
      </c>
      <c r="W182" s="23"/>
    </row>
    <row r="183" spans="1:23" x14ac:dyDescent="0.2">
      <c r="A183" s="10" t="s">
        <v>5</v>
      </c>
      <c r="B183" s="24">
        <v>2042</v>
      </c>
      <c r="C183" s="25">
        <f t="shared" si="12"/>
        <v>1779.2257572955225</v>
      </c>
      <c r="D183" s="25">
        <f>'O&amp;M, Heat Rates'!$D$5</f>
        <v>27.74</v>
      </c>
      <c r="E183" s="26">
        <f>'O&amp;M, Heat Rates'!$C$5</f>
        <v>5.87</v>
      </c>
      <c r="F183" s="26">
        <f>IF(B183&lt;2031,'O&amp;M, Heat Rates'!$E$5-'O&amp;M, Heat Rates'!$G$5*(B183-$B$67),'O&amp;M, Heat Rates'!$F$5)/1000</f>
        <v>7.1239999999999997</v>
      </c>
      <c r="J183" s="20" t="s">
        <v>5</v>
      </c>
      <c r="K183" s="11">
        <v>2042</v>
      </c>
      <c r="L183" s="15"/>
      <c r="M183" s="15"/>
      <c r="N183" s="16"/>
      <c r="O183" s="21"/>
      <c r="R183" s="22" t="s">
        <v>5</v>
      </c>
      <c r="S183">
        <v>2042</v>
      </c>
      <c r="W183" s="23"/>
    </row>
    <row r="184" spans="1:23" x14ac:dyDescent="0.2">
      <c r="A184" s="10" t="s">
        <v>5</v>
      </c>
      <c r="B184" s="24">
        <v>2043</v>
      </c>
      <c r="C184" s="25">
        <f t="shared" si="12"/>
        <v>1769.3474593052538</v>
      </c>
      <c r="D184" s="25">
        <f>'O&amp;M, Heat Rates'!$D$5</f>
        <v>27.74</v>
      </c>
      <c r="E184" s="26">
        <f>'O&amp;M, Heat Rates'!$C$5</f>
        <v>5.87</v>
      </c>
      <c r="F184" s="26">
        <f>IF(B184&lt;2031,'O&amp;M, Heat Rates'!$E$5-'O&amp;M, Heat Rates'!$G$5*(B184-$B$67),'O&amp;M, Heat Rates'!$F$5)/1000</f>
        <v>7.1239999999999997</v>
      </c>
      <c r="J184" s="20" t="s">
        <v>5</v>
      </c>
      <c r="K184" s="11">
        <v>2043</v>
      </c>
      <c r="L184" s="15"/>
      <c r="M184" s="15"/>
      <c r="N184" s="16"/>
      <c r="O184" s="21"/>
      <c r="R184" s="22" t="s">
        <v>5</v>
      </c>
      <c r="S184">
        <v>2043</v>
      </c>
      <c r="W184" s="23"/>
    </row>
    <row r="185" spans="1:23" x14ac:dyDescent="0.2">
      <c r="A185" s="10" t="s">
        <v>5</v>
      </c>
      <c r="B185" s="24">
        <v>2044</v>
      </c>
      <c r="C185" s="25">
        <f t="shared" si="12"/>
        <v>1758.0700815856844</v>
      </c>
      <c r="D185" s="25">
        <f>'O&amp;M, Heat Rates'!$D$5</f>
        <v>27.74</v>
      </c>
      <c r="E185" s="26">
        <f>'O&amp;M, Heat Rates'!$C$5</f>
        <v>5.87</v>
      </c>
      <c r="F185" s="26">
        <f>IF(B185&lt;2031,'O&amp;M, Heat Rates'!$E$5-'O&amp;M, Heat Rates'!$G$5*(B185-$B$67),'O&amp;M, Heat Rates'!$F$5)/1000</f>
        <v>7.1239999999999997</v>
      </c>
      <c r="J185" s="20" t="s">
        <v>5</v>
      </c>
      <c r="K185" s="11">
        <v>2044</v>
      </c>
      <c r="L185" s="15"/>
      <c r="M185" s="15"/>
      <c r="N185" s="16"/>
      <c r="O185" s="21"/>
      <c r="R185" s="22" t="s">
        <v>5</v>
      </c>
      <c r="S185">
        <v>2044</v>
      </c>
      <c r="W185" s="23"/>
    </row>
    <row r="186" spans="1:23" x14ac:dyDescent="0.2">
      <c r="A186" s="10" t="s">
        <v>5</v>
      </c>
      <c r="B186" s="24">
        <v>2045</v>
      </c>
      <c r="C186" s="25">
        <f t="shared" si="12"/>
        <v>1748.1565991810703</v>
      </c>
      <c r="D186" s="25">
        <f>'O&amp;M, Heat Rates'!$D$5</f>
        <v>27.74</v>
      </c>
      <c r="E186" s="26">
        <f>'O&amp;M, Heat Rates'!$C$5</f>
        <v>5.87</v>
      </c>
      <c r="F186" s="26">
        <f>IF(B186&lt;2031,'O&amp;M, Heat Rates'!$E$5-'O&amp;M, Heat Rates'!$G$5*(B186-$B$67),'O&amp;M, Heat Rates'!$F$5)/1000</f>
        <v>7.1239999999999997</v>
      </c>
      <c r="J186" s="20" t="s">
        <v>5</v>
      </c>
      <c r="K186" s="11">
        <v>2045</v>
      </c>
      <c r="L186" s="15"/>
      <c r="M186" s="15"/>
      <c r="N186" s="16"/>
      <c r="O186" s="21"/>
      <c r="R186" s="22" t="s">
        <v>5</v>
      </c>
      <c r="S186">
        <v>2045</v>
      </c>
      <c r="W186" s="23"/>
    </row>
    <row r="187" spans="1:23" x14ac:dyDescent="0.2">
      <c r="A187" s="10" t="s">
        <v>5</v>
      </c>
      <c r="B187" s="24">
        <v>2046</v>
      </c>
      <c r="C187" s="25">
        <f t="shared" si="12"/>
        <v>1736.1888903433896</v>
      </c>
      <c r="D187" s="25">
        <f>'O&amp;M, Heat Rates'!$D$5</f>
        <v>27.74</v>
      </c>
      <c r="E187" s="26">
        <f>'O&amp;M, Heat Rates'!$C$5</f>
        <v>5.87</v>
      </c>
      <c r="F187" s="26">
        <f>IF(B187&lt;2031,'O&amp;M, Heat Rates'!$E$5-'O&amp;M, Heat Rates'!$G$5*(B187-$B$67),'O&amp;M, Heat Rates'!$F$5)/1000</f>
        <v>7.1239999999999997</v>
      </c>
      <c r="J187" s="20" t="s">
        <v>5</v>
      </c>
      <c r="K187" s="11">
        <v>2046</v>
      </c>
      <c r="L187" s="15"/>
      <c r="M187" s="15"/>
      <c r="N187" s="16"/>
      <c r="O187" s="21"/>
      <c r="R187" s="22" t="s">
        <v>5</v>
      </c>
      <c r="S187">
        <v>2046</v>
      </c>
      <c r="W187" s="23"/>
    </row>
    <row r="188" spans="1:23" x14ac:dyDescent="0.2">
      <c r="A188" s="10" t="s">
        <v>5</v>
      </c>
      <c r="B188" s="24">
        <v>2047</v>
      </c>
      <c r="C188" s="25">
        <f t="shared" si="12"/>
        <v>1723.498898722215</v>
      </c>
      <c r="D188" s="25">
        <f>'O&amp;M, Heat Rates'!$D$5</f>
        <v>27.74</v>
      </c>
      <c r="E188" s="26">
        <f>'O&amp;M, Heat Rates'!$C$5</f>
        <v>5.87</v>
      </c>
      <c r="F188" s="26">
        <f>IF(B188&lt;2031,'O&amp;M, Heat Rates'!$E$5-'O&amp;M, Heat Rates'!$G$5*(B188-$B$67),'O&amp;M, Heat Rates'!$F$5)/1000</f>
        <v>7.1239999999999997</v>
      </c>
      <c r="J188" s="20" t="s">
        <v>5</v>
      </c>
      <c r="K188" s="11">
        <v>2047</v>
      </c>
      <c r="L188" s="15"/>
      <c r="M188" s="15"/>
      <c r="N188" s="16"/>
      <c r="O188" s="21"/>
      <c r="R188" s="22" t="s">
        <v>5</v>
      </c>
      <c r="S188">
        <v>2047</v>
      </c>
      <c r="W188" s="23"/>
    </row>
    <row r="189" spans="1:23" x14ac:dyDescent="0.2">
      <c r="A189" s="10" t="s">
        <v>5</v>
      </c>
      <c r="B189" s="24">
        <v>2048</v>
      </c>
      <c r="C189" s="25">
        <f t="shared" si="12"/>
        <v>1712.5170848408093</v>
      </c>
      <c r="D189" s="25">
        <f>'O&amp;M, Heat Rates'!$D$5</f>
        <v>27.74</v>
      </c>
      <c r="E189" s="26">
        <f>'O&amp;M, Heat Rates'!$C$5</f>
        <v>5.87</v>
      </c>
      <c r="F189" s="26">
        <f>IF(B189&lt;2031,'O&amp;M, Heat Rates'!$E$5-'O&amp;M, Heat Rates'!$G$5*(B189-$B$67),'O&amp;M, Heat Rates'!$F$5)/1000</f>
        <v>7.1239999999999997</v>
      </c>
      <c r="J189" s="20" t="s">
        <v>5</v>
      </c>
      <c r="K189" s="11">
        <v>2048</v>
      </c>
      <c r="L189" s="15"/>
      <c r="M189" s="15"/>
      <c r="N189" s="16"/>
      <c r="O189" s="21"/>
      <c r="R189" s="22" t="s">
        <v>5</v>
      </c>
      <c r="S189">
        <v>2048</v>
      </c>
      <c r="W189" s="23"/>
    </row>
    <row r="190" spans="1:23" x14ac:dyDescent="0.2">
      <c r="A190" s="10" t="s">
        <v>5</v>
      </c>
      <c r="B190" s="24">
        <v>2049</v>
      </c>
      <c r="C190" s="25">
        <f t="shared" si="12"/>
        <v>1702.2837859037841</v>
      </c>
      <c r="D190" s="25">
        <f>'O&amp;M, Heat Rates'!$D$5</f>
        <v>27.74</v>
      </c>
      <c r="E190" s="26">
        <f>'O&amp;M, Heat Rates'!$C$5</f>
        <v>5.87</v>
      </c>
      <c r="F190" s="26">
        <f>IF(B190&lt;2031,'O&amp;M, Heat Rates'!$E$5-'O&amp;M, Heat Rates'!$G$5*(B190-$B$67),'O&amp;M, Heat Rates'!$F$5)/1000</f>
        <v>7.1239999999999997</v>
      </c>
      <c r="J190" s="20" t="s">
        <v>5</v>
      </c>
      <c r="K190" s="11">
        <v>2049</v>
      </c>
      <c r="L190" s="15"/>
      <c r="M190" s="15"/>
      <c r="N190" s="16"/>
      <c r="O190" s="21"/>
      <c r="R190" s="22" t="s">
        <v>5</v>
      </c>
      <c r="S190">
        <v>2049</v>
      </c>
      <c r="W190" s="23"/>
    </row>
    <row r="191" spans="1:23" x14ac:dyDescent="0.2">
      <c r="A191" s="10" t="s">
        <v>5</v>
      </c>
      <c r="B191" s="24">
        <v>2050</v>
      </c>
      <c r="C191" s="25">
        <f t="shared" si="12"/>
        <v>1686.7608516075372</v>
      </c>
      <c r="D191" s="25">
        <f>'O&amp;M, Heat Rates'!$D$5</f>
        <v>27.74</v>
      </c>
      <c r="E191" s="26">
        <f>'O&amp;M, Heat Rates'!$C$5</f>
        <v>5.87</v>
      </c>
      <c r="F191" s="26">
        <f>IF(B191&lt;2031,'O&amp;M, Heat Rates'!$E$5-'O&amp;M, Heat Rates'!$G$5*(B191-$B$67),'O&amp;M, Heat Rates'!$F$5)/1000</f>
        <v>7.1239999999999997</v>
      </c>
      <c r="J191" s="20" t="s">
        <v>5</v>
      </c>
      <c r="K191" s="11">
        <v>2050</v>
      </c>
      <c r="L191" s="15"/>
      <c r="M191" s="15"/>
      <c r="N191" s="16"/>
      <c r="O191" s="21"/>
      <c r="R191" s="22" t="s">
        <v>5</v>
      </c>
      <c r="S191">
        <v>2050</v>
      </c>
      <c r="W191" s="23"/>
    </row>
    <row r="192" spans="1:23" x14ac:dyDescent="0.2">
      <c r="A192" s="10" t="s">
        <v>6</v>
      </c>
      <c r="B192" s="24">
        <v>2010</v>
      </c>
      <c r="C192" s="25">
        <f t="shared" si="12"/>
        <v>0</v>
      </c>
      <c r="D192" s="25">
        <f>U192/$U$66/1000</f>
        <v>36.693179265870199</v>
      </c>
      <c r="E192" s="26">
        <f>V192/$U$66</f>
        <v>6.4962774302295809</v>
      </c>
      <c r="F192" s="26">
        <f>O192</f>
        <v>9.9842429859999999</v>
      </c>
      <c r="J192" s="20" t="s">
        <v>6</v>
      </c>
      <c r="K192" s="11">
        <v>2010</v>
      </c>
      <c r="L192" s="15"/>
      <c r="M192" s="15"/>
      <c r="N192" s="16"/>
      <c r="O192" s="21">
        <v>9.9842429859999999</v>
      </c>
      <c r="R192" s="22" t="s">
        <v>6</v>
      </c>
      <c r="S192">
        <v>2010</v>
      </c>
      <c r="U192">
        <v>27155.599999999999</v>
      </c>
      <c r="V192">
        <v>4.8077139924593215</v>
      </c>
      <c r="W192" s="23"/>
    </row>
    <row r="193" spans="1:23" x14ac:dyDescent="0.2">
      <c r="A193" s="10" t="s">
        <v>6</v>
      </c>
      <c r="B193" s="24">
        <v>2011</v>
      </c>
      <c r="C193" s="25">
        <f t="shared" si="12"/>
        <v>0</v>
      </c>
      <c r="D193" s="25">
        <f t="shared" ref="D193:D256" si="13">U193/$U$66/1000</f>
        <v>36.693179265870199</v>
      </c>
      <c r="E193" s="26">
        <f t="shared" ref="E193:E256" si="14">V193/$U$66</f>
        <v>6.6315049847792462</v>
      </c>
      <c r="F193" s="26">
        <f t="shared" ref="F193:F256" si="15">O193</f>
        <v>9.9842429859999999</v>
      </c>
      <c r="J193" s="20" t="s">
        <v>6</v>
      </c>
      <c r="K193" s="11">
        <v>2011</v>
      </c>
      <c r="L193" s="15"/>
      <c r="M193" s="15"/>
      <c r="N193" s="16"/>
      <c r="O193" s="21">
        <v>9.9842429859999999</v>
      </c>
      <c r="R193" s="22" t="s">
        <v>6</v>
      </c>
      <c r="S193">
        <v>2011</v>
      </c>
      <c r="U193">
        <v>27155.599999999999</v>
      </c>
      <c r="V193">
        <v>4.9077921392375305</v>
      </c>
      <c r="W193" s="23"/>
    </row>
    <row r="194" spans="1:23" x14ac:dyDescent="0.2">
      <c r="A194" s="10" t="s">
        <v>6</v>
      </c>
      <c r="B194" s="24">
        <v>2012</v>
      </c>
      <c r="C194" s="25">
        <f t="shared" si="12"/>
        <v>0</v>
      </c>
      <c r="D194" s="25">
        <f t="shared" si="13"/>
        <v>36.693179265870199</v>
      </c>
      <c r="E194" s="26">
        <f t="shared" si="14"/>
        <v>6.7667325393289106</v>
      </c>
      <c r="F194" s="26">
        <f t="shared" si="15"/>
        <v>9.9842429859999999</v>
      </c>
      <c r="J194" s="20" t="s">
        <v>6</v>
      </c>
      <c r="K194" s="11">
        <v>2012</v>
      </c>
      <c r="L194" s="15"/>
      <c r="M194" s="15"/>
      <c r="N194" s="16"/>
      <c r="O194" s="21">
        <v>9.9842429859999999</v>
      </c>
      <c r="R194" s="22" t="s">
        <v>6</v>
      </c>
      <c r="S194">
        <v>2012</v>
      </c>
      <c r="U194">
        <v>27155.599999999999</v>
      </c>
      <c r="V194">
        <v>5.0078702860157387</v>
      </c>
      <c r="W194" s="23"/>
    </row>
    <row r="195" spans="1:23" x14ac:dyDescent="0.2">
      <c r="A195" s="10" t="s">
        <v>6</v>
      </c>
      <c r="B195" s="24">
        <v>2013</v>
      </c>
      <c r="C195" s="25">
        <f t="shared" si="12"/>
        <v>0</v>
      </c>
      <c r="D195" s="25">
        <f t="shared" si="13"/>
        <v>36.693179265870199</v>
      </c>
      <c r="E195" s="26">
        <f t="shared" si="14"/>
        <v>6.9019600938785759</v>
      </c>
      <c r="F195" s="26">
        <f t="shared" si="15"/>
        <v>9.9842429859999999</v>
      </c>
      <c r="J195" s="20" t="s">
        <v>6</v>
      </c>
      <c r="K195" s="11">
        <v>2013</v>
      </c>
      <c r="L195" s="15"/>
      <c r="M195" s="15"/>
      <c r="N195" s="16"/>
      <c r="O195" s="21">
        <v>9.9842429859999999</v>
      </c>
      <c r="R195" s="22" t="s">
        <v>6</v>
      </c>
      <c r="S195">
        <v>2013</v>
      </c>
      <c r="U195">
        <v>27155.599999999999</v>
      </c>
      <c r="V195">
        <v>5.1079484327939477</v>
      </c>
      <c r="W195" s="23"/>
    </row>
    <row r="196" spans="1:23" x14ac:dyDescent="0.2">
      <c r="A196" s="10" t="s">
        <v>6</v>
      </c>
      <c r="B196" s="24">
        <v>2014</v>
      </c>
      <c r="C196" s="25">
        <f t="shared" si="12"/>
        <v>0</v>
      </c>
      <c r="D196" s="25">
        <f t="shared" si="13"/>
        <v>36.693179265870199</v>
      </c>
      <c r="E196" s="26">
        <f t="shared" si="14"/>
        <v>7.0371876484282403</v>
      </c>
      <c r="F196" s="26">
        <f t="shared" si="15"/>
        <v>9.9842429859999999</v>
      </c>
      <c r="J196" s="20" t="s">
        <v>6</v>
      </c>
      <c r="K196" s="11">
        <v>2014</v>
      </c>
      <c r="L196" s="15"/>
      <c r="M196" s="15"/>
      <c r="N196" s="16"/>
      <c r="O196" s="21">
        <v>9.9842429859999999</v>
      </c>
      <c r="R196" s="22" t="s">
        <v>6</v>
      </c>
      <c r="S196">
        <v>2014</v>
      </c>
      <c r="U196">
        <v>27155.599999999999</v>
      </c>
      <c r="V196">
        <v>5.2080265795721559</v>
      </c>
      <c r="W196" s="23"/>
    </row>
    <row r="197" spans="1:23" x14ac:dyDescent="0.2">
      <c r="A197" s="10" t="s">
        <v>6</v>
      </c>
      <c r="B197" s="24">
        <v>2015</v>
      </c>
      <c r="C197" s="25">
        <f t="shared" ref="C197:C260" si="16">VLOOKUP(A197,$A$45:$AP$61,VLOOKUP(B197,$Z$69:$AA$109,2,FALSE),FALSE)</f>
        <v>0</v>
      </c>
      <c r="D197" s="25">
        <f t="shared" si="13"/>
        <v>36.693179265870199</v>
      </c>
      <c r="E197" s="26">
        <f t="shared" si="14"/>
        <v>7.1724152029779056</v>
      </c>
      <c r="F197" s="26">
        <f t="shared" si="15"/>
        <v>9.9842429859999999</v>
      </c>
      <c r="J197" s="20" t="s">
        <v>6</v>
      </c>
      <c r="K197" s="11">
        <v>2015</v>
      </c>
      <c r="L197" s="15"/>
      <c r="M197" s="15"/>
      <c r="N197" s="16"/>
      <c r="O197" s="21">
        <v>9.9842429859999999</v>
      </c>
      <c r="R197" s="22" t="s">
        <v>6</v>
      </c>
      <c r="S197">
        <v>2015</v>
      </c>
      <c r="U197">
        <v>27155.599999999999</v>
      </c>
      <c r="V197">
        <v>5.3081047263503649</v>
      </c>
      <c r="W197" s="23"/>
    </row>
    <row r="198" spans="1:23" x14ac:dyDescent="0.2">
      <c r="A198" s="10" t="s">
        <v>6</v>
      </c>
      <c r="B198" s="24">
        <v>2016</v>
      </c>
      <c r="C198" s="25">
        <f t="shared" si="16"/>
        <v>0</v>
      </c>
      <c r="D198" s="25">
        <f t="shared" si="13"/>
        <v>36.693179265870199</v>
      </c>
      <c r="E198" s="26">
        <f t="shared" si="14"/>
        <v>7.3217173500198722</v>
      </c>
      <c r="F198" s="26">
        <f t="shared" si="15"/>
        <v>9.9842429859999999</v>
      </c>
      <c r="J198" s="20" t="s">
        <v>6</v>
      </c>
      <c r="K198" s="11">
        <v>2016</v>
      </c>
      <c r="L198" s="15"/>
      <c r="M198" s="15"/>
      <c r="N198" s="16"/>
      <c r="O198" s="21">
        <v>9.9842429859999999</v>
      </c>
      <c r="R198" s="22" t="s">
        <v>6</v>
      </c>
      <c r="S198">
        <v>2016</v>
      </c>
      <c r="U198">
        <v>27155.599999999999</v>
      </c>
      <c r="V198">
        <v>5.4185990870280172</v>
      </c>
      <c r="W198" s="23"/>
    </row>
    <row r="199" spans="1:23" x14ac:dyDescent="0.2">
      <c r="A199" s="10" t="s">
        <v>6</v>
      </c>
      <c r="B199" s="24">
        <v>2017</v>
      </c>
      <c r="C199" s="25">
        <f t="shared" si="16"/>
        <v>0</v>
      </c>
      <c r="D199" s="25">
        <f t="shared" si="13"/>
        <v>36.693179265870199</v>
      </c>
      <c r="E199" s="26">
        <f t="shared" si="14"/>
        <v>7.4710194970618389</v>
      </c>
      <c r="F199" s="26">
        <f t="shared" si="15"/>
        <v>9.9842429859999999</v>
      </c>
      <c r="J199" s="20" t="s">
        <v>6</v>
      </c>
      <c r="K199" s="11">
        <v>2017</v>
      </c>
      <c r="L199" s="15"/>
      <c r="M199" s="15"/>
      <c r="N199" s="16"/>
      <c r="O199" s="21">
        <v>9.9842429859999999</v>
      </c>
      <c r="R199" s="22" t="s">
        <v>6</v>
      </c>
      <c r="S199">
        <v>2017</v>
      </c>
      <c r="U199">
        <v>27155.599999999999</v>
      </c>
      <c r="V199">
        <v>5.5290934477056703</v>
      </c>
      <c r="W199" s="23"/>
    </row>
    <row r="200" spans="1:23" x14ac:dyDescent="0.2">
      <c r="A200" s="10" t="s">
        <v>6</v>
      </c>
      <c r="B200" s="24">
        <v>2018</v>
      </c>
      <c r="C200" s="25">
        <f t="shared" si="16"/>
        <v>0</v>
      </c>
      <c r="D200" s="25">
        <f t="shared" si="13"/>
        <v>36.693179265870199</v>
      </c>
      <c r="E200" s="26">
        <f t="shared" si="14"/>
        <v>7.6203216441038055</v>
      </c>
      <c r="F200" s="26">
        <f t="shared" si="15"/>
        <v>9.9842429859999999</v>
      </c>
      <c r="J200" s="20" t="s">
        <v>6</v>
      </c>
      <c r="K200" s="11">
        <v>2018</v>
      </c>
      <c r="L200" s="15"/>
      <c r="M200" s="15"/>
      <c r="N200" s="16"/>
      <c r="O200" s="21">
        <v>9.9842429859999999</v>
      </c>
      <c r="R200" s="22" t="s">
        <v>6</v>
      </c>
      <c r="S200">
        <v>2018</v>
      </c>
      <c r="U200">
        <v>27155.599999999999</v>
      </c>
      <c r="V200">
        <v>5.6395878083833226</v>
      </c>
      <c r="W200" s="23"/>
    </row>
    <row r="201" spans="1:23" x14ac:dyDescent="0.2">
      <c r="A201" s="10" t="s">
        <v>6</v>
      </c>
      <c r="B201" s="24">
        <v>2019</v>
      </c>
      <c r="C201" s="25">
        <f t="shared" si="16"/>
        <v>0</v>
      </c>
      <c r="D201" s="25">
        <f t="shared" si="13"/>
        <v>36.693179265870199</v>
      </c>
      <c r="E201" s="26">
        <f t="shared" si="14"/>
        <v>7.7696237911457722</v>
      </c>
      <c r="F201" s="26">
        <f t="shared" si="15"/>
        <v>9.9842429859999999</v>
      </c>
      <c r="J201" s="20" t="s">
        <v>6</v>
      </c>
      <c r="K201" s="11">
        <v>2019</v>
      </c>
      <c r="L201" s="15"/>
      <c r="M201" s="15"/>
      <c r="N201" s="16"/>
      <c r="O201" s="21">
        <v>9.9842429859999999</v>
      </c>
      <c r="R201" s="22" t="s">
        <v>6</v>
      </c>
      <c r="S201">
        <v>2019</v>
      </c>
      <c r="U201">
        <v>27155.599999999999</v>
      </c>
      <c r="V201">
        <v>5.7500821690609758</v>
      </c>
      <c r="W201" s="23"/>
    </row>
    <row r="202" spans="1:23" x14ac:dyDescent="0.2">
      <c r="A202" s="10" t="s">
        <v>6</v>
      </c>
      <c r="B202" s="24">
        <v>2020</v>
      </c>
      <c r="C202" s="25">
        <f t="shared" si="16"/>
        <v>0</v>
      </c>
      <c r="D202" s="25">
        <f t="shared" si="13"/>
        <v>36.693179265870199</v>
      </c>
      <c r="E202" s="26">
        <f t="shared" si="14"/>
        <v>7.9189259381877388</v>
      </c>
      <c r="F202" s="26">
        <f t="shared" si="15"/>
        <v>9.9842429859999999</v>
      </c>
      <c r="J202" s="20" t="s">
        <v>6</v>
      </c>
      <c r="K202" s="11">
        <v>2020</v>
      </c>
      <c r="L202" s="15"/>
      <c r="M202" s="15"/>
      <c r="N202" s="16"/>
      <c r="O202" s="21">
        <v>9.9842429859999999</v>
      </c>
      <c r="R202" s="22" t="s">
        <v>6</v>
      </c>
      <c r="S202">
        <v>2020</v>
      </c>
      <c r="U202">
        <v>27155.599999999999</v>
      </c>
      <c r="V202">
        <v>5.8605765297386281</v>
      </c>
      <c r="W202" s="23"/>
    </row>
    <row r="203" spans="1:23" x14ac:dyDescent="0.2">
      <c r="A203" s="10" t="s">
        <v>6</v>
      </c>
      <c r="B203" s="24">
        <v>2021</v>
      </c>
      <c r="C203" s="25">
        <f t="shared" si="16"/>
        <v>0</v>
      </c>
      <c r="D203" s="25">
        <f t="shared" si="13"/>
        <v>36.693179265870199</v>
      </c>
      <c r="E203" s="26">
        <f t="shared" si="14"/>
        <v>8.0837675726133185</v>
      </c>
      <c r="F203" s="26">
        <f t="shared" si="15"/>
        <v>9.9842429859999999</v>
      </c>
      <c r="J203" s="20" t="s">
        <v>6</v>
      </c>
      <c r="K203" s="11">
        <v>2021</v>
      </c>
      <c r="L203" s="15"/>
      <c r="M203" s="15"/>
      <c r="N203" s="16"/>
      <c r="O203" s="21">
        <v>9.9842429859999999</v>
      </c>
      <c r="R203" s="22" t="s">
        <v>6</v>
      </c>
      <c r="S203">
        <v>2021</v>
      </c>
      <c r="U203">
        <v>27155.599999999999</v>
      </c>
      <c r="V203">
        <v>5.9825712322246813</v>
      </c>
      <c r="W203" s="23"/>
    </row>
    <row r="204" spans="1:23" x14ac:dyDescent="0.2">
      <c r="A204" s="10" t="s">
        <v>6</v>
      </c>
      <c r="B204" s="24">
        <v>2022</v>
      </c>
      <c r="C204" s="25">
        <f t="shared" si="16"/>
        <v>0</v>
      </c>
      <c r="D204" s="25">
        <f t="shared" si="13"/>
        <v>36.693179265870199</v>
      </c>
      <c r="E204" s="26">
        <f t="shared" si="14"/>
        <v>8.2486092070388963</v>
      </c>
      <c r="F204" s="26">
        <f t="shared" si="15"/>
        <v>9.9842429859999999</v>
      </c>
      <c r="J204" s="20" t="s">
        <v>6</v>
      </c>
      <c r="K204" s="11">
        <v>2022</v>
      </c>
      <c r="L204" s="15"/>
      <c r="M204" s="15"/>
      <c r="N204" s="16"/>
      <c r="O204" s="21">
        <v>9.9842429859999999</v>
      </c>
      <c r="R204" s="22" t="s">
        <v>6</v>
      </c>
      <c r="S204">
        <v>2022</v>
      </c>
      <c r="U204">
        <v>27155.599999999999</v>
      </c>
      <c r="V204">
        <v>6.1045659347107337</v>
      </c>
      <c r="W204" s="23"/>
    </row>
    <row r="205" spans="1:23" x14ac:dyDescent="0.2">
      <c r="A205" s="10" t="s">
        <v>6</v>
      </c>
      <c r="B205" s="24">
        <v>2023</v>
      </c>
      <c r="C205" s="25">
        <f t="shared" si="16"/>
        <v>0</v>
      </c>
      <c r="D205" s="25">
        <f t="shared" si="13"/>
        <v>36.693179265870199</v>
      </c>
      <c r="E205" s="26">
        <f t="shared" si="14"/>
        <v>8.4134508414644742</v>
      </c>
      <c r="F205" s="26">
        <f t="shared" si="15"/>
        <v>9.9842429859999999</v>
      </c>
      <c r="J205" s="20" t="s">
        <v>6</v>
      </c>
      <c r="K205" s="11">
        <v>2023</v>
      </c>
      <c r="L205" s="15"/>
      <c r="M205" s="15"/>
      <c r="N205" s="16"/>
      <c r="O205" s="21">
        <v>9.9842429859999999</v>
      </c>
      <c r="R205" s="22" t="s">
        <v>6</v>
      </c>
      <c r="S205">
        <v>2023</v>
      </c>
      <c r="U205">
        <v>27155.599999999999</v>
      </c>
      <c r="V205">
        <v>6.226560637196787</v>
      </c>
      <c r="W205" s="23"/>
    </row>
    <row r="206" spans="1:23" x14ac:dyDescent="0.2">
      <c r="A206" s="10" t="s">
        <v>6</v>
      </c>
      <c r="B206" s="24">
        <v>2024</v>
      </c>
      <c r="C206" s="25">
        <f t="shared" si="16"/>
        <v>0</v>
      </c>
      <c r="D206" s="25">
        <f t="shared" si="13"/>
        <v>36.693179265870199</v>
      </c>
      <c r="E206" s="26">
        <f t="shared" si="14"/>
        <v>8.5782924758900521</v>
      </c>
      <c r="F206" s="26">
        <f t="shared" si="15"/>
        <v>9.9842429859999999</v>
      </c>
      <c r="J206" s="20" t="s">
        <v>6</v>
      </c>
      <c r="K206" s="11">
        <v>2024</v>
      </c>
      <c r="L206" s="15"/>
      <c r="M206" s="15"/>
      <c r="N206" s="16"/>
      <c r="O206" s="21">
        <v>9.9842429859999999</v>
      </c>
      <c r="R206" s="22" t="s">
        <v>6</v>
      </c>
      <c r="S206">
        <v>2024</v>
      </c>
      <c r="U206">
        <v>27155.599999999999</v>
      </c>
      <c r="V206">
        <v>6.3485553396828394</v>
      </c>
      <c r="W206" s="23"/>
    </row>
    <row r="207" spans="1:23" x14ac:dyDescent="0.2">
      <c r="A207" s="10" t="s">
        <v>6</v>
      </c>
      <c r="B207" s="24">
        <v>2025</v>
      </c>
      <c r="C207" s="25">
        <f t="shared" si="16"/>
        <v>0</v>
      </c>
      <c r="D207" s="25">
        <f t="shared" si="13"/>
        <v>36.693179265870199</v>
      </c>
      <c r="E207" s="26">
        <f t="shared" si="14"/>
        <v>8.7431341103156317</v>
      </c>
      <c r="F207" s="26">
        <f t="shared" si="15"/>
        <v>9.9842429859999999</v>
      </c>
      <c r="J207" s="20" t="s">
        <v>6</v>
      </c>
      <c r="K207" s="11">
        <v>2025</v>
      </c>
      <c r="L207" s="15"/>
      <c r="M207" s="15"/>
      <c r="N207" s="16"/>
      <c r="O207" s="21">
        <v>9.9842429859999999</v>
      </c>
      <c r="R207" s="22" t="s">
        <v>6</v>
      </c>
      <c r="S207">
        <v>2025</v>
      </c>
      <c r="U207">
        <v>27155.599999999999</v>
      </c>
      <c r="V207">
        <v>6.4705500421688926</v>
      </c>
      <c r="W207" s="23"/>
    </row>
    <row r="208" spans="1:23" x14ac:dyDescent="0.2">
      <c r="A208" s="10" t="s">
        <v>6</v>
      </c>
      <c r="B208" s="24">
        <v>2026</v>
      </c>
      <c r="C208" s="25">
        <f t="shared" si="16"/>
        <v>0</v>
      </c>
      <c r="D208" s="25">
        <f t="shared" si="13"/>
        <v>36.693179265870199</v>
      </c>
      <c r="E208" s="26">
        <f t="shared" si="14"/>
        <v>8.9251325944530251</v>
      </c>
      <c r="F208" s="26">
        <f t="shared" si="15"/>
        <v>9.9842429859999999</v>
      </c>
      <c r="J208" s="20" t="s">
        <v>6</v>
      </c>
      <c r="K208" s="11">
        <v>2026</v>
      </c>
      <c r="L208" s="15"/>
      <c r="M208" s="15"/>
      <c r="N208" s="16"/>
      <c r="O208" s="21">
        <v>9.9842429859999999</v>
      </c>
      <c r="R208" s="22" t="s">
        <v>6</v>
      </c>
      <c r="S208">
        <v>2026</v>
      </c>
      <c r="U208">
        <v>27155.599999999999</v>
      </c>
      <c r="V208">
        <v>6.6052420512758392</v>
      </c>
      <c r="W208" s="23"/>
    </row>
    <row r="209" spans="1:23" x14ac:dyDescent="0.2">
      <c r="A209" s="10" t="s">
        <v>6</v>
      </c>
      <c r="B209" s="24">
        <v>2027</v>
      </c>
      <c r="C209" s="25">
        <f t="shared" si="16"/>
        <v>0</v>
      </c>
      <c r="D209" s="25">
        <f t="shared" si="13"/>
        <v>36.693179265870199</v>
      </c>
      <c r="E209" s="26">
        <f t="shared" si="14"/>
        <v>9.1071310785904185</v>
      </c>
      <c r="F209" s="26">
        <f t="shared" si="15"/>
        <v>9.9842429859999999</v>
      </c>
      <c r="J209" s="20" t="s">
        <v>6</v>
      </c>
      <c r="K209" s="11">
        <v>2027</v>
      </c>
      <c r="L209" s="15"/>
      <c r="M209" s="15"/>
      <c r="N209" s="16"/>
      <c r="O209" s="21">
        <v>9.9842429859999999</v>
      </c>
      <c r="R209" s="22" t="s">
        <v>6</v>
      </c>
      <c r="S209">
        <v>2027</v>
      </c>
      <c r="U209">
        <v>27155.599999999999</v>
      </c>
      <c r="V209">
        <v>6.7399340603827858</v>
      </c>
      <c r="W209" s="23"/>
    </row>
    <row r="210" spans="1:23" x14ac:dyDescent="0.2">
      <c r="A210" s="10" t="s">
        <v>6</v>
      </c>
      <c r="B210" s="24">
        <v>2028</v>
      </c>
      <c r="C210" s="25">
        <f t="shared" si="16"/>
        <v>0</v>
      </c>
      <c r="D210" s="25">
        <f t="shared" si="13"/>
        <v>36.693179265870199</v>
      </c>
      <c r="E210" s="26">
        <f t="shared" si="14"/>
        <v>9.2891295627278119</v>
      </c>
      <c r="F210" s="26">
        <f t="shared" si="15"/>
        <v>9.9842429859999999</v>
      </c>
      <c r="J210" s="20" t="s">
        <v>6</v>
      </c>
      <c r="K210" s="11">
        <v>2028</v>
      </c>
      <c r="L210" s="15"/>
      <c r="M210" s="15"/>
      <c r="N210" s="16"/>
      <c r="O210" s="21">
        <v>9.9842429859999999</v>
      </c>
      <c r="R210" s="22" t="s">
        <v>6</v>
      </c>
      <c r="S210">
        <v>2028</v>
      </c>
      <c r="U210">
        <v>27155.599999999999</v>
      </c>
      <c r="V210">
        <v>6.8746260694897323</v>
      </c>
      <c r="W210" s="23"/>
    </row>
    <row r="211" spans="1:23" x14ac:dyDescent="0.2">
      <c r="A211" s="10" t="s">
        <v>6</v>
      </c>
      <c r="B211" s="24">
        <v>2029</v>
      </c>
      <c r="C211" s="25">
        <f t="shared" si="16"/>
        <v>0</v>
      </c>
      <c r="D211" s="25">
        <f t="shared" si="13"/>
        <v>36.693179265870199</v>
      </c>
      <c r="E211" s="26">
        <f t="shared" si="14"/>
        <v>9.471128046865207</v>
      </c>
      <c r="F211" s="26">
        <f t="shared" si="15"/>
        <v>9.9842429859999999</v>
      </c>
      <c r="J211" s="20" t="s">
        <v>6</v>
      </c>
      <c r="K211" s="11">
        <v>2029</v>
      </c>
      <c r="L211" s="15"/>
      <c r="M211" s="15"/>
      <c r="N211" s="16"/>
      <c r="O211" s="21">
        <v>9.9842429859999999</v>
      </c>
      <c r="R211" s="22" t="s">
        <v>6</v>
      </c>
      <c r="S211">
        <v>2029</v>
      </c>
      <c r="U211">
        <v>27155.599999999999</v>
      </c>
      <c r="V211">
        <v>7.0093180785966789</v>
      </c>
      <c r="W211" s="23"/>
    </row>
    <row r="212" spans="1:23" x14ac:dyDescent="0.2">
      <c r="A212" s="10" t="s">
        <v>6</v>
      </c>
      <c r="B212" s="24">
        <v>2030</v>
      </c>
      <c r="C212" s="25">
        <f t="shared" si="16"/>
        <v>0</v>
      </c>
      <c r="D212" s="25">
        <f t="shared" si="13"/>
        <v>36.693179265870199</v>
      </c>
      <c r="E212" s="26">
        <f t="shared" si="14"/>
        <v>9.6531265310026004</v>
      </c>
      <c r="F212" s="26">
        <f t="shared" si="15"/>
        <v>9.9842429859999999</v>
      </c>
      <c r="J212" s="20" t="s">
        <v>6</v>
      </c>
      <c r="K212" s="11">
        <v>2030</v>
      </c>
      <c r="L212" s="15"/>
      <c r="M212" s="15"/>
      <c r="N212" s="16"/>
      <c r="O212" s="21">
        <v>9.9842429859999999</v>
      </c>
      <c r="R212" s="22" t="s">
        <v>6</v>
      </c>
      <c r="S212">
        <v>2030</v>
      </c>
      <c r="U212">
        <v>27155.599999999999</v>
      </c>
      <c r="V212">
        <v>7.1440100877036254</v>
      </c>
      <c r="W212" s="23"/>
    </row>
    <row r="213" spans="1:23" x14ac:dyDescent="0.2">
      <c r="A213" s="10" t="s">
        <v>6</v>
      </c>
      <c r="B213" s="24">
        <v>2031</v>
      </c>
      <c r="C213" s="25">
        <f t="shared" si="16"/>
        <v>0</v>
      </c>
      <c r="D213" s="25">
        <f t="shared" si="13"/>
        <v>36.693179265870199</v>
      </c>
      <c r="E213" s="26">
        <f t="shared" si="14"/>
        <v>9.8540675635501955</v>
      </c>
      <c r="F213" s="26">
        <f t="shared" si="15"/>
        <v>9.9842429859999999</v>
      </c>
      <c r="J213" s="20" t="s">
        <v>6</v>
      </c>
      <c r="K213" s="11">
        <v>2031</v>
      </c>
      <c r="L213" s="15"/>
      <c r="M213" s="15"/>
      <c r="N213" s="16"/>
      <c r="O213" s="21">
        <v>9.9842429859999999</v>
      </c>
      <c r="R213" s="22" t="s">
        <v>6</v>
      </c>
      <c r="S213">
        <v>2031</v>
      </c>
      <c r="U213">
        <v>27155.599999999999</v>
      </c>
      <c r="V213">
        <v>7.2927209493030443</v>
      </c>
      <c r="W213" s="23"/>
    </row>
    <row r="214" spans="1:23" x14ac:dyDescent="0.2">
      <c r="A214" s="10" t="s">
        <v>6</v>
      </c>
      <c r="B214" s="24">
        <v>2032</v>
      </c>
      <c r="C214" s="25">
        <f t="shared" si="16"/>
        <v>0</v>
      </c>
      <c r="D214" s="25">
        <f t="shared" si="13"/>
        <v>36.693179265870199</v>
      </c>
      <c r="E214" s="26">
        <f t="shared" si="14"/>
        <v>10.055008596097792</v>
      </c>
      <c r="F214" s="26">
        <f t="shared" si="15"/>
        <v>9.9842429859999999</v>
      </c>
      <c r="J214" s="20" t="s">
        <v>6</v>
      </c>
      <c r="K214" s="11">
        <v>2032</v>
      </c>
      <c r="L214" s="15"/>
      <c r="M214" s="15"/>
      <c r="N214" s="16"/>
      <c r="O214" s="21">
        <v>9.9842429859999999</v>
      </c>
      <c r="R214" s="22" t="s">
        <v>6</v>
      </c>
      <c r="S214">
        <v>2032</v>
      </c>
      <c r="U214">
        <v>27155.599999999999</v>
      </c>
      <c r="V214">
        <v>7.4414318109024631</v>
      </c>
      <c r="W214" s="23"/>
    </row>
    <row r="215" spans="1:23" x14ac:dyDescent="0.2">
      <c r="A215" s="10" t="s">
        <v>6</v>
      </c>
      <c r="B215" s="24">
        <v>2033</v>
      </c>
      <c r="C215" s="25">
        <f t="shared" si="16"/>
        <v>0</v>
      </c>
      <c r="D215" s="25">
        <f t="shared" si="13"/>
        <v>36.693179265870199</v>
      </c>
      <c r="E215" s="26">
        <f t="shared" si="14"/>
        <v>10.255949628645389</v>
      </c>
      <c r="F215" s="26">
        <f t="shared" si="15"/>
        <v>9.9842429859999999</v>
      </c>
      <c r="J215" s="20" t="s">
        <v>6</v>
      </c>
      <c r="K215" s="11">
        <v>2033</v>
      </c>
      <c r="L215" s="15"/>
      <c r="M215" s="15"/>
      <c r="N215" s="16"/>
      <c r="O215" s="21">
        <v>9.9842429859999999</v>
      </c>
      <c r="R215" s="22" t="s">
        <v>6</v>
      </c>
      <c r="S215">
        <v>2033</v>
      </c>
      <c r="U215">
        <v>27155.599999999999</v>
      </c>
      <c r="V215">
        <v>7.5901426725018828</v>
      </c>
      <c r="W215" s="23"/>
    </row>
    <row r="216" spans="1:23" x14ac:dyDescent="0.2">
      <c r="A216" s="10" t="s">
        <v>6</v>
      </c>
      <c r="B216" s="24">
        <v>2034</v>
      </c>
      <c r="C216" s="25">
        <f t="shared" si="16"/>
        <v>0</v>
      </c>
      <c r="D216" s="25">
        <f t="shared" si="13"/>
        <v>36.693179265870199</v>
      </c>
      <c r="E216" s="26">
        <f t="shared" si="14"/>
        <v>10.456890661192984</v>
      </c>
      <c r="F216" s="26">
        <f t="shared" si="15"/>
        <v>9.9842429859999999</v>
      </c>
      <c r="J216" s="20" t="s">
        <v>6</v>
      </c>
      <c r="K216" s="11">
        <v>2034</v>
      </c>
      <c r="L216" s="15"/>
      <c r="M216" s="15"/>
      <c r="N216" s="16"/>
      <c r="O216" s="21">
        <v>9.9842429859999999</v>
      </c>
      <c r="R216" s="22" t="s">
        <v>6</v>
      </c>
      <c r="S216">
        <v>2034</v>
      </c>
      <c r="U216">
        <v>27155.599999999999</v>
      </c>
      <c r="V216">
        <v>7.7388535341013016</v>
      </c>
      <c r="W216" s="23"/>
    </row>
    <row r="217" spans="1:23" x14ac:dyDescent="0.2">
      <c r="A217" s="10" t="s">
        <v>6</v>
      </c>
      <c r="B217" s="24">
        <v>2035</v>
      </c>
      <c r="C217" s="25">
        <f t="shared" si="16"/>
        <v>0</v>
      </c>
      <c r="D217" s="25">
        <f t="shared" si="13"/>
        <v>36.693179265870199</v>
      </c>
      <c r="E217" s="26">
        <f t="shared" si="14"/>
        <v>10.657831693740579</v>
      </c>
      <c r="F217" s="26">
        <f t="shared" si="15"/>
        <v>9.9842429859999999</v>
      </c>
      <c r="J217" s="20" t="s">
        <v>6</v>
      </c>
      <c r="K217" s="11">
        <v>2035</v>
      </c>
      <c r="L217" s="15"/>
      <c r="M217" s="15"/>
      <c r="N217" s="16"/>
      <c r="O217" s="21">
        <v>9.9842429859999999</v>
      </c>
      <c r="R217" s="22" t="s">
        <v>6</v>
      </c>
      <c r="S217">
        <v>2035</v>
      </c>
      <c r="U217">
        <v>27155.599999999999</v>
      </c>
      <c r="V217">
        <v>7.8875643957007204</v>
      </c>
      <c r="W217" s="23"/>
    </row>
    <row r="218" spans="1:23" x14ac:dyDescent="0.2">
      <c r="A218" s="10" t="s">
        <v>6</v>
      </c>
      <c r="B218" s="24">
        <v>2036</v>
      </c>
      <c r="C218" s="25">
        <f t="shared" si="16"/>
        <v>0</v>
      </c>
      <c r="D218" s="25">
        <f t="shared" si="13"/>
        <v>36.693179265870199</v>
      </c>
      <c r="E218" s="26">
        <f t="shared" si="14"/>
        <v>10.879686830351568</v>
      </c>
      <c r="F218" s="26">
        <f t="shared" si="15"/>
        <v>9.9842429859999999</v>
      </c>
      <c r="J218" s="20" t="s">
        <v>6</v>
      </c>
      <c r="K218" s="11">
        <v>2036</v>
      </c>
      <c r="L218" s="15"/>
      <c r="M218" s="15"/>
      <c r="N218" s="16"/>
      <c r="O218" s="21">
        <v>9.9842429859999999</v>
      </c>
      <c r="R218" s="22" t="s">
        <v>6</v>
      </c>
      <c r="S218">
        <v>2036</v>
      </c>
      <c r="U218">
        <v>27155.599999999999</v>
      </c>
      <c r="V218">
        <v>8.0517532032199721</v>
      </c>
      <c r="W218" s="23"/>
    </row>
    <row r="219" spans="1:23" x14ac:dyDescent="0.2">
      <c r="A219" s="10" t="s">
        <v>6</v>
      </c>
      <c r="B219" s="24">
        <v>2037</v>
      </c>
      <c r="C219" s="25">
        <f t="shared" si="16"/>
        <v>0</v>
      </c>
      <c r="D219" s="25">
        <f t="shared" si="13"/>
        <v>36.693179265870199</v>
      </c>
      <c r="E219" s="26">
        <f t="shared" si="14"/>
        <v>11.101541966962555</v>
      </c>
      <c r="F219" s="26">
        <f t="shared" si="15"/>
        <v>9.9842429859999999</v>
      </c>
      <c r="J219" s="20" t="s">
        <v>6</v>
      </c>
      <c r="K219" s="11">
        <v>2037</v>
      </c>
      <c r="L219" s="15"/>
      <c r="M219" s="15"/>
      <c r="N219" s="16"/>
      <c r="O219" s="21">
        <v>9.9842429859999999</v>
      </c>
      <c r="R219" s="22" t="s">
        <v>6</v>
      </c>
      <c r="S219">
        <v>2037</v>
      </c>
      <c r="U219">
        <v>27155.599999999999</v>
      </c>
      <c r="V219">
        <v>8.2159420107392229</v>
      </c>
      <c r="W219" s="23"/>
    </row>
    <row r="220" spans="1:23" x14ac:dyDescent="0.2">
      <c r="A220" s="10" t="s">
        <v>6</v>
      </c>
      <c r="B220" s="24">
        <v>2038</v>
      </c>
      <c r="C220" s="25">
        <f t="shared" si="16"/>
        <v>0</v>
      </c>
      <c r="D220" s="25">
        <f t="shared" si="13"/>
        <v>36.693179265870199</v>
      </c>
      <c r="E220" s="26">
        <f t="shared" si="14"/>
        <v>11.323397103573543</v>
      </c>
      <c r="F220" s="26">
        <f t="shared" si="15"/>
        <v>9.9842429859999999</v>
      </c>
      <c r="J220" s="20" t="s">
        <v>6</v>
      </c>
      <c r="K220" s="11">
        <v>2038</v>
      </c>
      <c r="L220" s="15"/>
      <c r="M220" s="15"/>
      <c r="N220" s="16"/>
      <c r="O220" s="21">
        <v>9.9842429859999999</v>
      </c>
      <c r="R220" s="22" t="s">
        <v>6</v>
      </c>
      <c r="S220">
        <v>2038</v>
      </c>
      <c r="U220">
        <v>27155.599999999999</v>
      </c>
      <c r="V220">
        <v>8.3801308182584737</v>
      </c>
      <c r="W220" s="23"/>
    </row>
    <row r="221" spans="1:23" x14ac:dyDescent="0.2">
      <c r="A221" s="10" t="s">
        <v>6</v>
      </c>
      <c r="B221" s="24">
        <v>2039</v>
      </c>
      <c r="C221" s="25">
        <f t="shared" si="16"/>
        <v>0</v>
      </c>
      <c r="D221" s="25">
        <f t="shared" si="13"/>
        <v>36.693179265870199</v>
      </c>
      <c r="E221" s="26">
        <f t="shared" si="14"/>
        <v>11.54525224018453</v>
      </c>
      <c r="F221" s="26">
        <f t="shared" si="15"/>
        <v>9.9842429859999999</v>
      </c>
      <c r="J221" s="20" t="s">
        <v>6</v>
      </c>
      <c r="K221" s="11">
        <v>2039</v>
      </c>
      <c r="L221" s="15"/>
      <c r="M221" s="15"/>
      <c r="N221" s="16"/>
      <c r="O221" s="21">
        <v>9.9842429859999999</v>
      </c>
      <c r="R221" s="22" t="s">
        <v>6</v>
      </c>
      <c r="S221">
        <v>2039</v>
      </c>
      <c r="U221">
        <v>27155.599999999999</v>
      </c>
      <c r="V221">
        <v>8.5443196257777245</v>
      </c>
      <c r="W221" s="23"/>
    </row>
    <row r="222" spans="1:23" x14ac:dyDescent="0.2">
      <c r="A222" s="10" t="s">
        <v>6</v>
      </c>
      <c r="B222" s="24">
        <v>2040</v>
      </c>
      <c r="C222" s="25">
        <f t="shared" si="16"/>
        <v>0</v>
      </c>
      <c r="D222" s="25">
        <f t="shared" si="13"/>
        <v>36.693179265870199</v>
      </c>
      <c r="E222" s="26">
        <f t="shared" si="14"/>
        <v>11.767107376795517</v>
      </c>
      <c r="F222" s="26">
        <f t="shared" si="15"/>
        <v>9.9842429859999999</v>
      </c>
      <c r="J222" s="20" t="s">
        <v>6</v>
      </c>
      <c r="K222" s="11">
        <v>2040</v>
      </c>
      <c r="L222" s="15"/>
      <c r="M222" s="15"/>
      <c r="N222" s="16"/>
      <c r="O222" s="21">
        <v>9.9842429859999999</v>
      </c>
      <c r="R222" s="22" t="s">
        <v>6</v>
      </c>
      <c r="S222">
        <v>2040</v>
      </c>
      <c r="U222">
        <v>27155.599999999999</v>
      </c>
      <c r="V222">
        <v>8.7085084332969753</v>
      </c>
      <c r="W222" s="23"/>
    </row>
    <row r="223" spans="1:23" x14ac:dyDescent="0.2">
      <c r="A223" s="10" t="s">
        <v>6</v>
      </c>
      <c r="B223" s="24">
        <v>2041</v>
      </c>
      <c r="C223" s="25">
        <f t="shared" si="16"/>
        <v>0</v>
      </c>
      <c r="D223" s="25">
        <f t="shared" si="13"/>
        <v>36.693179265870199</v>
      </c>
      <c r="E223" s="26">
        <f t="shared" si="14"/>
        <v>12.01205337421902</v>
      </c>
      <c r="F223" s="26">
        <f t="shared" si="15"/>
        <v>9.9842429859999999</v>
      </c>
      <c r="J223" s="20" t="s">
        <v>6</v>
      </c>
      <c r="K223" s="11">
        <v>2041</v>
      </c>
      <c r="L223" s="15"/>
      <c r="M223" s="15"/>
      <c r="N223" s="16"/>
      <c r="O223" s="21">
        <v>9.9842429859999999</v>
      </c>
      <c r="R223" s="22" t="s">
        <v>6</v>
      </c>
      <c r="S223">
        <v>2041</v>
      </c>
      <c r="U223">
        <v>27155.599999999999</v>
      </c>
      <c r="V223">
        <v>8.8897861437792791</v>
      </c>
      <c r="W223" s="23"/>
    </row>
    <row r="224" spans="1:23" x14ac:dyDescent="0.2">
      <c r="A224" s="10" t="s">
        <v>6</v>
      </c>
      <c r="B224" s="24">
        <v>2042</v>
      </c>
      <c r="C224" s="25">
        <f t="shared" si="16"/>
        <v>0</v>
      </c>
      <c r="D224" s="25">
        <f t="shared" si="13"/>
        <v>36.693179265870199</v>
      </c>
      <c r="E224" s="26">
        <f t="shared" si="14"/>
        <v>12.256999371642523</v>
      </c>
      <c r="F224" s="26">
        <f t="shared" si="15"/>
        <v>9.9842429859999999</v>
      </c>
      <c r="J224" s="20" t="s">
        <v>6</v>
      </c>
      <c r="K224" s="11">
        <v>2042</v>
      </c>
      <c r="L224" s="15"/>
      <c r="M224" s="15"/>
      <c r="N224" s="16"/>
      <c r="O224" s="21">
        <v>9.9842429859999999</v>
      </c>
      <c r="R224" s="22" t="s">
        <v>6</v>
      </c>
      <c r="S224">
        <v>2042</v>
      </c>
      <c r="U224">
        <v>27155.599999999999</v>
      </c>
      <c r="V224">
        <v>9.0710638542615829</v>
      </c>
      <c r="W224" s="23"/>
    </row>
    <row r="225" spans="1:23" x14ac:dyDescent="0.2">
      <c r="A225" s="10" t="s">
        <v>6</v>
      </c>
      <c r="B225" s="24">
        <v>2043</v>
      </c>
      <c r="C225" s="25">
        <f t="shared" si="16"/>
        <v>0</v>
      </c>
      <c r="D225" s="25">
        <f t="shared" si="13"/>
        <v>36.693179265870199</v>
      </c>
      <c r="E225" s="26">
        <f t="shared" si="14"/>
        <v>12.50194536906603</v>
      </c>
      <c r="F225" s="26">
        <f t="shared" si="15"/>
        <v>9.9842429859999999</v>
      </c>
      <c r="J225" s="20" t="s">
        <v>6</v>
      </c>
      <c r="K225" s="11">
        <v>2043</v>
      </c>
      <c r="L225" s="15"/>
      <c r="M225" s="15"/>
      <c r="N225" s="16"/>
      <c r="O225" s="21">
        <v>9.9842429859999999</v>
      </c>
      <c r="R225" s="22" t="s">
        <v>6</v>
      </c>
      <c r="S225">
        <v>2043</v>
      </c>
      <c r="U225">
        <v>27155.599999999999</v>
      </c>
      <c r="V225">
        <v>9.2523415647438885</v>
      </c>
      <c r="W225" s="23"/>
    </row>
    <row r="226" spans="1:23" x14ac:dyDescent="0.2">
      <c r="A226" s="10" t="s">
        <v>6</v>
      </c>
      <c r="B226" s="24">
        <v>2044</v>
      </c>
      <c r="C226" s="25">
        <f t="shared" si="16"/>
        <v>0</v>
      </c>
      <c r="D226" s="25">
        <f t="shared" si="13"/>
        <v>36.693179265870199</v>
      </c>
      <c r="E226" s="26">
        <f t="shared" si="14"/>
        <v>12.746891366489534</v>
      </c>
      <c r="F226" s="26">
        <f t="shared" si="15"/>
        <v>9.9842429859999999</v>
      </c>
      <c r="J226" s="20" t="s">
        <v>6</v>
      </c>
      <c r="K226" s="11">
        <v>2044</v>
      </c>
      <c r="L226" s="15"/>
      <c r="M226" s="15"/>
      <c r="N226" s="16"/>
      <c r="O226" s="21">
        <v>9.9842429859999999</v>
      </c>
      <c r="R226" s="22" t="s">
        <v>6</v>
      </c>
      <c r="S226">
        <v>2044</v>
      </c>
      <c r="U226">
        <v>27155.599999999999</v>
      </c>
      <c r="V226">
        <v>9.4336192752261923</v>
      </c>
      <c r="W226" s="23"/>
    </row>
    <row r="227" spans="1:23" x14ac:dyDescent="0.2">
      <c r="A227" s="10" t="s">
        <v>6</v>
      </c>
      <c r="B227" s="24">
        <v>2045</v>
      </c>
      <c r="C227" s="25">
        <f t="shared" si="16"/>
        <v>0</v>
      </c>
      <c r="D227" s="25">
        <f t="shared" si="13"/>
        <v>36.693179265870199</v>
      </c>
      <c r="E227" s="26">
        <f t="shared" si="14"/>
        <v>12.991837363913037</v>
      </c>
      <c r="F227" s="26">
        <f t="shared" si="15"/>
        <v>9.9842429859999999</v>
      </c>
      <c r="J227" s="20" t="s">
        <v>6</v>
      </c>
      <c r="K227" s="11">
        <v>2045</v>
      </c>
      <c r="L227" s="15"/>
      <c r="M227" s="15"/>
      <c r="N227" s="16"/>
      <c r="O227" s="21">
        <v>9.9842429859999999</v>
      </c>
      <c r="R227" s="22" t="s">
        <v>6</v>
      </c>
      <c r="S227">
        <v>2045</v>
      </c>
      <c r="U227">
        <v>27155.599999999999</v>
      </c>
      <c r="V227">
        <v>9.614896985708496</v>
      </c>
      <c r="W227" s="23"/>
    </row>
    <row r="228" spans="1:23" x14ac:dyDescent="0.2">
      <c r="A228" s="10" t="s">
        <v>6</v>
      </c>
      <c r="B228" s="24">
        <v>2046</v>
      </c>
      <c r="C228" s="25">
        <f t="shared" si="16"/>
        <v>0</v>
      </c>
      <c r="D228" s="25">
        <f t="shared" si="13"/>
        <v>36.693179265870199</v>
      </c>
      <c r="E228" s="26">
        <f t="shared" si="14"/>
        <v>13.262277537489005</v>
      </c>
      <c r="F228" s="26">
        <f t="shared" si="15"/>
        <v>9.9842429859999999</v>
      </c>
      <c r="J228" s="20" t="s">
        <v>6</v>
      </c>
      <c r="K228" s="11">
        <v>2046</v>
      </c>
      <c r="L228" s="15"/>
      <c r="M228" s="15"/>
      <c r="N228" s="16"/>
      <c r="O228" s="21">
        <v>9.9842429859999999</v>
      </c>
      <c r="R228" s="22" t="s">
        <v>6</v>
      </c>
      <c r="S228">
        <v>2046</v>
      </c>
      <c r="U228">
        <v>27155.599999999999</v>
      </c>
      <c r="V228">
        <v>9.815042225900056</v>
      </c>
      <c r="W228" s="23"/>
    </row>
    <row r="229" spans="1:23" x14ac:dyDescent="0.2">
      <c r="A229" s="10" t="s">
        <v>6</v>
      </c>
      <c r="B229" s="24">
        <v>2047</v>
      </c>
      <c r="C229" s="25">
        <f t="shared" si="16"/>
        <v>0</v>
      </c>
      <c r="D229" s="25">
        <f t="shared" si="13"/>
        <v>36.693179265870199</v>
      </c>
      <c r="E229" s="26">
        <f t="shared" si="14"/>
        <v>13.532717711064974</v>
      </c>
      <c r="F229" s="26">
        <f t="shared" si="15"/>
        <v>9.9842429859999999</v>
      </c>
      <c r="J229" s="20" t="s">
        <v>6</v>
      </c>
      <c r="K229" s="11">
        <v>2047</v>
      </c>
      <c r="L229" s="15"/>
      <c r="M229" s="15"/>
      <c r="N229" s="16"/>
      <c r="O229" s="21">
        <v>9.9842429859999999</v>
      </c>
      <c r="R229" s="22" t="s">
        <v>6</v>
      </c>
      <c r="S229">
        <v>2047</v>
      </c>
      <c r="U229">
        <v>27155.599999999999</v>
      </c>
      <c r="V229">
        <v>10.015187466091616</v>
      </c>
      <c r="W229" s="23"/>
    </row>
    <row r="230" spans="1:23" x14ac:dyDescent="0.2">
      <c r="A230" s="10" t="s">
        <v>6</v>
      </c>
      <c r="B230" s="24">
        <v>2048</v>
      </c>
      <c r="C230" s="25">
        <f t="shared" si="16"/>
        <v>0</v>
      </c>
      <c r="D230" s="25">
        <f t="shared" si="13"/>
        <v>36.693179265870199</v>
      </c>
      <c r="E230" s="26">
        <f t="shared" si="14"/>
        <v>13.803157884640941</v>
      </c>
      <c r="F230" s="26">
        <f t="shared" si="15"/>
        <v>9.9842429859999999</v>
      </c>
      <c r="J230" s="20" t="s">
        <v>6</v>
      </c>
      <c r="K230" s="11">
        <v>2048</v>
      </c>
      <c r="L230" s="15"/>
      <c r="M230" s="15"/>
      <c r="N230" s="16"/>
      <c r="O230" s="21">
        <v>9.9842429859999999</v>
      </c>
      <c r="R230" s="22" t="s">
        <v>6</v>
      </c>
      <c r="S230">
        <v>2048</v>
      </c>
      <c r="U230">
        <v>27155.599999999999</v>
      </c>
      <c r="V230">
        <v>10.215332706283176</v>
      </c>
      <c r="W230" s="23"/>
    </row>
    <row r="231" spans="1:23" x14ac:dyDescent="0.2">
      <c r="A231" s="10" t="s">
        <v>6</v>
      </c>
      <c r="B231" s="24">
        <v>2049</v>
      </c>
      <c r="C231" s="25">
        <f t="shared" si="16"/>
        <v>0</v>
      </c>
      <c r="D231" s="25">
        <f t="shared" si="13"/>
        <v>36.693179265870199</v>
      </c>
      <c r="E231" s="26">
        <f t="shared" si="14"/>
        <v>14.073598058216909</v>
      </c>
      <c r="F231" s="26">
        <f t="shared" si="15"/>
        <v>9.9842429859999999</v>
      </c>
      <c r="J231" s="20" t="s">
        <v>6</v>
      </c>
      <c r="K231" s="11">
        <v>2049</v>
      </c>
      <c r="L231" s="15"/>
      <c r="M231" s="15"/>
      <c r="N231" s="16"/>
      <c r="O231" s="21">
        <v>9.9842429859999999</v>
      </c>
      <c r="R231" s="22" t="s">
        <v>6</v>
      </c>
      <c r="S231">
        <v>2049</v>
      </c>
      <c r="U231">
        <v>27155.599999999999</v>
      </c>
      <c r="V231">
        <v>10.415477946474736</v>
      </c>
      <c r="W231" s="23"/>
    </row>
    <row r="232" spans="1:23" x14ac:dyDescent="0.2">
      <c r="A232" s="10" t="s">
        <v>6</v>
      </c>
      <c r="B232" s="24">
        <v>2050</v>
      </c>
      <c r="C232" s="25">
        <f t="shared" si="16"/>
        <v>0</v>
      </c>
      <c r="D232" s="25">
        <f t="shared" si="13"/>
        <v>36.693179265870199</v>
      </c>
      <c r="E232" s="26">
        <f t="shared" si="14"/>
        <v>14.344038231792878</v>
      </c>
      <c r="F232" s="26">
        <f t="shared" si="15"/>
        <v>9.9842429859999999</v>
      </c>
      <c r="J232" s="20" t="s">
        <v>6</v>
      </c>
      <c r="K232" s="11">
        <v>2050</v>
      </c>
      <c r="L232" s="15"/>
      <c r="M232" s="15"/>
      <c r="N232" s="16"/>
      <c r="O232" s="21">
        <v>9.9842429859999999</v>
      </c>
      <c r="R232" s="22" t="s">
        <v>6</v>
      </c>
      <c r="S232">
        <v>2050</v>
      </c>
      <c r="U232">
        <v>27155.599999999999</v>
      </c>
      <c r="V232">
        <v>10.615623186666296</v>
      </c>
      <c r="W232" s="23"/>
    </row>
    <row r="233" spans="1:23" x14ac:dyDescent="0.2">
      <c r="A233" s="10" t="s">
        <v>7</v>
      </c>
      <c r="B233" s="24">
        <v>2010</v>
      </c>
      <c r="C233" s="25">
        <f t="shared" si="16"/>
        <v>0</v>
      </c>
      <c r="D233" s="25">
        <f t="shared" si="13"/>
        <v>36.693179265870199</v>
      </c>
      <c r="E233" s="26">
        <f t="shared" si="14"/>
        <v>6.4962774302295809</v>
      </c>
      <c r="F233" s="26">
        <f t="shared" si="15"/>
        <v>10.260268459999999</v>
      </c>
      <c r="J233" s="20" t="s">
        <v>7</v>
      </c>
      <c r="K233" s="11">
        <v>2010</v>
      </c>
      <c r="L233" s="15"/>
      <c r="M233" s="15"/>
      <c r="N233" s="16"/>
      <c r="O233" s="21">
        <v>10.260268459999999</v>
      </c>
      <c r="R233" s="22" t="s">
        <v>7</v>
      </c>
      <c r="S233">
        <v>2010</v>
      </c>
      <c r="U233">
        <v>27155.599999999999</v>
      </c>
      <c r="V233">
        <v>4.8077139924593215</v>
      </c>
      <c r="W233" s="23"/>
    </row>
    <row r="234" spans="1:23" x14ac:dyDescent="0.2">
      <c r="A234" s="10" t="s">
        <v>7</v>
      </c>
      <c r="B234" s="24">
        <v>2011</v>
      </c>
      <c r="C234" s="25">
        <f t="shared" si="16"/>
        <v>0</v>
      </c>
      <c r="D234" s="25">
        <f t="shared" si="13"/>
        <v>36.693179265870199</v>
      </c>
      <c r="E234" s="26">
        <f t="shared" si="14"/>
        <v>6.6315049847792462</v>
      </c>
      <c r="F234" s="26">
        <f t="shared" si="15"/>
        <v>10.260268459999999</v>
      </c>
      <c r="J234" s="20" t="s">
        <v>7</v>
      </c>
      <c r="K234" s="11">
        <v>2011</v>
      </c>
      <c r="L234" s="15"/>
      <c r="M234" s="15"/>
      <c r="N234" s="16"/>
      <c r="O234" s="21">
        <v>10.260268459999999</v>
      </c>
      <c r="R234" s="22" t="s">
        <v>7</v>
      </c>
      <c r="S234">
        <v>2011</v>
      </c>
      <c r="U234">
        <v>27155.599999999999</v>
      </c>
      <c r="V234">
        <v>4.9077921392375305</v>
      </c>
      <c r="W234" s="23"/>
    </row>
    <row r="235" spans="1:23" x14ac:dyDescent="0.2">
      <c r="A235" s="10" t="s">
        <v>7</v>
      </c>
      <c r="B235" s="24">
        <v>2012</v>
      </c>
      <c r="C235" s="25">
        <f t="shared" si="16"/>
        <v>0</v>
      </c>
      <c r="D235" s="25">
        <f t="shared" si="13"/>
        <v>36.693179265870199</v>
      </c>
      <c r="E235" s="26">
        <f t="shared" si="14"/>
        <v>6.7667325393289106</v>
      </c>
      <c r="F235" s="26">
        <f t="shared" si="15"/>
        <v>10.260268459999999</v>
      </c>
      <c r="J235" s="20" t="s">
        <v>7</v>
      </c>
      <c r="K235" s="11">
        <v>2012</v>
      </c>
      <c r="L235" s="15"/>
      <c r="M235" s="15"/>
      <c r="N235" s="16"/>
      <c r="O235" s="21">
        <v>10.260268459999999</v>
      </c>
      <c r="R235" s="22" t="s">
        <v>7</v>
      </c>
      <c r="S235">
        <v>2012</v>
      </c>
      <c r="U235">
        <v>27155.599999999999</v>
      </c>
      <c r="V235">
        <v>5.0078702860157387</v>
      </c>
      <c r="W235" s="23"/>
    </row>
    <row r="236" spans="1:23" x14ac:dyDescent="0.2">
      <c r="A236" s="10" t="s">
        <v>7</v>
      </c>
      <c r="B236" s="24">
        <v>2013</v>
      </c>
      <c r="C236" s="25">
        <f t="shared" si="16"/>
        <v>0</v>
      </c>
      <c r="D236" s="25">
        <f t="shared" si="13"/>
        <v>36.693179265870199</v>
      </c>
      <c r="E236" s="26">
        <f t="shared" si="14"/>
        <v>6.9019600938785759</v>
      </c>
      <c r="F236" s="26">
        <f t="shared" si="15"/>
        <v>10.260268459999999</v>
      </c>
      <c r="J236" s="20" t="s">
        <v>7</v>
      </c>
      <c r="K236" s="11">
        <v>2013</v>
      </c>
      <c r="L236" s="15"/>
      <c r="M236" s="15"/>
      <c r="N236" s="16"/>
      <c r="O236" s="21">
        <v>10.260268459999999</v>
      </c>
      <c r="R236" s="22" t="s">
        <v>7</v>
      </c>
      <c r="S236">
        <v>2013</v>
      </c>
      <c r="U236">
        <v>27155.599999999999</v>
      </c>
      <c r="V236">
        <v>5.1079484327939477</v>
      </c>
      <c r="W236" s="23"/>
    </row>
    <row r="237" spans="1:23" x14ac:dyDescent="0.2">
      <c r="A237" s="10" t="s">
        <v>7</v>
      </c>
      <c r="B237" s="24">
        <v>2014</v>
      </c>
      <c r="C237" s="25">
        <f t="shared" si="16"/>
        <v>0</v>
      </c>
      <c r="D237" s="25">
        <f t="shared" si="13"/>
        <v>36.693179265870199</v>
      </c>
      <c r="E237" s="26">
        <f t="shared" si="14"/>
        <v>7.0371876484282403</v>
      </c>
      <c r="F237" s="26">
        <f t="shared" si="15"/>
        <v>10.260268459999999</v>
      </c>
      <c r="J237" s="20" t="s">
        <v>7</v>
      </c>
      <c r="K237" s="11">
        <v>2014</v>
      </c>
      <c r="L237" s="15"/>
      <c r="M237" s="15"/>
      <c r="N237" s="16"/>
      <c r="O237" s="21">
        <v>10.260268459999999</v>
      </c>
      <c r="R237" s="22" t="s">
        <v>7</v>
      </c>
      <c r="S237">
        <v>2014</v>
      </c>
      <c r="U237">
        <v>27155.599999999999</v>
      </c>
      <c r="V237">
        <v>5.2080265795721559</v>
      </c>
      <c r="W237" s="23"/>
    </row>
    <row r="238" spans="1:23" x14ac:dyDescent="0.2">
      <c r="A238" s="10" t="s">
        <v>7</v>
      </c>
      <c r="B238" s="24">
        <v>2015</v>
      </c>
      <c r="C238" s="25">
        <f t="shared" si="16"/>
        <v>0</v>
      </c>
      <c r="D238" s="25">
        <f t="shared" si="13"/>
        <v>36.693179265870199</v>
      </c>
      <c r="E238" s="26">
        <f t="shared" si="14"/>
        <v>7.1724152029779056</v>
      </c>
      <c r="F238" s="26">
        <f t="shared" si="15"/>
        <v>10.260268459999999</v>
      </c>
      <c r="J238" s="20" t="s">
        <v>7</v>
      </c>
      <c r="K238" s="11">
        <v>2015</v>
      </c>
      <c r="L238" s="15"/>
      <c r="M238" s="15"/>
      <c r="N238" s="16"/>
      <c r="O238" s="21">
        <v>10.260268459999999</v>
      </c>
      <c r="R238" s="22" t="s">
        <v>7</v>
      </c>
      <c r="S238">
        <v>2015</v>
      </c>
      <c r="U238">
        <v>27155.599999999999</v>
      </c>
      <c r="V238">
        <v>5.3081047263503649</v>
      </c>
      <c r="W238" s="23"/>
    </row>
    <row r="239" spans="1:23" x14ac:dyDescent="0.2">
      <c r="A239" s="10" t="s">
        <v>7</v>
      </c>
      <c r="B239" s="24">
        <v>2016</v>
      </c>
      <c r="C239" s="25">
        <f t="shared" si="16"/>
        <v>0</v>
      </c>
      <c r="D239" s="25">
        <f t="shared" si="13"/>
        <v>36.693179265870199</v>
      </c>
      <c r="E239" s="26">
        <f t="shared" si="14"/>
        <v>7.3217173500198722</v>
      </c>
      <c r="F239" s="26">
        <f t="shared" si="15"/>
        <v>10.260268459999999</v>
      </c>
      <c r="J239" s="20" t="s">
        <v>7</v>
      </c>
      <c r="K239" s="11">
        <v>2016</v>
      </c>
      <c r="L239" s="15"/>
      <c r="M239" s="15"/>
      <c r="N239" s="16"/>
      <c r="O239" s="21">
        <v>10.260268459999999</v>
      </c>
      <c r="R239" s="22" t="s">
        <v>7</v>
      </c>
      <c r="S239">
        <v>2016</v>
      </c>
      <c r="U239">
        <v>27155.599999999999</v>
      </c>
      <c r="V239">
        <v>5.4185990870280172</v>
      </c>
      <c r="W239" s="23"/>
    </row>
    <row r="240" spans="1:23" x14ac:dyDescent="0.2">
      <c r="A240" s="10" t="s">
        <v>7</v>
      </c>
      <c r="B240" s="24">
        <v>2017</v>
      </c>
      <c r="C240" s="25">
        <f t="shared" si="16"/>
        <v>0</v>
      </c>
      <c r="D240" s="25">
        <f t="shared" si="13"/>
        <v>36.693179265870199</v>
      </c>
      <c r="E240" s="26">
        <f t="shared" si="14"/>
        <v>7.4710194970618389</v>
      </c>
      <c r="F240" s="26">
        <f t="shared" si="15"/>
        <v>10.260268459999999</v>
      </c>
      <c r="J240" s="20" t="s">
        <v>7</v>
      </c>
      <c r="K240" s="11">
        <v>2017</v>
      </c>
      <c r="L240" s="15"/>
      <c r="M240" s="15"/>
      <c r="N240" s="16"/>
      <c r="O240" s="21">
        <v>10.260268459999999</v>
      </c>
      <c r="R240" s="22" t="s">
        <v>7</v>
      </c>
      <c r="S240">
        <v>2017</v>
      </c>
      <c r="U240">
        <v>27155.599999999999</v>
      </c>
      <c r="V240">
        <v>5.5290934477056703</v>
      </c>
      <c r="W240" s="23"/>
    </row>
    <row r="241" spans="1:23" x14ac:dyDescent="0.2">
      <c r="A241" s="10" t="s">
        <v>7</v>
      </c>
      <c r="B241" s="24">
        <v>2018</v>
      </c>
      <c r="C241" s="25">
        <f t="shared" si="16"/>
        <v>0</v>
      </c>
      <c r="D241" s="25">
        <f t="shared" si="13"/>
        <v>36.693179265870199</v>
      </c>
      <c r="E241" s="26">
        <f t="shared" si="14"/>
        <v>7.6203216441038055</v>
      </c>
      <c r="F241" s="26">
        <f t="shared" si="15"/>
        <v>10.260268459999999</v>
      </c>
      <c r="J241" s="20" t="s">
        <v>7</v>
      </c>
      <c r="K241" s="11">
        <v>2018</v>
      </c>
      <c r="L241" s="15"/>
      <c r="M241" s="15"/>
      <c r="N241" s="16"/>
      <c r="O241" s="21">
        <v>10.260268459999999</v>
      </c>
      <c r="R241" s="22" t="s">
        <v>7</v>
      </c>
      <c r="S241">
        <v>2018</v>
      </c>
      <c r="U241">
        <v>27155.599999999999</v>
      </c>
      <c r="V241">
        <v>5.6395878083833226</v>
      </c>
      <c r="W241" s="23"/>
    </row>
    <row r="242" spans="1:23" x14ac:dyDescent="0.2">
      <c r="A242" s="10" t="s">
        <v>7</v>
      </c>
      <c r="B242" s="24">
        <v>2019</v>
      </c>
      <c r="C242" s="25">
        <f t="shared" si="16"/>
        <v>0</v>
      </c>
      <c r="D242" s="25">
        <f t="shared" si="13"/>
        <v>36.693179265870199</v>
      </c>
      <c r="E242" s="26">
        <f t="shared" si="14"/>
        <v>7.7696237911457722</v>
      </c>
      <c r="F242" s="26">
        <f t="shared" si="15"/>
        <v>10.260268459999999</v>
      </c>
      <c r="J242" s="20" t="s">
        <v>7</v>
      </c>
      <c r="K242" s="11">
        <v>2019</v>
      </c>
      <c r="L242" s="15"/>
      <c r="M242" s="15"/>
      <c r="N242" s="16"/>
      <c r="O242" s="21">
        <v>10.260268459999999</v>
      </c>
      <c r="R242" s="22" t="s">
        <v>7</v>
      </c>
      <c r="S242">
        <v>2019</v>
      </c>
      <c r="U242">
        <v>27155.599999999999</v>
      </c>
      <c r="V242">
        <v>5.7500821690609758</v>
      </c>
      <c r="W242" s="23"/>
    </row>
    <row r="243" spans="1:23" x14ac:dyDescent="0.2">
      <c r="A243" s="10" t="s">
        <v>7</v>
      </c>
      <c r="B243" s="24">
        <v>2020</v>
      </c>
      <c r="C243" s="25">
        <f t="shared" si="16"/>
        <v>0</v>
      </c>
      <c r="D243" s="25">
        <f t="shared" si="13"/>
        <v>36.693179265870199</v>
      </c>
      <c r="E243" s="26">
        <f t="shared" si="14"/>
        <v>7.9189259381877388</v>
      </c>
      <c r="F243" s="26">
        <f t="shared" si="15"/>
        <v>10.260268459999999</v>
      </c>
      <c r="J243" s="20" t="s">
        <v>7</v>
      </c>
      <c r="K243" s="11">
        <v>2020</v>
      </c>
      <c r="L243" s="15"/>
      <c r="M243" s="15"/>
      <c r="N243" s="16"/>
      <c r="O243" s="21">
        <v>10.260268459999999</v>
      </c>
      <c r="R243" s="22" t="s">
        <v>7</v>
      </c>
      <c r="S243">
        <v>2020</v>
      </c>
      <c r="U243">
        <v>27155.599999999999</v>
      </c>
      <c r="V243">
        <v>5.8605765297386281</v>
      </c>
      <c r="W243" s="23"/>
    </row>
    <row r="244" spans="1:23" x14ac:dyDescent="0.2">
      <c r="A244" s="10" t="s">
        <v>7</v>
      </c>
      <c r="B244" s="24">
        <v>2021</v>
      </c>
      <c r="C244" s="25">
        <f t="shared" si="16"/>
        <v>0</v>
      </c>
      <c r="D244" s="25">
        <f t="shared" si="13"/>
        <v>36.693179265870199</v>
      </c>
      <c r="E244" s="26">
        <f t="shared" si="14"/>
        <v>8.0837675726133185</v>
      </c>
      <c r="F244" s="26">
        <f t="shared" si="15"/>
        <v>10.260268459999999</v>
      </c>
      <c r="J244" s="20" t="s">
        <v>7</v>
      </c>
      <c r="K244" s="11">
        <v>2021</v>
      </c>
      <c r="L244" s="15"/>
      <c r="M244" s="15"/>
      <c r="N244" s="16"/>
      <c r="O244" s="21">
        <v>10.260268459999999</v>
      </c>
      <c r="R244" s="22" t="s">
        <v>7</v>
      </c>
      <c r="S244">
        <v>2021</v>
      </c>
      <c r="U244">
        <v>27155.599999999999</v>
      </c>
      <c r="V244">
        <v>5.9825712322246813</v>
      </c>
      <c r="W244" s="23"/>
    </row>
    <row r="245" spans="1:23" x14ac:dyDescent="0.2">
      <c r="A245" s="10" t="s">
        <v>7</v>
      </c>
      <c r="B245" s="24">
        <v>2022</v>
      </c>
      <c r="C245" s="25">
        <f t="shared" si="16"/>
        <v>0</v>
      </c>
      <c r="D245" s="25">
        <f t="shared" si="13"/>
        <v>36.693179265870199</v>
      </c>
      <c r="E245" s="26">
        <f t="shared" si="14"/>
        <v>8.2486092070388963</v>
      </c>
      <c r="F245" s="26">
        <f t="shared" si="15"/>
        <v>10.260268459999999</v>
      </c>
      <c r="J245" s="20" t="s">
        <v>7</v>
      </c>
      <c r="K245" s="11">
        <v>2022</v>
      </c>
      <c r="L245" s="15"/>
      <c r="M245" s="15"/>
      <c r="N245" s="16"/>
      <c r="O245" s="21">
        <v>10.260268459999999</v>
      </c>
      <c r="R245" s="22" t="s">
        <v>7</v>
      </c>
      <c r="S245">
        <v>2022</v>
      </c>
      <c r="U245">
        <v>27155.599999999999</v>
      </c>
      <c r="V245">
        <v>6.1045659347107337</v>
      </c>
      <c r="W245" s="23"/>
    </row>
    <row r="246" spans="1:23" x14ac:dyDescent="0.2">
      <c r="A246" s="10" t="s">
        <v>7</v>
      </c>
      <c r="B246" s="24">
        <v>2023</v>
      </c>
      <c r="C246" s="25">
        <f t="shared" si="16"/>
        <v>0</v>
      </c>
      <c r="D246" s="25">
        <f t="shared" si="13"/>
        <v>36.693179265870199</v>
      </c>
      <c r="E246" s="26">
        <f t="shared" si="14"/>
        <v>8.4134508414644742</v>
      </c>
      <c r="F246" s="26">
        <f t="shared" si="15"/>
        <v>10.260268459999999</v>
      </c>
      <c r="J246" s="20" t="s">
        <v>7</v>
      </c>
      <c r="K246" s="11">
        <v>2023</v>
      </c>
      <c r="L246" s="15"/>
      <c r="M246" s="15"/>
      <c r="N246" s="16"/>
      <c r="O246" s="21">
        <v>10.260268459999999</v>
      </c>
      <c r="R246" s="22" t="s">
        <v>7</v>
      </c>
      <c r="S246">
        <v>2023</v>
      </c>
      <c r="U246">
        <v>27155.599999999999</v>
      </c>
      <c r="V246">
        <v>6.226560637196787</v>
      </c>
      <c r="W246" s="23"/>
    </row>
    <row r="247" spans="1:23" x14ac:dyDescent="0.2">
      <c r="A247" s="10" t="s">
        <v>7</v>
      </c>
      <c r="B247" s="24">
        <v>2024</v>
      </c>
      <c r="C247" s="25">
        <f t="shared" si="16"/>
        <v>0</v>
      </c>
      <c r="D247" s="25">
        <f t="shared" si="13"/>
        <v>36.693179265870199</v>
      </c>
      <c r="E247" s="26">
        <f t="shared" si="14"/>
        <v>8.5782924758900521</v>
      </c>
      <c r="F247" s="26">
        <f t="shared" si="15"/>
        <v>10.260268459999999</v>
      </c>
      <c r="J247" s="20" t="s">
        <v>7</v>
      </c>
      <c r="K247" s="11">
        <v>2024</v>
      </c>
      <c r="L247" s="15"/>
      <c r="M247" s="15"/>
      <c r="N247" s="16"/>
      <c r="O247" s="21">
        <v>10.260268459999999</v>
      </c>
      <c r="R247" s="22" t="s">
        <v>7</v>
      </c>
      <c r="S247">
        <v>2024</v>
      </c>
      <c r="U247">
        <v>27155.599999999999</v>
      </c>
      <c r="V247">
        <v>6.3485553396828394</v>
      </c>
      <c r="W247" s="23"/>
    </row>
    <row r="248" spans="1:23" x14ac:dyDescent="0.2">
      <c r="A248" s="10" t="s">
        <v>7</v>
      </c>
      <c r="B248" s="24">
        <v>2025</v>
      </c>
      <c r="C248" s="25">
        <f t="shared" si="16"/>
        <v>0</v>
      </c>
      <c r="D248" s="25">
        <f t="shared" si="13"/>
        <v>36.693179265870199</v>
      </c>
      <c r="E248" s="26">
        <f t="shared" si="14"/>
        <v>8.7431341103156317</v>
      </c>
      <c r="F248" s="26">
        <f t="shared" si="15"/>
        <v>10.260268459999999</v>
      </c>
      <c r="J248" s="20" t="s">
        <v>7</v>
      </c>
      <c r="K248" s="11">
        <v>2025</v>
      </c>
      <c r="L248" s="15"/>
      <c r="M248" s="15"/>
      <c r="N248" s="16"/>
      <c r="O248" s="21">
        <v>10.260268459999999</v>
      </c>
      <c r="R248" s="22" t="s">
        <v>7</v>
      </c>
      <c r="S248">
        <v>2025</v>
      </c>
      <c r="U248">
        <v>27155.599999999999</v>
      </c>
      <c r="V248">
        <v>6.4705500421688926</v>
      </c>
      <c r="W248" s="23"/>
    </row>
    <row r="249" spans="1:23" x14ac:dyDescent="0.2">
      <c r="A249" s="10" t="s">
        <v>7</v>
      </c>
      <c r="B249" s="24">
        <v>2026</v>
      </c>
      <c r="C249" s="25">
        <f t="shared" si="16"/>
        <v>0</v>
      </c>
      <c r="D249" s="25">
        <f t="shared" si="13"/>
        <v>36.693179265870199</v>
      </c>
      <c r="E249" s="26">
        <f t="shared" si="14"/>
        <v>8.9251325944530251</v>
      </c>
      <c r="F249" s="26">
        <f t="shared" si="15"/>
        <v>10.260268459999999</v>
      </c>
      <c r="J249" s="20" t="s">
        <v>7</v>
      </c>
      <c r="K249" s="11">
        <v>2026</v>
      </c>
      <c r="L249" s="15"/>
      <c r="M249" s="15"/>
      <c r="N249" s="16"/>
      <c r="O249" s="21">
        <v>10.260268459999999</v>
      </c>
      <c r="R249" s="22" t="s">
        <v>7</v>
      </c>
      <c r="S249">
        <v>2026</v>
      </c>
      <c r="U249">
        <v>27155.599999999999</v>
      </c>
      <c r="V249">
        <v>6.6052420512758392</v>
      </c>
      <c r="W249" s="23"/>
    </row>
    <row r="250" spans="1:23" x14ac:dyDescent="0.2">
      <c r="A250" s="10" t="s">
        <v>7</v>
      </c>
      <c r="B250" s="24">
        <v>2027</v>
      </c>
      <c r="C250" s="25">
        <f t="shared" si="16"/>
        <v>0</v>
      </c>
      <c r="D250" s="25">
        <f t="shared" si="13"/>
        <v>36.693179265870199</v>
      </c>
      <c r="E250" s="26">
        <f t="shared" si="14"/>
        <v>9.1071310785904185</v>
      </c>
      <c r="F250" s="26">
        <f t="shared" si="15"/>
        <v>10.260268459999999</v>
      </c>
      <c r="J250" s="20" t="s">
        <v>7</v>
      </c>
      <c r="K250" s="11">
        <v>2027</v>
      </c>
      <c r="L250" s="15"/>
      <c r="M250" s="15"/>
      <c r="N250" s="16"/>
      <c r="O250" s="21">
        <v>10.260268459999999</v>
      </c>
      <c r="R250" s="22" t="s">
        <v>7</v>
      </c>
      <c r="S250">
        <v>2027</v>
      </c>
      <c r="U250">
        <v>27155.599999999999</v>
      </c>
      <c r="V250">
        <v>6.7399340603827858</v>
      </c>
      <c r="W250" s="23"/>
    </row>
    <row r="251" spans="1:23" x14ac:dyDescent="0.2">
      <c r="A251" s="10" t="s">
        <v>7</v>
      </c>
      <c r="B251" s="24">
        <v>2028</v>
      </c>
      <c r="C251" s="25">
        <f t="shared" si="16"/>
        <v>0</v>
      </c>
      <c r="D251" s="25">
        <f t="shared" si="13"/>
        <v>36.693179265870199</v>
      </c>
      <c r="E251" s="26">
        <f t="shared" si="14"/>
        <v>9.2891295627278119</v>
      </c>
      <c r="F251" s="26">
        <f t="shared" si="15"/>
        <v>10.260268459999999</v>
      </c>
      <c r="J251" s="20" t="s">
        <v>7</v>
      </c>
      <c r="K251" s="11">
        <v>2028</v>
      </c>
      <c r="L251" s="15"/>
      <c r="M251" s="15"/>
      <c r="N251" s="16"/>
      <c r="O251" s="21">
        <v>10.260268459999999</v>
      </c>
      <c r="R251" s="22" t="s">
        <v>7</v>
      </c>
      <c r="S251">
        <v>2028</v>
      </c>
      <c r="U251">
        <v>27155.599999999999</v>
      </c>
      <c r="V251">
        <v>6.8746260694897323</v>
      </c>
      <c r="W251" s="23"/>
    </row>
    <row r="252" spans="1:23" x14ac:dyDescent="0.2">
      <c r="A252" s="10" t="s">
        <v>7</v>
      </c>
      <c r="B252" s="24">
        <v>2029</v>
      </c>
      <c r="C252" s="25">
        <f t="shared" si="16"/>
        <v>0</v>
      </c>
      <c r="D252" s="25">
        <f t="shared" si="13"/>
        <v>36.693179265870199</v>
      </c>
      <c r="E252" s="26">
        <f t="shared" si="14"/>
        <v>9.471128046865207</v>
      </c>
      <c r="F252" s="26">
        <f t="shared" si="15"/>
        <v>10.260268459999999</v>
      </c>
      <c r="J252" s="20" t="s">
        <v>7</v>
      </c>
      <c r="K252" s="11">
        <v>2029</v>
      </c>
      <c r="L252" s="15"/>
      <c r="M252" s="15"/>
      <c r="N252" s="16"/>
      <c r="O252" s="21">
        <v>10.260268459999999</v>
      </c>
      <c r="R252" s="22" t="s">
        <v>7</v>
      </c>
      <c r="S252">
        <v>2029</v>
      </c>
      <c r="U252">
        <v>27155.599999999999</v>
      </c>
      <c r="V252">
        <v>7.0093180785966789</v>
      </c>
      <c r="W252" s="23"/>
    </row>
    <row r="253" spans="1:23" x14ac:dyDescent="0.2">
      <c r="A253" s="10" t="s">
        <v>7</v>
      </c>
      <c r="B253" s="24">
        <v>2030</v>
      </c>
      <c r="C253" s="25">
        <f t="shared" si="16"/>
        <v>0</v>
      </c>
      <c r="D253" s="25">
        <f t="shared" si="13"/>
        <v>36.693179265870199</v>
      </c>
      <c r="E253" s="26">
        <f t="shared" si="14"/>
        <v>9.6531265310026004</v>
      </c>
      <c r="F253" s="26">
        <f t="shared" si="15"/>
        <v>10.260268459999999</v>
      </c>
      <c r="J253" s="20" t="s">
        <v>7</v>
      </c>
      <c r="K253" s="11">
        <v>2030</v>
      </c>
      <c r="L253" s="15"/>
      <c r="M253" s="15"/>
      <c r="N253" s="16"/>
      <c r="O253" s="21">
        <v>10.260268459999999</v>
      </c>
      <c r="R253" s="22" t="s">
        <v>7</v>
      </c>
      <c r="S253">
        <v>2030</v>
      </c>
      <c r="U253">
        <v>27155.599999999999</v>
      </c>
      <c r="V253">
        <v>7.1440100877036254</v>
      </c>
      <c r="W253" s="23"/>
    </row>
    <row r="254" spans="1:23" x14ac:dyDescent="0.2">
      <c r="A254" s="10" t="s">
        <v>7</v>
      </c>
      <c r="B254" s="24">
        <v>2031</v>
      </c>
      <c r="C254" s="25">
        <f t="shared" si="16"/>
        <v>0</v>
      </c>
      <c r="D254" s="25">
        <f t="shared" si="13"/>
        <v>36.693179265870199</v>
      </c>
      <c r="E254" s="26">
        <f t="shared" si="14"/>
        <v>9.8540675635501955</v>
      </c>
      <c r="F254" s="26">
        <f t="shared" si="15"/>
        <v>10.260268459999999</v>
      </c>
      <c r="J254" s="20" t="s">
        <v>7</v>
      </c>
      <c r="K254" s="11">
        <v>2031</v>
      </c>
      <c r="L254" s="15"/>
      <c r="M254" s="15"/>
      <c r="N254" s="16"/>
      <c r="O254" s="21">
        <v>10.260268459999999</v>
      </c>
      <c r="R254" s="22" t="s">
        <v>7</v>
      </c>
      <c r="S254">
        <v>2031</v>
      </c>
      <c r="U254">
        <v>27155.599999999999</v>
      </c>
      <c r="V254">
        <v>7.2927209493030443</v>
      </c>
      <c r="W254" s="23"/>
    </row>
    <row r="255" spans="1:23" x14ac:dyDescent="0.2">
      <c r="A255" s="10" t="s">
        <v>7</v>
      </c>
      <c r="B255" s="24">
        <v>2032</v>
      </c>
      <c r="C255" s="25">
        <f t="shared" si="16"/>
        <v>0</v>
      </c>
      <c r="D255" s="25">
        <f t="shared" si="13"/>
        <v>36.693179265870199</v>
      </c>
      <c r="E255" s="26">
        <f t="shared" si="14"/>
        <v>10.055008596097792</v>
      </c>
      <c r="F255" s="26">
        <f t="shared" si="15"/>
        <v>10.260268459999999</v>
      </c>
      <c r="J255" s="20" t="s">
        <v>7</v>
      </c>
      <c r="K255" s="11">
        <v>2032</v>
      </c>
      <c r="L255" s="15"/>
      <c r="M255" s="15"/>
      <c r="N255" s="16"/>
      <c r="O255" s="21">
        <v>10.260268459999999</v>
      </c>
      <c r="R255" s="22" t="s">
        <v>7</v>
      </c>
      <c r="S255">
        <v>2032</v>
      </c>
      <c r="U255">
        <v>27155.599999999999</v>
      </c>
      <c r="V255">
        <v>7.4414318109024631</v>
      </c>
      <c r="W255" s="23"/>
    </row>
    <row r="256" spans="1:23" x14ac:dyDescent="0.2">
      <c r="A256" s="10" t="s">
        <v>7</v>
      </c>
      <c r="B256" s="24">
        <v>2033</v>
      </c>
      <c r="C256" s="25">
        <f t="shared" si="16"/>
        <v>0</v>
      </c>
      <c r="D256" s="25">
        <f t="shared" si="13"/>
        <v>36.693179265870199</v>
      </c>
      <c r="E256" s="26">
        <f t="shared" si="14"/>
        <v>10.255949628645389</v>
      </c>
      <c r="F256" s="26">
        <f t="shared" si="15"/>
        <v>10.260268459999999</v>
      </c>
      <c r="J256" s="20" t="s">
        <v>7</v>
      </c>
      <c r="K256" s="11">
        <v>2033</v>
      </c>
      <c r="L256" s="15"/>
      <c r="M256" s="15"/>
      <c r="N256" s="16"/>
      <c r="O256" s="21">
        <v>10.260268459999999</v>
      </c>
      <c r="R256" s="22" t="s">
        <v>7</v>
      </c>
      <c r="S256">
        <v>2033</v>
      </c>
      <c r="U256">
        <v>27155.599999999999</v>
      </c>
      <c r="V256">
        <v>7.5901426725018828</v>
      </c>
      <c r="W256" s="23"/>
    </row>
    <row r="257" spans="1:23" x14ac:dyDescent="0.2">
      <c r="A257" s="10" t="s">
        <v>7</v>
      </c>
      <c r="B257" s="24">
        <v>2034</v>
      </c>
      <c r="C257" s="25">
        <f t="shared" si="16"/>
        <v>0</v>
      </c>
      <c r="D257" s="25">
        <f t="shared" ref="D257:D273" si="17">U257/$U$66/1000</f>
        <v>36.693179265870199</v>
      </c>
      <c r="E257" s="26">
        <f t="shared" ref="E257:E273" si="18">V257/$U$66</f>
        <v>10.456890661192984</v>
      </c>
      <c r="F257" s="26">
        <f t="shared" ref="F257:F273" si="19">O257</f>
        <v>10.260268459999999</v>
      </c>
      <c r="J257" s="20" t="s">
        <v>7</v>
      </c>
      <c r="K257" s="11">
        <v>2034</v>
      </c>
      <c r="L257" s="15"/>
      <c r="M257" s="15"/>
      <c r="N257" s="16"/>
      <c r="O257" s="21">
        <v>10.260268459999999</v>
      </c>
      <c r="R257" s="22" t="s">
        <v>7</v>
      </c>
      <c r="S257">
        <v>2034</v>
      </c>
      <c r="U257">
        <v>27155.599999999999</v>
      </c>
      <c r="V257">
        <v>7.7388535341013016</v>
      </c>
      <c r="W257" s="23"/>
    </row>
    <row r="258" spans="1:23" x14ac:dyDescent="0.2">
      <c r="A258" s="10" t="s">
        <v>7</v>
      </c>
      <c r="B258" s="24">
        <v>2035</v>
      </c>
      <c r="C258" s="25">
        <f t="shared" si="16"/>
        <v>0</v>
      </c>
      <c r="D258" s="25">
        <f t="shared" si="17"/>
        <v>36.693179265870199</v>
      </c>
      <c r="E258" s="26">
        <f t="shared" si="18"/>
        <v>10.657831693740579</v>
      </c>
      <c r="F258" s="26">
        <f t="shared" si="19"/>
        <v>10.260268459999999</v>
      </c>
      <c r="J258" s="20" t="s">
        <v>7</v>
      </c>
      <c r="K258" s="11">
        <v>2035</v>
      </c>
      <c r="L258" s="15"/>
      <c r="M258" s="15"/>
      <c r="N258" s="16"/>
      <c r="O258" s="21">
        <v>10.260268459999999</v>
      </c>
      <c r="R258" s="22" t="s">
        <v>7</v>
      </c>
      <c r="S258">
        <v>2035</v>
      </c>
      <c r="U258">
        <v>27155.599999999999</v>
      </c>
      <c r="V258">
        <v>7.8875643957007204</v>
      </c>
      <c r="W258" s="23"/>
    </row>
    <row r="259" spans="1:23" x14ac:dyDescent="0.2">
      <c r="A259" s="10" t="s">
        <v>7</v>
      </c>
      <c r="B259" s="24">
        <v>2036</v>
      </c>
      <c r="C259" s="25">
        <f t="shared" si="16"/>
        <v>0</v>
      </c>
      <c r="D259" s="25">
        <f t="shared" si="17"/>
        <v>36.693179265870199</v>
      </c>
      <c r="E259" s="26">
        <f t="shared" si="18"/>
        <v>10.879686830351568</v>
      </c>
      <c r="F259" s="26">
        <f t="shared" si="19"/>
        <v>10.260268459999999</v>
      </c>
      <c r="J259" s="20" t="s">
        <v>7</v>
      </c>
      <c r="K259" s="11">
        <v>2036</v>
      </c>
      <c r="L259" s="15"/>
      <c r="M259" s="15"/>
      <c r="N259" s="16"/>
      <c r="O259" s="21">
        <v>10.260268459999999</v>
      </c>
      <c r="R259" s="22" t="s">
        <v>7</v>
      </c>
      <c r="S259">
        <v>2036</v>
      </c>
      <c r="U259">
        <v>27155.599999999999</v>
      </c>
      <c r="V259">
        <v>8.0517532032199721</v>
      </c>
      <c r="W259" s="23"/>
    </row>
    <row r="260" spans="1:23" x14ac:dyDescent="0.2">
      <c r="A260" s="10" t="s">
        <v>7</v>
      </c>
      <c r="B260" s="24">
        <v>2037</v>
      </c>
      <c r="C260" s="25">
        <f t="shared" si="16"/>
        <v>0</v>
      </c>
      <c r="D260" s="25">
        <f t="shared" si="17"/>
        <v>36.693179265870199</v>
      </c>
      <c r="E260" s="26">
        <f t="shared" si="18"/>
        <v>11.101541966962555</v>
      </c>
      <c r="F260" s="26">
        <f t="shared" si="19"/>
        <v>10.260268459999999</v>
      </c>
      <c r="J260" s="20" t="s">
        <v>7</v>
      </c>
      <c r="K260" s="11">
        <v>2037</v>
      </c>
      <c r="L260" s="15"/>
      <c r="M260" s="15"/>
      <c r="N260" s="16"/>
      <c r="O260" s="21">
        <v>10.260268459999999</v>
      </c>
      <c r="R260" s="22" t="s">
        <v>7</v>
      </c>
      <c r="S260">
        <v>2037</v>
      </c>
      <c r="U260">
        <v>27155.599999999999</v>
      </c>
      <c r="V260">
        <v>8.2159420107392229</v>
      </c>
      <c r="W260" s="23"/>
    </row>
    <row r="261" spans="1:23" x14ac:dyDescent="0.2">
      <c r="A261" s="10" t="s">
        <v>7</v>
      </c>
      <c r="B261" s="24">
        <v>2038</v>
      </c>
      <c r="C261" s="25">
        <f t="shared" ref="C261:C324" si="20">VLOOKUP(A261,$A$45:$AP$61,VLOOKUP(B261,$Z$69:$AA$109,2,FALSE),FALSE)</f>
        <v>0</v>
      </c>
      <c r="D261" s="25">
        <f t="shared" si="17"/>
        <v>36.693179265870199</v>
      </c>
      <c r="E261" s="26">
        <f t="shared" si="18"/>
        <v>11.323397103573543</v>
      </c>
      <c r="F261" s="26">
        <f t="shared" si="19"/>
        <v>10.260268459999999</v>
      </c>
      <c r="J261" s="20" t="s">
        <v>7</v>
      </c>
      <c r="K261" s="11">
        <v>2038</v>
      </c>
      <c r="L261" s="15"/>
      <c r="M261" s="15"/>
      <c r="N261" s="16"/>
      <c r="O261" s="21">
        <v>10.260268459999999</v>
      </c>
      <c r="R261" s="22" t="s">
        <v>7</v>
      </c>
      <c r="S261">
        <v>2038</v>
      </c>
      <c r="U261">
        <v>27155.599999999999</v>
      </c>
      <c r="V261">
        <v>8.3801308182584737</v>
      </c>
      <c r="W261" s="23"/>
    </row>
    <row r="262" spans="1:23" x14ac:dyDescent="0.2">
      <c r="A262" s="10" t="s">
        <v>7</v>
      </c>
      <c r="B262" s="24">
        <v>2039</v>
      </c>
      <c r="C262" s="25">
        <f t="shared" si="20"/>
        <v>0</v>
      </c>
      <c r="D262" s="25">
        <f t="shared" si="17"/>
        <v>36.693179265870199</v>
      </c>
      <c r="E262" s="26">
        <f t="shared" si="18"/>
        <v>11.54525224018453</v>
      </c>
      <c r="F262" s="26">
        <f t="shared" si="19"/>
        <v>10.260268459999999</v>
      </c>
      <c r="J262" s="20" t="s">
        <v>7</v>
      </c>
      <c r="K262" s="11">
        <v>2039</v>
      </c>
      <c r="L262" s="15"/>
      <c r="M262" s="15"/>
      <c r="N262" s="16"/>
      <c r="O262" s="21">
        <v>10.260268459999999</v>
      </c>
      <c r="R262" s="22" t="s">
        <v>7</v>
      </c>
      <c r="S262">
        <v>2039</v>
      </c>
      <c r="U262">
        <v>27155.599999999999</v>
      </c>
      <c r="V262">
        <v>8.5443196257777245</v>
      </c>
      <c r="W262" s="23"/>
    </row>
    <row r="263" spans="1:23" x14ac:dyDescent="0.2">
      <c r="A263" s="10" t="s">
        <v>7</v>
      </c>
      <c r="B263" s="24">
        <v>2040</v>
      </c>
      <c r="C263" s="25">
        <f t="shared" si="20"/>
        <v>0</v>
      </c>
      <c r="D263" s="25">
        <f t="shared" si="17"/>
        <v>36.693179265870199</v>
      </c>
      <c r="E263" s="26">
        <f t="shared" si="18"/>
        <v>11.767107376795517</v>
      </c>
      <c r="F263" s="26">
        <f t="shared" si="19"/>
        <v>10.260268459999999</v>
      </c>
      <c r="J263" s="20" t="s">
        <v>7</v>
      </c>
      <c r="K263" s="11">
        <v>2040</v>
      </c>
      <c r="L263" s="15"/>
      <c r="M263" s="15"/>
      <c r="N263" s="16"/>
      <c r="O263" s="21">
        <v>10.260268459999999</v>
      </c>
      <c r="R263" s="22" t="s">
        <v>7</v>
      </c>
      <c r="S263">
        <v>2040</v>
      </c>
      <c r="U263">
        <v>27155.599999999999</v>
      </c>
      <c r="V263">
        <v>8.7085084332969753</v>
      </c>
      <c r="W263" s="23"/>
    </row>
    <row r="264" spans="1:23" x14ac:dyDescent="0.2">
      <c r="A264" s="10" t="s">
        <v>7</v>
      </c>
      <c r="B264" s="24">
        <v>2041</v>
      </c>
      <c r="C264" s="25">
        <f t="shared" si="20"/>
        <v>0</v>
      </c>
      <c r="D264" s="25">
        <f t="shared" si="17"/>
        <v>36.693179265870199</v>
      </c>
      <c r="E264" s="26">
        <f t="shared" si="18"/>
        <v>12.01205337421902</v>
      </c>
      <c r="F264" s="26">
        <f t="shared" si="19"/>
        <v>10.260268459999999</v>
      </c>
      <c r="J264" s="20" t="s">
        <v>7</v>
      </c>
      <c r="K264" s="11">
        <v>2041</v>
      </c>
      <c r="L264" s="15"/>
      <c r="M264" s="15"/>
      <c r="N264" s="16"/>
      <c r="O264" s="21">
        <v>10.260268459999999</v>
      </c>
      <c r="R264" s="22" t="s">
        <v>7</v>
      </c>
      <c r="S264">
        <v>2041</v>
      </c>
      <c r="U264">
        <v>27155.599999999999</v>
      </c>
      <c r="V264">
        <v>8.8897861437792791</v>
      </c>
      <c r="W264" s="23"/>
    </row>
    <row r="265" spans="1:23" x14ac:dyDescent="0.2">
      <c r="A265" s="10" t="s">
        <v>7</v>
      </c>
      <c r="B265" s="24">
        <v>2042</v>
      </c>
      <c r="C265" s="25">
        <f t="shared" si="20"/>
        <v>0</v>
      </c>
      <c r="D265" s="25">
        <f t="shared" si="17"/>
        <v>36.693179265870199</v>
      </c>
      <c r="E265" s="26">
        <f t="shared" si="18"/>
        <v>12.256999371642523</v>
      </c>
      <c r="F265" s="26">
        <f t="shared" si="19"/>
        <v>10.260268459999999</v>
      </c>
      <c r="J265" s="20" t="s">
        <v>7</v>
      </c>
      <c r="K265" s="11">
        <v>2042</v>
      </c>
      <c r="L265" s="15"/>
      <c r="M265" s="15"/>
      <c r="N265" s="16"/>
      <c r="O265" s="21">
        <v>10.260268459999999</v>
      </c>
      <c r="R265" s="22" t="s">
        <v>7</v>
      </c>
      <c r="S265">
        <v>2042</v>
      </c>
      <c r="U265">
        <v>27155.599999999999</v>
      </c>
      <c r="V265">
        <v>9.0710638542615829</v>
      </c>
      <c r="W265" s="23"/>
    </row>
    <row r="266" spans="1:23" x14ac:dyDescent="0.2">
      <c r="A266" s="10" t="s">
        <v>7</v>
      </c>
      <c r="B266" s="24">
        <v>2043</v>
      </c>
      <c r="C266" s="25">
        <f t="shared" si="20"/>
        <v>0</v>
      </c>
      <c r="D266" s="25">
        <f t="shared" si="17"/>
        <v>36.693179265870199</v>
      </c>
      <c r="E266" s="26">
        <f t="shared" si="18"/>
        <v>12.50194536906603</v>
      </c>
      <c r="F266" s="26">
        <f t="shared" si="19"/>
        <v>10.260268459999999</v>
      </c>
      <c r="J266" s="20" t="s">
        <v>7</v>
      </c>
      <c r="K266" s="11">
        <v>2043</v>
      </c>
      <c r="L266" s="15"/>
      <c r="M266" s="15"/>
      <c r="N266" s="16"/>
      <c r="O266" s="21">
        <v>10.260268459999999</v>
      </c>
      <c r="R266" s="22" t="s">
        <v>7</v>
      </c>
      <c r="S266">
        <v>2043</v>
      </c>
      <c r="U266">
        <v>27155.599999999999</v>
      </c>
      <c r="V266">
        <v>9.2523415647438885</v>
      </c>
      <c r="W266" s="23"/>
    </row>
    <row r="267" spans="1:23" x14ac:dyDescent="0.2">
      <c r="A267" s="10" t="s">
        <v>7</v>
      </c>
      <c r="B267" s="24">
        <v>2044</v>
      </c>
      <c r="C267" s="25">
        <f t="shared" si="20"/>
        <v>0</v>
      </c>
      <c r="D267" s="25">
        <f t="shared" si="17"/>
        <v>36.693179265870199</v>
      </c>
      <c r="E267" s="26">
        <f t="shared" si="18"/>
        <v>12.746891366489534</v>
      </c>
      <c r="F267" s="26">
        <f t="shared" si="19"/>
        <v>10.260268459999999</v>
      </c>
      <c r="J267" s="20" t="s">
        <v>7</v>
      </c>
      <c r="K267" s="11">
        <v>2044</v>
      </c>
      <c r="L267" s="15"/>
      <c r="M267" s="15"/>
      <c r="N267" s="16"/>
      <c r="O267" s="21">
        <v>10.260268459999999</v>
      </c>
      <c r="R267" s="22" t="s">
        <v>7</v>
      </c>
      <c r="S267">
        <v>2044</v>
      </c>
      <c r="U267">
        <v>27155.599999999999</v>
      </c>
      <c r="V267">
        <v>9.4336192752261923</v>
      </c>
      <c r="W267" s="23"/>
    </row>
    <row r="268" spans="1:23" x14ac:dyDescent="0.2">
      <c r="A268" s="10" t="s">
        <v>7</v>
      </c>
      <c r="B268" s="24">
        <v>2045</v>
      </c>
      <c r="C268" s="25">
        <f t="shared" si="20"/>
        <v>0</v>
      </c>
      <c r="D268" s="25">
        <f t="shared" si="17"/>
        <v>36.693179265870199</v>
      </c>
      <c r="E268" s="26">
        <f t="shared" si="18"/>
        <v>12.991837363913037</v>
      </c>
      <c r="F268" s="26">
        <f t="shared" si="19"/>
        <v>10.260268459999999</v>
      </c>
      <c r="J268" s="20" t="s">
        <v>7</v>
      </c>
      <c r="K268" s="11">
        <v>2045</v>
      </c>
      <c r="L268" s="15"/>
      <c r="M268" s="15"/>
      <c r="N268" s="16"/>
      <c r="O268" s="21">
        <v>10.260268459999999</v>
      </c>
      <c r="R268" s="22" t="s">
        <v>7</v>
      </c>
      <c r="S268">
        <v>2045</v>
      </c>
      <c r="U268">
        <v>27155.599999999999</v>
      </c>
      <c r="V268">
        <v>9.614896985708496</v>
      </c>
      <c r="W268" s="23"/>
    </row>
    <row r="269" spans="1:23" x14ac:dyDescent="0.2">
      <c r="A269" s="10" t="s">
        <v>7</v>
      </c>
      <c r="B269" s="24">
        <v>2046</v>
      </c>
      <c r="C269" s="25">
        <f t="shared" si="20"/>
        <v>0</v>
      </c>
      <c r="D269" s="25">
        <f t="shared" si="17"/>
        <v>36.693179265870199</v>
      </c>
      <c r="E269" s="26">
        <f t="shared" si="18"/>
        <v>13.262277537489005</v>
      </c>
      <c r="F269" s="26">
        <f t="shared" si="19"/>
        <v>10.260268459999999</v>
      </c>
      <c r="J269" s="20" t="s">
        <v>7</v>
      </c>
      <c r="K269" s="11">
        <v>2046</v>
      </c>
      <c r="L269" s="15"/>
      <c r="M269" s="15"/>
      <c r="N269" s="16"/>
      <c r="O269" s="21">
        <v>10.260268459999999</v>
      </c>
      <c r="R269" s="22" t="s">
        <v>7</v>
      </c>
      <c r="S269">
        <v>2046</v>
      </c>
      <c r="U269">
        <v>27155.599999999999</v>
      </c>
      <c r="V269">
        <v>9.815042225900056</v>
      </c>
      <c r="W269" s="23"/>
    </row>
    <row r="270" spans="1:23" x14ac:dyDescent="0.2">
      <c r="A270" s="10" t="s">
        <v>7</v>
      </c>
      <c r="B270" s="24">
        <v>2047</v>
      </c>
      <c r="C270" s="25">
        <f t="shared" si="20"/>
        <v>0</v>
      </c>
      <c r="D270" s="25">
        <f t="shared" si="17"/>
        <v>36.693179265870199</v>
      </c>
      <c r="E270" s="26">
        <f t="shared" si="18"/>
        <v>13.532717711064974</v>
      </c>
      <c r="F270" s="26">
        <f t="shared" si="19"/>
        <v>10.260268459999999</v>
      </c>
      <c r="J270" s="20" t="s">
        <v>7</v>
      </c>
      <c r="K270" s="11">
        <v>2047</v>
      </c>
      <c r="L270" s="15"/>
      <c r="M270" s="15"/>
      <c r="N270" s="16"/>
      <c r="O270" s="21">
        <v>10.260268459999999</v>
      </c>
      <c r="R270" s="22" t="s">
        <v>7</v>
      </c>
      <c r="S270">
        <v>2047</v>
      </c>
      <c r="U270">
        <v>27155.599999999999</v>
      </c>
      <c r="V270">
        <v>10.015187466091616</v>
      </c>
      <c r="W270" s="23"/>
    </row>
    <row r="271" spans="1:23" x14ac:dyDescent="0.2">
      <c r="A271" s="10" t="s">
        <v>7</v>
      </c>
      <c r="B271" s="24">
        <v>2048</v>
      </c>
      <c r="C271" s="25">
        <f t="shared" si="20"/>
        <v>0</v>
      </c>
      <c r="D271" s="25">
        <f t="shared" si="17"/>
        <v>36.693179265870199</v>
      </c>
      <c r="E271" s="26">
        <f t="shared" si="18"/>
        <v>13.803157884640941</v>
      </c>
      <c r="F271" s="26">
        <f t="shared" si="19"/>
        <v>10.260268459999999</v>
      </c>
      <c r="J271" s="20" t="s">
        <v>7</v>
      </c>
      <c r="K271" s="11">
        <v>2048</v>
      </c>
      <c r="L271" s="15"/>
      <c r="M271" s="15"/>
      <c r="N271" s="16"/>
      <c r="O271" s="21">
        <v>10.260268459999999</v>
      </c>
      <c r="R271" s="22" t="s">
        <v>7</v>
      </c>
      <c r="S271">
        <v>2048</v>
      </c>
      <c r="U271">
        <v>27155.599999999999</v>
      </c>
      <c r="V271">
        <v>10.215332706283176</v>
      </c>
      <c r="W271" s="23"/>
    </row>
    <row r="272" spans="1:23" x14ac:dyDescent="0.2">
      <c r="A272" s="10" t="s">
        <v>7</v>
      </c>
      <c r="B272" s="24">
        <v>2049</v>
      </c>
      <c r="C272" s="25">
        <f t="shared" si="20"/>
        <v>0</v>
      </c>
      <c r="D272" s="25">
        <f t="shared" si="17"/>
        <v>36.693179265870199</v>
      </c>
      <c r="E272" s="26">
        <f t="shared" si="18"/>
        <v>14.073598058216909</v>
      </c>
      <c r="F272" s="26">
        <f t="shared" si="19"/>
        <v>10.260268459999999</v>
      </c>
      <c r="J272" s="20" t="s">
        <v>7</v>
      </c>
      <c r="K272" s="11">
        <v>2049</v>
      </c>
      <c r="L272" s="15"/>
      <c r="M272" s="15"/>
      <c r="N272" s="16"/>
      <c r="O272" s="21">
        <v>10.260268459999999</v>
      </c>
      <c r="R272" s="22" t="s">
        <v>7</v>
      </c>
      <c r="S272">
        <v>2049</v>
      </c>
      <c r="U272">
        <v>27155.599999999999</v>
      </c>
      <c r="V272">
        <v>10.415477946474736</v>
      </c>
      <c r="W272" s="23"/>
    </row>
    <row r="273" spans="1:23" x14ac:dyDescent="0.2">
      <c r="A273" s="10" t="s">
        <v>7</v>
      </c>
      <c r="B273" s="24">
        <v>2050</v>
      </c>
      <c r="C273" s="25">
        <f t="shared" si="20"/>
        <v>0</v>
      </c>
      <c r="D273" s="25">
        <f t="shared" si="17"/>
        <v>36.693179265870199</v>
      </c>
      <c r="E273" s="26">
        <f t="shared" si="18"/>
        <v>14.344038231792878</v>
      </c>
      <c r="F273" s="26">
        <f t="shared" si="19"/>
        <v>10.260268459999999</v>
      </c>
      <c r="J273" s="20" t="s">
        <v>7</v>
      </c>
      <c r="K273" s="11">
        <v>2050</v>
      </c>
      <c r="L273" s="15"/>
      <c r="M273" s="15"/>
      <c r="N273" s="16"/>
      <c r="O273" s="21">
        <v>10.260268459999999</v>
      </c>
      <c r="R273" s="22" t="s">
        <v>7</v>
      </c>
      <c r="S273">
        <v>2050</v>
      </c>
      <c r="U273">
        <v>27155.599999999999</v>
      </c>
      <c r="V273">
        <v>10.615623186666296</v>
      </c>
      <c r="W273" s="23"/>
    </row>
    <row r="274" spans="1:23" x14ac:dyDescent="0.2">
      <c r="A274" s="10" t="s">
        <v>8</v>
      </c>
      <c r="B274" s="24">
        <v>2010</v>
      </c>
      <c r="C274" s="25">
        <f t="shared" si="20"/>
        <v>0</v>
      </c>
      <c r="D274" s="25">
        <f>'O&amp;M, Heat Rates'!$D$8</f>
        <v>40.79</v>
      </c>
      <c r="E274" s="26">
        <f>'O&amp;M, Heat Rates'!$C$8</f>
        <v>4.5199999999999996</v>
      </c>
      <c r="F274" s="26">
        <v>8.83</v>
      </c>
      <c r="H274" s="3"/>
      <c r="J274" s="20" t="s">
        <v>8</v>
      </c>
      <c r="K274" s="11">
        <v>2010</v>
      </c>
      <c r="L274" s="15"/>
      <c r="M274" s="15"/>
      <c r="N274" s="16"/>
      <c r="O274" s="21"/>
      <c r="R274" s="22" t="s">
        <v>8</v>
      </c>
      <c r="S274">
        <v>2010</v>
      </c>
      <c r="W274" s="23"/>
    </row>
    <row r="275" spans="1:23" x14ac:dyDescent="0.2">
      <c r="A275" s="10" t="s">
        <v>8</v>
      </c>
      <c r="B275" s="24">
        <v>2011</v>
      </c>
      <c r="C275" s="25">
        <f t="shared" si="20"/>
        <v>0</v>
      </c>
      <c r="D275" s="25">
        <f>'O&amp;M, Heat Rates'!$D$8</f>
        <v>40.79</v>
      </c>
      <c r="E275" s="26">
        <f>'O&amp;M, Heat Rates'!$C$8</f>
        <v>4.5199999999999996</v>
      </c>
      <c r="F275" s="26">
        <v>8.8257142857142856</v>
      </c>
      <c r="H275" s="3"/>
      <c r="J275" s="20" t="s">
        <v>8</v>
      </c>
      <c r="K275" s="11">
        <v>2011</v>
      </c>
      <c r="L275" s="15"/>
      <c r="M275" s="15"/>
      <c r="N275" s="16"/>
      <c r="O275" s="21"/>
      <c r="R275" s="22" t="s">
        <v>8</v>
      </c>
      <c r="S275">
        <v>2011</v>
      </c>
      <c r="W275" s="23"/>
    </row>
    <row r="276" spans="1:23" x14ac:dyDescent="0.2">
      <c r="A276" s="10" t="s">
        <v>8</v>
      </c>
      <c r="B276" s="24">
        <v>2012</v>
      </c>
      <c r="C276" s="25">
        <f t="shared" si="20"/>
        <v>0</v>
      </c>
      <c r="D276" s="25">
        <f>'O&amp;M, Heat Rates'!$D$8</f>
        <v>40.79</v>
      </c>
      <c r="E276" s="26">
        <f>'O&amp;M, Heat Rates'!$C$8</f>
        <v>4.5199999999999996</v>
      </c>
      <c r="F276" s="26">
        <v>8.8214285714285712</v>
      </c>
      <c r="J276" s="20" t="s">
        <v>8</v>
      </c>
      <c r="K276" s="11">
        <v>2012</v>
      </c>
      <c r="L276" s="15"/>
      <c r="M276" s="15"/>
      <c r="N276" s="16"/>
      <c r="O276" s="21"/>
      <c r="R276" s="22" t="s">
        <v>8</v>
      </c>
      <c r="S276">
        <v>2012</v>
      </c>
      <c r="W276" s="23"/>
    </row>
    <row r="277" spans="1:23" x14ac:dyDescent="0.2">
      <c r="A277" s="10" t="s">
        <v>8</v>
      </c>
      <c r="B277" s="24">
        <v>2013</v>
      </c>
      <c r="C277" s="25">
        <f t="shared" si="20"/>
        <v>0</v>
      </c>
      <c r="D277" s="25">
        <f>'O&amp;M, Heat Rates'!$D$8</f>
        <v>40.79</v>
      </c>
      <c r="E277" s="26">
        <f>'O&amp;M, Heat Rates'!$C$8</f>
        <v>4.5199999999999996</v>
      </c>
      <c r="F277" s="26">
        <v>8.8171428571428567</v>
      </c>
      <c r="J277" s="20" t="s">
        <v>8</v>
      </c>
      <c r="K277" s="11">
        <v>2013</v>
      </c>
      <c r="L277" s="15"/>
      <c r="M277" s="15"/>
      <c r="N277" s="16"/>
      <c r="O277" s="21"/>
      <c r="R277" s="22" t="s">
        <v>8</v>
      </c>
      <c r="S277">
        <v>2013</v>
      </c>
      <c r="W277" s="23"/>
    </row>
    <row r="278" spans="1:23" x14ac:dyDescent="0.2">
      <c r="A278" s="10" t="s">
        <v>8</v>
      </c>
      <c r="B278" s="24">
        <v>2014</v>
      </c>
      <c r="C278" s="25">
        <f t="shared" si="20"/>
        <v>0</v>
      </c>
      <c r="D278" s="25">
        <f>'O&amp;M, Heat Rates'!$D$8</f>
        <v>40.79</v>
      </c>
      <c r="E278" s="26">
        <f>'O&amp;M, Heat Rates'!$C$8</f>
        <v>4.5199999999999996</v>
      </c>
      <c r="F278" s="26">
        <v>8.8128571428571423</v>
      </c>
      <c r="J278" s="20" t="s">
        <v>8</v>
      </c>
      <c r="K278" s="11">
        <v>2014</v>
      </c>
      <c r="L278" s="15"/>
      <c r="M278" s="15"/>
      <c r="N278" s="16"/>
      <c r="O278" s="21"/>
      <c r="R278" s="22" t="s">
        <v>8</v>
      </c>
      <c r="S278">
        <v>2014</v>
      </c>
      <c r="W278" s="23"/>
    </row>
    <row r="279" spans="1:23" x14ac:dyDescent="0.2">
      <c r="A279" s="10" t="s">
        <v>8</v>
      </c>
      <c r="B279" s="24">
        <v>2015</v>
      </c>
      <c r="C279" s="25">
        <f t="shared" si="20"/>
        <v>0</v>
      </c>
      <c r="D279" s="25">
        <f>'O&amp;M, Heat Rates'!$D$8</f>
        <v>40.79</v>
      </c>
      <c r="E279" s="26">
        <f>'O&amp;M, Heat Rates'!$C$8</f>
        <v>4.5199999999999996</v>
      </c>
      <c r="F279" s="26">
        <v>8.8085714285714296</v>
      </c>
      <c r="J279" s="20" t="s">
        <v>8</v>
      </c>
      <c r="K279" s="11">
        <v>2015</v>
      </c>
      <c r="L279" s="15"/>
      <c r="M279" s="15"/>
      <c r="N279" s="16"/>
      <c r="O279" s="21"/>
      <c r="R279" s="22" t="s">
        <v>8</v>
      </c>
      <c r="S279">
        <v>2015</v>
      </c>
      <c r="W279" s="23"/>
    </row>
    <row r="280" spans="1:23" x14ac:dyDescent="0.2">
      <c r="A280" s="10" t="s">
        <v>8</v>
      </c>
      <c r="B280" s="24">
        <v>2016</v>
      </c>
      <c r="C280" s="25">
        <f t="shared" si="20"/>
        <v>0</v>
      </c>
      <c r="D280" s="25">
        <f>'O&amp;M, Heat Rates'!$D$8</f>
        <v>40.79</v>
      </c>
      <c r="E280" s="26">
        <f>'O&amp;M, Heat Rates'!$C$8</f>
        <v>4.5199999999999996</v>
      </c>
      <c r="F280" s="26">
        <v>8.8042857142857134</v>
      </c>
      <c r="J280" s="20" t="s">
        <v>8</v>
      </c>
      <c r="K280" s="11">
        <v>2016</v>
      </c>
      <c r="L280" s="15"/>
      <c r="M280" s="15"/>
      <c r="N280" s="16"/>
      <c r="O280" s="21"/>
      <c r="R280" s="22" t="s">
        <v>8</v>
      </c>
      <c r="S280">
        <v>2016</v>
      </c>
      <c r="W280" s="23"/>
    </row>
    <row r="281" spans="1:23" x14ac:dyDescent="0.2">
      <c r="A281" s="10" t="s">
        <v>8</v>
      </c>
      <c r="B281" s="24">
        <v>2017</v>
      </c>
      <c r="C281" s="25">
        <f t="shared" si="20"/>
        <v>0</v>
      </c>
      <c r="D281" s="25">
        <f>'O&amp;M, Heat Rates'!$D$8</f>
        <v>40.79</v>
      </c>
      <c r="E281" s="26">
        <f>'O&amp;M, Heat Rates'!$C$8</f>
        <v>4.5199999999999996</v>
      </c>
      <c r="F281" s="26">
        <f>IF(B281&lt;2031,'O&amp;M, Heat Rates'!$E$8-'O&amp;M, Heat Rates'!$G$8*(B281-$B$67),'O&amp;M, Heat Rates'!$F$8)/1000</f>
        <v>8.6379999999999999</v>
      </c>
      <c r="J281" s="20" t="s">
        <v>8</v>
      </c>
      <c r="K281" s="11">
        <v>2017</v>
      </c>
      <c r="L281" s="15"/>
      <c r="M281" s="15"/>
      <c r="N281" s="16"/>
      <c r="O281" s="21"/>
      <c r="R281" s="22" t="s">
        <v>8</v>
      </c>
      <c r="S281">
        <v>2017</v>
      </c>
      <c r="W281" s="23"/>
    </row>
    <row r="282" spans="1:23" x14ac:dyDescent="0.2">
      <c r="A282" s="10" t="s">
        <v>8</v>
      </c>
      <c r="B282" s="24">
        <v>2018</v>
      </c>
      <c r="C282" s="25">
        <f t="shared" si="20"/>
        <v>0</v>
      </c>
      <c r="D282" s="25">
        <f>'O&amp;M, Heat Rates'!$D$8</f>
        <v>40.79</v>
      </c>
      <c r="E282" s="26">
        <f>'O&amp;M, Heat Rates'!$C$8</f>
        <v>4.5199999999999996</v>
      </c>
      <c r="F282" s="26">
        <f>IF(B282&lt;2031,'O&amp;M, Heat Rates'!$E$8-'O&amp;M, Heat Rates'!$G$8*(B282-$B$67),'O&amp;M, Heat Rates'!$F$8)/1000</f>
        <v>8.6379999999999999</v>
      </c>
      <c r="J282" s="20" t="s">
        <v>8</v>
      </c>
      <c r="K282" s="11">
        <v>2018</v>
      </c>
      <c r="L282" s="15"/>
      <c r="M282" s="15"/>
      <c r="N282" s="16"/>
      <c r="O282" s="21"/>
      <c r="R282" s="22" t="s">
        <v>8</v>
      </c>
      <c r="S282">
        <v>2018</v>
      </c>
      <c r="W282" s="23"/>
    </row>
    <row r="283" spans="1:23" x14ac:dyDescent="0.2">
      <c r="A283" s="10" t="s">
        <v>8</v>
      </c>
      <c r="B283" s="24">
        <v>2019</v>
      </c>
      <c r="C283" s="25">
        <f t="shared" si="20"/>
        <v>0</v>
      </c>
      <c r="D283" s="25">
        <f>'O&amp;M, Heat Rates'!$D$8</f>
        <v>40.79</v>
      </c>
      <c r="E283" s="26">
        <f>'O&amp;M, Heat Rates'!$C$8</f>
        <v>4.5199999999999996</v>
      </c>
      <c r="F283" s="26">
        <f>IF(B283&lt;2031,'O&amp;M, Heat Rates'!$E$8-'O&amp;M, Heat Rates'!$G$8*(B283-$B$67),'O&amp;M, Heat Rates'!$F$8)/1000</f>
        <v>8.6379999999999999</v>
      </c>
      <c r="J283" s="20" t="s">
        <v>8</v>
      </c>
      <c r="K283" s="11">
        <v>2019</v>
      </c>
      <c r="L283" s="15"/>
      <c r="M283" s="15"/>
      <c r="N283" s="16"/>
      <c r="O283" s="21"/>
      <c r="R283" s="22" t="s">
        <v>8</v>
      </c>
      <c r="S283">
        <v>2019</v>
      </c>
      <c r="W283" s="23"/>
    </row>
    <row r="284" spans="1:23" x14ac:dyDescent="0.2">
      <c r="A284" s="10" t="s">
        <v>8</v>
      </c>
      <c r="B284" s="24">
        <v>2020</v>
      </c>
      <c r="C284" s="25">
        <f t="shared" si="20"/>
        <v>0</v>
      </c>
      <c r="D284" s="25">
        <f>'O&amp;M, Heat Rates'!$D$8</f>
        <v>40.79</v>
      </c>
      <c r="E284" s="26">
        <f>'O&amp;M, Heat Rates'!$C$8</f>
        <v>4.5199999999999996</v>
      </c>
      <c r="F284" s="26">
        <f>IF(B284&lt;2031,'O&amp;M, Heat Rates'!$E$8-'O&amp;M, Heat Rates'!$G$8*(B284-$B$67),'O&amp;M, Heat Rates'!$F$8)/1000</f>
        <v>8.6379999999999999</v>
      </c>
      <c r="J284" s="20" t="s">
        <v>8</v>
      </c>
      <c r="K284" s="11">
        <v>2020</v>
      </c>
      <c r="L284" s="15"/>
      <c r="M284" s="15"/>
      <c r="N284" s="16"/>
      <c r="O284" s="21"/>
      <c r="R284" s="22" t="s">
        <v>8</v>
      </c>
      <c r="S284">
        <v>2020</v>
      </c>
      <c r="W284" s="23"/>
    </row>
    <row r="285" spans="1:23" x14ac:dyDescent="0.2">
      <c r="A285" s="10" t="s">
        <v>8</v>
      </c>
      <c r="B285" s="24">
        <v>2021</v>
      </c>
      <c r="C285" s="25">
        <f t="shared" si="20"/>
        <v>0</v>
      </c>
      <c r="D285" s="25">
        <f>'O&amp;M, Heat Rates'!$D$8</f>
        <v>40.79</v>
      </c>
      <c r="E285" s="26">
        <f>'O&amp;M, Heat Rates'!$C$8</f>
        <v>4.5199999999999996</v>
      </c>
      <c r="F285" s="26">
        <f>IF(B285&lt;2031,'O&amp;M, Heat Rates'!$E$8-'O&amp;M, Heat Rates'!$G$8*(B285-$B$67),'O&amp;M, Heat Rates'!$F$8)/1000</f>
        <v>8.6379999999999999</v>
      </c>
      <c r="J285" s="20" t="s">
        <v>8</v>
      </c>
      <c r="K285" s="11">
        <v>2021</v>
      </c>
      <c r="L285" s="15"/>
      <c r="M285" s="15"/>
      <c r="N285" s="16"/>
      <c r="O285" s="21"/>
      <c r="R285" s="22" t="s">
        <v>8</v>
      </c>
      <c r="S285">
        <v>2021</v>
      </c>
      <c r="W285" s="23"/>
    </row>
    <row r="286" spans="1:23" x14ac:dyDescent="0.2">
      <c r="A286" s="10" t="s">
        <v>8</v>
      </c>
      <c r="B286" s="24">
        <v>2022</v>
      </c>
      <c r="C286" s="25">
        <f t="shared" si="20"/>
        <v>0</v>
      </c>
      <c r="D286" s="25">
        <f>'O&amp;M, Heat Rates'!$D$8</f>
        <v>40.79</v>
      </c>
      <c r="E286" s="26">
        <f>'O&amp;M, Heat Rates'!$C$8</f>
        <v>4.5199999999999996</v>
      </c>
      <c r="F286" s="26">
        <f>IF(B286&lt;2031,'O&amp;M, Heat Rates'!$E$8-'O&amp;M, Heat Rates'!$G$8*(B286-$B$67),'O&amp;M, Heat Rates'!$F$8)/1000</f>
        <v>8.6379999999999999</v>
      </c>
      <c r="J286" s="20" t="s">
        <v>8</v>
      </c>
      <c r="K286" s="11">
        <v>2022</v>
      </c>
      <c r="L286" s="15"/>
      <c r="M286" s="15"/>
      <c r="N286" s="16"/>
      <c r="O286" s="21"/>
      <c r="R286" s="22" t="s">
        <v>8</v>
      </c>
      <c r="S286">
        <v>2022</v>
      </c>
      <c r="W286" s="23"/>
    </row>
    <row r="287" spans="1:23" x14ac:dyDescent="0.2">
      <c r="A287" s="10" t="s">
        <v>8</v>
      </c>
      <c r="B287" s="24">
        <v>2023</v>
      </c>
      <c r="C287" s="25">
        <f t="shared" si="20"/>
        <v>0</v>
      </c>
      <c r="D287" s="25">
        <f>'O&amp;M, Heat Rates'!$D$8</f>
        <v>40.79</v>
      </c>
      <c r="E287" s="26">
        <f>'O&amp;M, Heat Rates'!$C$8</f>
        <v>4.5199999999999996</v>
      </c>
      <c r="F287" s="26">
        <f>IF(B287&lt;2031,'O&amp;M, Heat Rates'!$E$8-'O&amp;M, Heat Rates'!$G$8*(B287-$B$67),'O&amp;M, Heat Rates'!$F$8)/1000</f>
        <v>8.6379999999999999</v>
      </c>
      <c r="J287" s="20" t="s">
        <v>8</v>
      </c>
      <c r="K287" s="11">
        <v>2023</v>
      </c>
      <c r="L287" s="15"/>
      <c r="M287" s="15"/>
      <c r="N287" s="16"/>
      <c r="O287" s="21"/>
      <c r="R287" s="22" t="s">
        <v>8</v>
      </c>
      <c r="S287">
        <v>2023</v>
      </c>
      <c r="W287" s="23"/>
    </row>
    <row r="288" spans="1:23" x14ac:dyDescent="0.2">
      <c r="A288" s="10" t="s">
        <v>8</v>
      </c>
      <c r="B288" s="24">
        <v>2024</v>
      </c>
      <c r="C288" s="25">
        <f t="shared" si="20"/>
        <v>0</v>
      </c>
      <c r="D288" s="25">
        <f>'O&amp;M, Heat Rates'!$D$8</f>
        <v>40.79</v>
      </c>
      <c r="E288" s="26">
        <f>'O&amp;M, Heat Rates'!$C$8</f>
        <v>4.5199999999999996</v>
      </c>
      <c r="F288" s="26">
        <f>IF(B288&lt;2031,'O&amp;M, Heat Rates'!$E$8-'O&amp;M, Heat Rates'!$G$8*(B288-$B$67),'O&amp;M, Heat Rates'!$F$8)/1000</f>
        <v>8.6379999999999999</v>
      </c>
      <c r="J288" s="20" t="s">
        <v>8</v>
      </c>
      <c r="K288" s="11">
        <v>2024</v>
      </c>
      <c r="L288" s="15"/>
      <c r="M288" s="15"/>
      <c r="N288" s="16"/>
      <c r="O288" s="21"/>
      <c r="R288" s="22" t="s">
        <v>8</v>
      </c>
      <c r="S288">
        <v>2024</v>
      </c>
      <c r="W288" s="23"/>
    </row>
    <row r="289" spans="1:23" x14ac:dyDescent="0.2">
      <c r="A289" s="10" t="s">
        <v>8</v>
      </c>
      <c r="B289" s="24">
        <v>2025</v>
      </c>
      <c r="C289" s="25">
        <f t="shared" si="20"/>
        <v>0</v>
      </c>
      <c r="D289" s="25">
        <f>'O&amp;M, Heat Rates'!$D$8</f>
        <v>40.79</v>
      </c>
      <c r="E289" s="26">
        <f>'O&amp;M, Heat Rates'!$C$8</f>
        <v>4.5199999999999996</v>
      </c>
      <c r="F289" s="26">
        <f>IF(B289&lt;2031,'O&amp;M, Heat Rates'!$E$8-'O&amp;M, Heat Rates'!$G$8*(B289-$B$67),'O&amp;M, Heat Rates'!$F$8)/1000</f>
        <v>8.6379999999999999</v>
      </c>
      <c r="J289" s="20" t="s">
        <v>8</v>
      </c>
      <c r="K289" s="11">
        <v>2025</v>
      </c>
      <c r="L289" s="15"/>
      <c r="M289" s="15"/>
      <c r="N289" s="16"/>
      <c r="O289" s="21"/>
      <c r="R289" s="22" t="s">
        <v>8</v>
      </c>
      <c r="S289">
        <v>2025</v>
      </c>
      <c r="W289" s="23"/>
    </row>
    <row r="290" spans="1:23" x14ac:dyDescent="0.2">
      <c r="A290" s="10" t="s">
        <v>8</v>
      </c>
      <c r="B290" s="24">
        <v>2026</v>
      </c>
      <c r="C290" s="25">
        <f t="shared" si="20"/>
        <v>0</v>
      </c>
      <c r="D290" s="25">
        <f>'O&amp;M, Heat Rates'!$D$8</f>
        <v>40.79</v>
      </c>
      <c r="E290" s="26">
        <f>'O&amp;M, Heat Rates'!$C$8</f>
        <v>4.5199999999999996</v>
      </c>
      <c r="F290" s="26">
        <f>IF(B290&lt;2031,'O&amp;M, Heat Rates'!$E$8-'O&amp;M, Heat Rates'!$G$8*(B290-$B$67),'O&amp;M, Heat Rates'!$F$8)/1000</f>
        <v>8.6379999999999999</v>
      </c>
      <c r="J290" s="20" t="s">
        <v>8</v>
      </c>
      <c r="K290" s="11">
        <v>2026</v>
      </c>
      <c r="L290" s="15"/>
      <c r="M290" s="15"/>
      <c r="N290" s="16"/>
      <c r="O290" s="21"/>
      <c r="R290" s="22" t="s">
        <v>8</v>
      </c>
      <c r="S290">
        <v>2026</v>
      </c>
      <c r="W290" s="23"/>
    </row>
    <row r="291" spans="1:23" x14ac:dyDescent="0.2">
      <c r="A291" s="10" t="s">
        <v>8</v>
      </c>
      <c r="B291" s="24">
        <v>2027</v>
      </c>
      <c r="C291" s="25">
        <f t="shared" si="20"/>
        <v>0</v>
      </c>
      <c r="D291" s="25">
        <f>'O&amp;M, Heat Rates'!$D$8</f>
        <v>40.79</v>
      </c>
      <c r="E291" s="26">
        <f>'O&amp;M, Heat Rates'!$C$8</f>
        <v>4.5199999999999996</v>
      </c>
      <c r="F291" s="26">
        <f>IF(B291&lt;2031,'O&amp;M, Heat Rates'!$E$8-'O&amp;M, Heat Rates'!$G$8*(B291-$B$67),'O&amp;M, Heat Rates'!$F$8)/1000</f>
        <v>8.6379999999999999</v>
      </c>
      <c r="J291" s="20" t="s">
        <v>8</v>
      </c>
      <c r="K291" s="11">
        <v>2027</v>
      </c>
      <c r="L291" s="15"/>
      <c r="M291" s="15"/>
      <c r="N291" s="16"/>
      <c r="O291" s="21"/>
      <c r="R291" s="22" t="s">
        <v>8</v>
      </c>
      <c r="S291">
        <v>2027</v>
      </c>
      <c r="W291" s="23"/>
    </row>
    <row r="292" spans="1:23" x14ac:dyDescent="0.2">
      <c r="A292" s="10" t="s">
        <v>8</v>
      </c>
      <c r="B292" s="24">
        <v>2028</v>
      </c>
      <c r="C292" s="25">
        <f t="shared" si="20"/>
        <v>0</v>
      </c>
      <c r="D292" s="25">
        <f>'O&amp;M, Heat Rates'!$D$8</f>
        <v>40.79</v>
      </c>
      <c r="E292" s="26">
        <f>'O&amp;M, Heat Rates'!$C$8</f>
        <v>4.5199999999999996</v>
      </c>
      <c r="F292" s="26">
        <f>IF(B292&lt;2031,'O&amp;M, Heat Rates'!$E$8-'O&amp;M, Heat Rates'!$G$8*(B292-$B$67),'O&amp;M, Heat Rates'!$F$8)/1000</f>
        <v>8.6379999999999999</v>
      </c>
      <c r="J292" s="20" t="s">
        <v>8</v>
      </c>
      <c r="K292" s="11">
        <v>2028</v>
      </c>
      <c r="L292" s="15"/>
      <c r="M292" s="15"/>
      <c r="N292" s="16"/>
      <c r="O292" s="21"/>
      <c r="R292" s="22" t="s">
        <v>8</v>
      </c>
      <c r="S292">
        <v>2028</v>
      </c>
      <c r="W292" s="23"/>
    </row>
    <row r="293" spans="1:23" x14ac:dyDescent="0.2">
      <c r="A293" s="10" t="s">
        <v>8</v>
      </c>
      <c r="B293" s="24">
        <v>2029</v>
      </c>
      <c r="C293" s="25">
        <f t="shared" si="20"/>
        <v>0</v>
      </c>
      <c r="D293" s="25">
        <f>'O&amp;M, Heat Rates'!$D$8</f>
        <v>40.79</v>
      </c>
      <c r="E293" s="26">
        <f>'O&amp;M, Heat Rates'!$C$8</f>
        <v>4.5199999999999996</v>
      </c>
      <c r="F293" s="26">
        <f>IF(B293&lt;2031,'O&amp;M, Heat Rates'!$E$8-'O&amp;M, Heat Rates'!$G$8*(B293-$B$67),'O&amp;M, Heat Rates'!$F$8)/1000</f>
        <v>8.6379999999999999</v>
      </c>
      <c r="J293" s="20" t="s">
        <v>8</v>
      </c>
      <c r="K293" s="11">
        <v>2029</v>
      </c>
      <c r="L293" s="15"/>
      <c r="M293" s="15"/>
      <c r="N293" s="16"/>
      <c r="O293" s="21"/>
      <c r="R293" s="22" t="s">
        <v>8</v>
      </c>
      <c r="S293">
        <v>2029</v>
      </c>
      <c r="W293" s="23"/>
    </row>
    <row r="294" spans="1:23" x14ac:dyDescent="0.2">
      <c r="A294" s="10" t="s">
        <v>8</v>
      </c>
      <c r="B294" s="24">
        <v>2030</v>
      </c>
      <c r="C294" s="25">
        <f t="shared" si="20"/>
        <v>0</v>
      </c>
      <c r="D294" s="25">
        <f>'O&amp;M, Heat Rates'!$D$8</f>
        <v>40.79</v>
      </c>
      <c r="E294" s="26">
        <f>'O&amp;M, Heat Rates'!$C$8</f>
        <v>4.5199999999999996</v>
      </c>
      <c r="F294" s="26">
        <f>IF(B294&lt;2031,'O&amp;M, Heat Rates'!$E$8-'O&amp;M, Heat Rates'!$G$8*(B294-$B$67),'O&amp;M, Heat Rates'!$F$8)/1000</f>
        <v>8.6379999999999999</v>
      </c>
      <c r="J294" s="20" t="s">
        <v>8</v>
      </c>
      <c r="K294" s="11">
        <v>2030</v>
      </c>
      <c r="L294" s="15"/>
      <c r="M294" s="15"/>
      <c r="N294" s="16"/>
      <c r="O294" s="21"/>
      <c r="R294" s="22" t="s">
        <v>8</v>
      </c>
      <c r="S294">
        <v>2030</v>
      </c>
      <c r="W294" s="23"/>
    </row>
    <row r="295" spans="1:23" x14ac:dyDescent="0.2">
      <c r="A295" s="10" t="s">
        <v>8</v>
      </c>
      <c r="B295" s="24">
        <v>2031</v>
      </c>
      <c r="C295" s="25">
        <f t="shared" si="20"/>
        <v>0</v>
      </c>
      <c r="D295" s="25">
        <f>'O&amp;M, Heat Rates'!$D$8</f>
        <v>40.79</v>
      </c>
      <c r="E295" s="26">
        <f>'O&amp;M, Heat Rates'!$C$8</f>
        <v>4.5199999999999996</v>
      </c>
      <c r="F295" s="26">
        <f>IF(B295&lt;2031,'O&amp;M, Heat Rates'!$E$8-'O&amp;M, Heat Rates'!$G$8*(B295-$B$67),'O&amp;M, Heat Rates'!$F$8)/1000</f>
        <v>8.6379999999999999</v>
      </c>
      <c r="J295" s="20" t="s">
        <v>8</v>
      </c>
      <c r="K295" s="11">
        <v>2031</v>
      </c>
      <c r="L295" s="15"/>
      <c r="M295" s="15"/>
      <c r="N295" s="16"/>
      <c r="O295" s="21"/>
      <c r="R295" s="22" t="s">
        <v>8</v>
      </c>
      <c r="S295">
        <v>2031</v>
      </c>
      <c r="W295" s="23"/>
    </row>
    <row r="296" spans="1:23" x14ac:dyDescent="0.2">
      <c r="A296" s="10" t="s">
        <v>8</v>
      </c>
      <c r="B296" s="24">
        <v>2032</v>
      </c>
      <c r="C296" s="25">
        <f t="shared" si="20"/>
        <v>0</v>
      </c>
      <c r="D296" s="25">
        <f>'O&amp;M, Heat Rates'!$D$8</f>
        <v>40.79</v>
      </c>
      <c r="E296" s="26">
        <f>'O&amp;M, Heat Rates'!$C$8</f>
        <v>4.5199999999999996</v>
      </c>
      <c r="F296" s="26">
        <f>IF(B296&lt;2031,'O&amp;M, Heat Rates'!$E$8-'O&amp;M, Heat Rates'!$G$8*(B296-$B$67),'O&amp;M, Heat Rates'!$F$8)/1000</f>
        <v>8.6379999999999999</v>
      </c>
      <c r="J296" s="20" t="s">
        <v>8</v>
      </c>
      <c r="K296" s="11">
        <v>2032</v>
      </c>
      <c r="L296" s="15"/>
      <c r="M296" s="15"/>
      <c r="N296" s="16"/>
      <c r="O296" s="21"/>
      <c r="R296" s="22" t="s">
        <v>8</v>
      </c>
      <c r="S296">
        <v>2032</v>
      </c>
      <c r="W296" s="23"/>
    </row>
    <row r="297" spans="1:23" x14ac:dyDescent="0.2">
      <c r="A297" s="10" t="s">
        <v>8</v>
      </c>
      <c r="B297" s="24">
        <v>2033</v>
      </c>
      <c r="C297" s="25">
        <f t="shared" si="20"/>
        <v>0</v>
      </c>
      <c r="D297" s="25">
        <f>'O&amp;M, Heat Rates'!$D$8</f>
        <v>40.79</v>
      </c>
      <c r="E297" s="26">
        <f>'O&amp;M, Heat Rates'!$C$8</f>
        <v>4.5199999999999996</v>
      </c>
      <c r="F297" s="26">
        <f>IF(B297&lt;2031,'O&amp;M, Heat Rates'!$E$8-'O&amp;M, Heat Rates'!$G$8*(B297-$B$67),'O&amp;M, Heat Rates'!$F$8)/1000</f>
        <v>8.6379999999999999</v>
      </c>
      <c r="J297" s="20" t="s">
        <v>8</v>
      </c>
      <c r="K297" s="11">
        <v>2033</v>
      </c>
      <c r="L297" s="15"/>
      <c r="M297" s="15"/>
      <c r="N297" s="16"/>
      <c r="O297" s="21"/>
      <c r="R297" s="22" t="s">
        <v>8</v>
      </c>
      <c r="S297">
        <v>2033</v>
      </c>
      <c r="W297" s="23"/>
    </row>
    <row r="298" spans="1:23" x14ac:dyDescent="0.2">
      <c r="A298" s="10" t="s">
        <v>8</v>
      </c>
      <c r="B298" s="24">
        <v>2034</v>
      </c>
      <c r="C298" s="25">
        <f t="shared" si="20"/>
        <v>0</v>
      </c>
      <c r="D298" s="25">
        <f>'O&amp;M, Heat Rates'!$D$8</f>
        <v>40.79</v>
      </c>
      <c r="E298" s="26">
        <f>'O&amp;M, Heat Rates'!$C$8</f>
        <v>4.5199999999999996</v>
      </c>
      <c r="F298" s="26">
        <f>IF(B298&lt;2031,'O&amp;M, Heat Rates'!$E$8-'O&amp;M, Heat Rates'!$G$8*(B298-$B$67),'O&amp;M, Heat Rates'!$F$8)/1000</f>
        <v>8.6379999999999999</v>
      </c>
      <c r="J298" s="20" t="s">
        <v>8</v>
      </c>
      <c r="K298" s="11">
        <v>2034</v>
      </c>
      <c r="L298" s="15"/>
      <c r="M298" s="15"/>
      <c r="N298" s="16"/>
      <c r="O298" s="21"/>
      <c r="R298" s="22" t="s">
        <v>8</v>
      </c>
      <c r="S298">
        <v>2034</v>
      </c>
      <c r="W298" s="23"/>
    </row>
    <row r="299" spans="1:23" x14ac:dyDescent="0.2">
      <c r="A299" s="10" t="s">
        <v>8</v>
      </c>
      <c r="B299" s="24">
        <v>2035</v>
      </c>
      <c r="C299" s="25">
        <f t="shared" si="20"/>
        <v>0</v>
      </c>
      <c r="D299" s="25">
        <f>'O&amp;M, Heat Rates'!$D$8</f>
        <v>40.79</v>
      </c>
      <c r="E299" s="26">
        <f>'O&amp;M, Heat Rates'!$C$8</f>
        <v>4.5199999999999996</v>
      </c>
      <c r="F299" s="26">
        <f>IF(B299&lt;2031,'O&amp;M, Heat Rates'!$E$8-'O&amp;M, Heat Rates'!$G$8*(B299-$B$67),'O&amp;M, Heat Rates'!$F$8)/1000</f>
        <v>8.6379999999999999</v>
      </c>
      <c r="J299" s="20" t="s">
        <v>8</v>
      </c>
      <c r="K299" s="11">
        <v>2035</v>
      </c>
      <c r="L299" s="15"/>
      <c r="M299" s="15"/>
      <c r="N299" s="16"/>
      <c r="O299" s="21"/>
      <c r="R299" s="22" t="s">
        <v>8</v>
      </c>
      <c r="S299">
        <v>2035</v>
      </c>
      <c r="W299" s="23"/>
    </row>
    <row r="300" spans="1:23" x14ac:dyDescent="0.2">
      <c r="A300" s="10" t="s">
        <v>8</v>
      </c>
      <c r="B300" s="24">
        <v>2036</v>
      </c>
      <c r="C300" s="25">
        <f t="shared" si="20"/>
        <v>0</v>
      </c>
      <c r="D300" s="25">
        <f>'O&amp;M, Heat Rates'!$D$8</f>
        <v>40.79</v>
      </c>
      <c r="E300" s="26">
        <f>'O&amp;M, Heat Rates'!$C$8</f>
        <v>4.5199999999999996</v>
      </c>
      <c r="F300" s="26">
        <f>IF(B300&lt;2031,'O&amp;M, Heat Rates'!$E$8-'O&amp;M, Heat Rates'!$G$8*(B300-$B$67),'O&amp;M, Heat Rates'!$F$8)/1000</f>
        <v>8.6379999999999999</v>
      </c>
      <c r="J300" s="20" t="s">
        <v>8</v>
      </c>
      <c r="K300" s="11">
        <v>2036</v>
      </c>
      <c r="L300" s="15"/>
      <c r="M300" s="15"/>
      <c r="N300" s="16"/>
      <c r="O300" s="21"/>
      <c r="R300" s="22" t="s">
        <v>8</v>
      </c>
      <c r="S300">
        <v>2036</v>
      </c>
      <c r="W300" s="23"/>
    </row>
    <row r="301" spans="1:23" x14ac:dyDescent="0.2">
      <c r="A301" s="10" t="s">
        <v>8</v>
      </c>
      <c r="B301" s="24">
        <v>2037</v>
      </c>
      <c r="C301" s="25">
        <f t="shared" si="20"/>
        <v>0</v>
      </c>
      <c r="D301" s="25">
        <f>'O&amp;M, Heat Rates'!$D$8</f>
        <v>40.79</v>
      </c>
      <c r="E301" s="26">
        <f>'O&amp;M, Heat Rates'!$C$8</f>
        <v>4.5199999999999996</v>
      </c>
      <c r="F301" s="26">
        <f>IF(B301&lt;2031,'O&amp;M, Heat Rates'!$E$8-'O&amp;M, Heat Rates'!$G$8*(B301-$B$67),'O&amp;M, Heat Rates'!$F$8)/1000</f>
        <v>8.6379999999999999</v>
      </c>
      <c r="J301" s="20" t="s">
        <v>8</v>
      </c>
      <c r="K301" s="11">
        <v>2037</v>
      </c>
      <c r="L301" s="15"/>
      <c r="M301" s="15"/>
      <c r="N301" s="16"/>
      <c r="O301" s="21"/>
      <c r="R301" s="22" t="s">
        <v>8</v>
      </c>
      <c r="S301">
        <v>2037</v>
      </c>
      <c r="W301" s="23"/>
    </row>
    <row r="302" spans="1:23" x14ac:dyDescent="0.2">
      <c r="A302" s="10" t="s">
        <v>8</v>
      </c>
      <c r="B302" s="24">
        <v>2038</v>
      </c>
      <c r="C302" s="25">
        <f t="shared" si="20"/>
        <v>0</v>
      </c>
      <c r="D302" s="25">
        <f>'O&amp;M, Heat Rates'!$D$8</f>
        <v>40.79</v>
      </c>
      <c r="E302" s="26">
        <f>'O&amp;M, Heat Rates'!$C$8</f>
        <v>4.5199999999999996</v>
      </c>
      <c r="F302" s="26">
        <f>IF(B302&lt;2031,'O&amp;M, Heat Rates'!$E$8-'O&amp;M, Heat Rates'!$G$8*(B302-$B$67),'O&amp;M, Heat Rates'!$F$8)/1000</f>
        <v>8.6379999999999999</v>
      </c>
      <c r="J302" s="20" t="s">
        <v>8</v>
      </c>
      <c r="K302" s="11">
        <v>2038</v>
      </c>
      <c r="L302" s="15"/>
      <c r="M302" s="15"/>
      <c r="N302" s="16"/>
      <c r="O302" s="21"/>
      <c r="R302" s="22" t="s">
        <v>8</v>
      </c>
      <c r="S302">
        <v>2038</v>
      </c>
      <c r="W302" s="23"/>
    </row>
    <row r="303" spans="1:23" x14ac:dyDescent="0.2">
      <c r="A303" s="10" t="s">
        <v>8</v>
      </c>
      <c r="B303" s="24">
        <v>2039</v>
      </c>
      <c r="C303" s="25">
        <f t="shared" si="20"/>
        <v>0</v>
      </c>
      <c r="D303" s="25">
        <f>'O&amp;M, Heat Rates'!$D$8</f>
        <v>40.79</v>
      </c>
      <c r="E303" s="26">
        <f>'O&amp;M, Heat Rates'!$C$8</f>
        <v>4.5199999999999996</v>
      </c>
      <c r="F303" s="26">
        <f>IF(B303&lt;2031,'O&amp;M, Heat Rates'!$E$8-'O&amp;M, Heat Rates'!$G$8*(B303-$B$67),'O&amp;M, Heat Rates'!$F$8)/1000</f>
        <v>8.6379999999999999</v>
      </c>
      <c r="J303" s="20" t="s">
        <v>8</v>
      </c>
      <c r="K303" s="11">
        <v>2039</v>
      </c>
      <c r="L303" s="15"/>
      <c r="M303" s="15"/>
      <c r="N303" s="16"/>
      <c r="O303" s="21"/>
      <c r="R303" s="22" t="s">
        <v>8</v>
      </c>
      <c r="S303">
        <v>2039</v>
      </c>
      <c r="W303" s="23"/>
    </row>
    <row r="304" spans="1:23" x14ac:dyDescent="0.2">
      <c r="A304" s="10" t="s">
        <v>8</v>
      </c>
      <c r="B304" s="24">
        <v>2040</v>
      </c>
      <c r="C304" s="25">
        <f t="shared" si="20"/>
        <v>0</v>
      </c>
      <c r="D304" s="25">
        <f>'O&amp;M, Heat Rates'!$D$8</f>
        <v>40.79</v>
      </c>
      <c r="E304" s="26">
        <f>'O&amp;M, Heat Rates'!$C$8</f>
        <v>4.5199999999999996</v>
      </c>
      <c r="F304" s="26">
        <f>IF(B304&lt;2031,'O&amp;M, Heat Rates'!$E$8-'O&amp;M, Heat Rates'!$G$8*(B304-$B$67),'O&amp;M, Heat Rates'!$F$8)/1000</f>
        <v>8.6379999999999999</v>
      </c>
      <c r="J304" s="20" t="s">
        <v>8</v>
      </c>
      <c r="K304" s="11">
        <v>2040</v>
      </c>
      <c r="L304" s="15"/>
      <c r="M304" s="15"/>
      <c r="N304" s="16"/>
      <c r="O304" s="21"/>
      <c r="R304" s="22" t="s">
        <v>8</v>
      </c>
      <c r="S304">
        <v>2040</v>
      </c>
      <c r="W304" s="23"/>
    </row>
    <row r="305" spans="1:23" x14ac:dyDescent="0.2">
      <c r="A305" s="10" t="s">
        <v>8</v>
      </c>
      <c r="B305" s="24">
        <v>2041</v>
      </c>
      <c r="C305" s="25">
        <f t="shared" si="20"/>
        <v>0</v>
      </c>
      <c r="D305" s="25">
        <f>'O&amp;M, Heat Rates'!$D$8</f>
        <v>40.79</v>
      </c>
      <c r="E305" s="26">
        <f>'O&amp;M, Heat Rates'!$C$8</f>
        <v>4.5199999999999996</v>
      </c>
      <c r="F305" s="26">
        <f>IF(B305&lt;2031,'O&amp;M, Heat Rates'!$E$8-'O&amp;M, Heat Rates'!$G$8*(B305-$B$67),'O&amp;M, Heat Rates'!$F$8)/1000</f>
        <v>8.6379999999999999</v>
      </c>
      <c r="J305" s="20" t="s">
        <v>8</v>
      </c>
      <c r="K305" s="11">
        <v>2041</v>
      </c>
      <c r="L305" s="15"/>
      <c r="M305" s="15"/>
      <c r="N305" s="16"/>
      <c r="O305" s="21"/>
      <c r="R305" s="22" t="s">
        <v>8</v>
      </c>
      <c r="S305">
        <v>2041</v>
      </c>
      <c r="W305" s="23"/>
    </row>
    <row r="306" spans="1:23" x14ac:dyDescent="0.2">
      <c r="A306" s="10" t="s">
        <v>8</v>
      </c>
      <c r="B306" s="24">
        <v>2042</v>
      </c>
      <c r="C306" s="25">
        <f t="shared" si="20"/>
        <v>0</v>
      </c>
      <c r="D306" s="25">
        <f>'O&amp;M, Heat Rates'!$D$8</f>
        <v>40.79</v>
      </c>
      <c r="E306" s="26">
        <f>'O&amp;M, Heat Rates'!$C$8</f>
        <v>4.5199999999999996</v>
      </c>
      <c r="F306" s="26">
        <f>IF(B306&lt;2031,'O&amp;M, Heat Rates'!$E$8-'O&amp;M, Heat Rates'!$G$8*(B306-$B$67),'O&amp;M, Heat Rates'!$F$8)/1000</f>
        <v>8.6379999999999999</v>
      </c>
      <c r="J306" s="20" t="s">
        <v>8</v>
      </c>
      <c r="K306" s="11">
        <v>2042</v>
      </c>
      <c r="L306" s="15"/>
      <c r="M306" s="15"/>
      <c r="N306" s="16"/>
      <c r="O306" s="21"/>
      <c r="R306" s="22" t="s">
        <v>8</v>
      </c>
      <c r="S306">
        <v>2042</v>
      </c>
      <c r="W306" s="23"/>
    </row>
    <row r="307" spans="1:23" x14ac:dyDescent="0.2">
      <c r="A307" s="10" t="s">
        <v>8</v>
      </c>
      <c r="B307" s="24">
        <v>2043</v>
      </c>
      <c r="C307" s="25">
        <f t="shared" si="20"/>
        <v>0</v>
      </c>
      <c r="D307" s="25">
        <f>'O&amp;M, Heat Rates'!$D$8</f>
        <v>40.79</v>
      </c>
      <c r="E307" s="26">
        <f>'O&amp;M, Heat Rates'!$C$8</f>
        <v>4.5199999999999996</v>
      </c>
      <c r="F307" s="26">
        <f>IF(B307&lt;2031,'O&amp;M, Heat Rates'!$E$8-'O&amp;M, Heat Rates'!$G$8*(B307-$B$67),'O&amp;M, Heat Rates'!$F$8)/1000</f>
        <v>8.6379999999999999</v>
      </c>
      <c r="J307" s="20" t="s">
        <v>8</v>
      </c>
      <c r="K307" s="11">
        <v>2043</v>
      </c>
      <c r="L307" s="15"/>
      <c r="M307" s="15"/>
      <c r="N307" s="16"/>
      <c r="O307" s="21"/>
      <c r="R307" s="22" t="s">
        <v>8</v>
      </c>
      <c r="S307">
        <v>2043</v>
      </c>
      <c r="W307" s="23"/>
    </row>
    <row r="308" spans="1:23" x14ac:dyDescent="0.2">
      <c r="A308" s="10" t="s">
        <v>8</v>
      </c>
      <c r="B308" s="24">
        <v>2044</v>
      </c>
      <c r="C308" s="25">
        <f t="shared" si="20"/>
        <v>0</v>
      </c>
      <c r="D308" s="25">
        <f>'O&amp;M, Heat Rates'!$D$8</f>
        <v>40.79</v>
      </c>
      <c r="E308" s="26">
        <f>'O&amp;M, Heat Rates'!$C$8</f>
        <v>4.5199999999999996</v>
      </c>
      <c r="F308" s="26">
        <f>IF(B308&lt;2031,'O&amp;M, Heat Rates'!$E$8-'O&amp;M, Heat Rates'!$G$8*(B308-$B$67),'O&amp;M, Heat Rates'!$F$8)/1000</f>
        <v>8.6379999999999999</v>
      </c>
      <c r="J308" s="20" t="s">
        <v>8</v>
      </c>
      <c r="K308" s="11">
        <v>2044</v>
      </c>
      <c r="L308" s="15"/>
      <c r="M308" s="15"/>
      <c r="N308" s="16"/>
      <c r="O308" s="21"/>
      <c r="R308" s="22" t="s">
        <v>8</v>
      </c>
      <c r="S308">
        <v>2044</v>
      </c>
      <c r="W308" s="23"/>
    </row>
    <row r="309" spans="1:23" x14ac:dyDescent="0.2">
      <c r="A309" s="10" t="s">
        <v>8</v>
      </c>
      <c r="B309" s="24">
        <v>2045</v>
      </c>
      <c r="C309" s="25">
        <f t="shared" si="20"/>
        <v>0</v>
      </c>
      <c r="D309" s="25">
        <f>'O&amp;M, Heat Rates'!$D$8</f>
        <v>40.79</v>
      </c>
      <c r="E309" s="26">
        <f>'O&amp;M, Heat Rates'!$C$8</f>
        <v>4.5199999999999996</v>
      </c>
      <c r="F309" s="26">
        <f>IF(B309&lt;2031,'O&amp;M, Heat Rates'!$E$8-'O&amp;M, Heat Rates'!$G$8*(B309-$B$67),'O&amp;M, Heat Rates'!$F$8)/1000</f>
        <v>8.6379999999999999</v>
      </c>
      <c r="J309" s="20" t="s">
        <v>8</v>
      </c>
      <c r="K309" s="11">
        <v>2045</v>
      </c>
      <c r="L309" s="15"/>
      <c r="M309" s="15"/>
      <c r="N309" s="16"/>
      <c r="O309" s="21"/>
      <c r="R309" s="22" t="s">
        <v>8</v>
      </c>
      <c r="S309">
        <v>2045</v>
      </c>
      <c r="W309" s="23"/>
    </row>
    <row r="310" spans="1:23" x14ac:dyDescent="0.2">
      <c r="A310" s="10" t="s">
        <v>8</v>
      </c>
      <c r="B310" s="24">
        <v>2046</v>
      </c>
      <c r="C310" s="25">
        <f t="shared" si="20"/>
        <v>0</v>
      </c>
      <c r="D310" s="25">
        <f>'O&amp;M, Heat Rates'!$D$8</f>
        <v>40.79</v>
      </c>
      <c r="E310" s="26">
        <f>'O&amp;M, Heat Rates'!$C$8</f>
        <v>4.5199999999999996</v>
      </c>
      <c r="F310" s="26">
        <f>IF(B310&lt;2031,'O&amp;M, Heat Rates'!$E$8-'O&amp;M, Heat Rates'!$G$8*(B310-$B$67),'O&amp;M, Heat Rates'!$F$8)/1000</f>
        <v>8.6379999999999999</v>
      </c>
      <c r="J310" s="20" t="s">
        <v>8</v>
      </c>
      <c r="K310" s="11">
        <v>2046</v>
      </c>
      <c r="L310" s="15"/>
      <c r="M310" s="15"/>
      <c r="N310" s="16"/>
      <c r="O310" s="21"/>
      <c r="R310" s="22" t="s">
        <v>8</v>
      </c>
      <c r="S310">
        <v>2046</v>
      </c>
      <c r="W310" s="23"/>
    </row>
    <row r="311" spans="1:23" x14ac:dyDescent="0.2">
      <c r="A311" s="10" t="s">
        <v>8</v>
      </c>
      <c r="B311" s="24">
        <v>2047</v>
      </c>
      <c r="C311" s="25">
        <f t="shared" si="20"/>
        <v>0</v>
      </c>
      <c r="D311" s="25">
        <f>'O&amp;M, Heat Rates'!$D$8</f>
        <v>40.79</v>
      </c>
      <c r="E311" s="26">
        <f>'O&amp;M, Heat Rates'!$C$8</f>
        <v>4.5199999999999996</v>
      </c>
      <c r="F311" s="26">
        <f>IF(B311&lt;2031,'O&amp;M, Heat Rates'!$E$8-'O&amp;M, Heat Rates'!$G$8*(B311-$B$67),'O&amp;M, Heat Rates'!$F$8)/1000</f>
        <v>8.6379999999999999</v>
      </c>
      <c r="J311" s="20" t="s">
        <v>8</v>
      </c>
      <c r="K311" s="11">
        <v>2047</v>
      </c>
      <c r="L311" s="15"/>
      <c r="M311" s="15"/>
      <c r="N311" s="16"/>
      <c r="O311" s="21"/>
      <c r="R311" s="22" t="s">
        <v>8</v>
      </c>
      <c r="S311">
        <v>2047</v>
      </c>
      <c r="W311" s="23"/>
    </row>
    <row r="312" spans="1:23" x14ac:dyDescent="0.2">
      <c r="A312" s="10" t="s">
        <v>8</v>
      </c>
      <c r="B312" s="24">
        <v>2048</v>
      </c>
      <c r="C312" s="25">
        <f t="shared" si="20"/>
        <v>0</v>
      </c>
      <c r="D312" s="25">
        <f>'O&amp;M, Heat Rates'!$D$8</f>
        <v>40.79</v>
      </c>
      <c r="E312" s="26">
        <f>'O&amp;M, Heat Rates'!$C$8</f>
        <v>4.5199999999999996</v>
      </c>
      <c r="F312" s="26">
        <f>IF(B312&lt;2031,'O&amp;M, Heat Rates'!$E$8-'O&amp;M, Heat Rates'!$G$8*(B312-$B$67),'O&amp;M, Heat Rates'!$F$8)/1000</f>
        <v>8.6379999999999999</v>
      </c>
      <c r="J312" s="20" t="s">
        <v>8</v>
      </c>
      <c r="K312" s="11">
        <v>2048</v>
      </c>
      <c r="L312" s="15"/>
      <c r="M312" s="15"/>
      <c r="N312" s="16"/>
      <c r="O312" s="21"/>
      <c r="R312" s="22" t="s">
        <v>8</v>
      </c>
      <c r="S312">
        <v>2048</v>
      </c>
      <c r="W312" s="23"/>
    </row>
    <row r="313" spans="1:23" x14ac:dyDescent="0.2">
      <c r="A313" s="10" t="s">
        <v>8</v>
      </c>
      <c r="B313" s="24">
        <v>2049</v>
      </c>
      <c r="C313" s="25">
        <f t="shared" si="20"/>
        <v>0</v>
      </c>
      <c r="D313" s="25">
        <f>'O&amp;M, Heat Rates'!$D$8</f>
        <v>40.79</v>
      </c>
      <c r="E313" s="26">
        <f>'O&amp;M, Heat Rates'!$C$8</f>
        <v>4.5199999999999996</v>
      </c>
      <c r="F313" s="26">
        <f>IF(B313&lt;2031,'O&amp;M, Heat Rates'!$E$8-'O&amp;M, Heat Rates'!$G$8*(B313-$B$67),'O&amp;M, Heat Rates'!$F$8)/1000</f>
        <v>8.6379999999999999</v>
      </c>
      <c r="J313" s="20" t="s">
        <v>8</v>
      </c>
      <c r="K313" s="11">
        <v>2049</v>
      </c>
      <c r="L313" s="15"/>
      <c r="M313" s="15"/>
      <c r="N313" s="16"/>
      <c r="O313" s="21"/>
      <c r="R313" s="22" t="s">
        <v>8</v>
      </c>
      <c r="S313">
        <v>2049</v>
      </c>
      <c r="W313" s="23"/>
    </row>
    <row r="314" spans="1:23" x14ac:dyDescent="0.2">
      <c r="A314" s="10" t="s">
        <v>8</v>
      </c>
      <c r="B314" s="24">
        <v>2050</v>
      </c>
      <c r="C314" s="25">
        <f t="shared" si="20"/>
        <v>0</v>
      </c>
      <c r="D314" s="25">
        <f>'O&amp;M, Heat Rates'!$D$8</f>
        <v>40.79</v>
      </c>
      <c r="E314" s="26">
        <f>'O&amp;M, Heat Rates'!$C$8</f>
        <v>4.5199999999999996</v>
      </c>
      <c r="F314" s="26">
        <f>IF(B314&lt;2031,'O&amp;M, Heat Rates'!$E$8-'O&amp;M, Heat Rates'!$G$8*(B314-$B$67),'O&amp;M, Heat Rates'!$F$8)/1000</f>
        <v>8.6379999999999999</v>
      </c>
      <c r="J314" s="20" t="s">
        <v>8</v>
      </c>
      <c r="K314" s="11">
        <v>2050</v>
      </c>
      <c r="L314" s="15"/>
      <c r="M314" s="15"/>
      <c r="N314" s="16"/>
      <c r="O314" s="21"/>
      <c r="R314" s="22" t="s">
        <v>8</v>
      </c>
      <c r="S314">
        <v>2050</v>
      </c>
      <c r="W314" s="23"/>
    </row>
    <row r="315" spans="1:23" x14ac:dyDescent="0.2">
      <c r="A315" s="10" t="s">
        <v>9</v>
      </c>
      <c r="B315" s="24">
        <v>2010</v>
      </c>
      <c r="C315" s="25">
        <f t="shared" si="20"/>
        <v>0</v>
      </c>
      <c r="D315" s="25">
        <f>'O&amp;M, Heat Rates'!$D$9</f>
        <v>57.079944361820196</v>
      </c>
      <c r="E315" s="26">
        <f>'O&amp;M, Heat Rates'!$C$9</f>
        <v>8.0225267333529597</v>
      </c>
      <c r="F315" s="26">
        <v>9.3249999999999993</v>
      </c>
      <c r="J315" s="20" t="s">
        <v>9</v>
      </c>
      <c r="K315" s="11">
        <v>2010</v>
      </c>
      <c r="L315" s="15"/>
      <c r="M315" s="15"/>
      <c r="N315" s="16"/>
      <c r="O315" s="21"/>
      <c r="R315" s="22" t="s">
        <v>9</v>
      </c>
      <c r="S315">
        <v>2010</v>
      </c>
      <c r="W315" s="23"/>
    </row>
    <row r="316" spans="1:23" x14ac:dyDescent="0.2">
      <c r="A316" s="10" t="s">
        <v>9</v>
      </c>
      <c r="B316" s="24">
        <v>2011</v>
      </c>
      <c r="C316" s="25">
        <f t="shared" si="20"/>
        <v>0</v>
      </c>
      <c r="D316" s="25">
        <f>'O&amp;M, Heat Rates'!$D$9</f>
        <v>57.079944361820196</v>
      </c>
      <c r="E316" s="26">
        <f>'O&amp;M, Heat Rates'!$C$9</f>
        <v>8.0225267333529597</v>
      </c>
      <c r="F316" s="26">
        <v>9.2357142857142858</v>
      </c>
      <c r="J316" s="20" t="s">
        <v>9</v>
      </c>
      <c r="K316" s="11">
        <v>2011</v>
      </c>
      <c r="L316" s="15"/>
      <c r="M316" s="15"/>
      <c r="N316" s="16"/>
      <c r="O316" s="21"/>
      <c r="R316" s="22" t="s">
        <v>9</v>
      </c>
      <c r="S316">
        <v>2011</v>
      </c>
      <c r="W316" s="23"/>
    </row>
    <row r="317" spans="1:23" x14ac:dyDescent="0.2">
      <c r="A317" s="10" t="s">
        <v>9</v>
      </c>
      <c r="B317" s="24">
        <v>2012</v>
      </c>
      <c r="C317" s="25">
        <f t="shared" si="20"/>
        <v>0</v>
      </c>
      <c r="D317" s="25">
        <f>'O&amp;M, Heat Rates'!$D$9</f>
        <v>57.079944361820196</v>
      </c>
      <c r="E317" s="26">
        <f>'O&amp;M, Heat Rates'!$C$9</f>
        <v>8.0225267333529597</v>
      </c>
      <c r="F317" s="26">
        <v>9.1464285714285705</v>
      </c>
      <c r="J317" s="20" t="s">
        <v>9</v>
      </c>
      <c r="K317" s="11">
        <v>2012</v>
      </c>
      <c r="L317" s="15"/>
      <c r="M317" s="15"/>
      <c r="N317" s="16"/>
      <c r="O317" s="21"/>
      <c r="R317" s="22" t="s">
        <v>9</v>
      </c>
      <c r="S317">
        <v>2012</v>
      </c>
      <c r="W317" s="23"/>
    </row>
    <row r="318" spans="1:23" x14ac:dyDescent="0.2">
      <c r="A318" s="10" t="s">
        <v>9</v>
      </c>
      <c r="B318" s="24">
        <v>2013</v>
      </c>
      <c r="C318" s="25">
        <f t="shared" si="20"/>
        <v>0</v>
      </c>
      <c r="D318" s="25">
        <f>'O&amp;M, Heat Rates'!$D$9</f>
        <v>57.079944361820196</v>
      </c>
      <c r="E318" s="26">
        <f>'O&amp;M, Heat Rates'!$C$9</f>
        <v>8.0225267333529597</v>
      </c>
      <c r="F318" s="26">
        <v>9.0571428571428569</v>
      </c>
      <c r="J318" s="20" t="s">
        <v>9</v>
      </c>
      <c r="K318" s="11">
        <v>2013</v>
      </c>
      <c r="L318" s="15"/>
      <c r="M318" s="15"/>
      <c r="N318" s="16"/>
      <c r="O318" s="21"/>
      <c r="R318" s="22" t="s">
        <v>9</v>
      </c>
      <c r="S318">
        <v>2013</v>
      </c>
      <c r="W318" s="23"/>
    </row>
    <row r="319" spans="1:23" x14ac:dyDescent="0.2">
      <c r="A319" s="10" t="s">
        <v>9</v>
      </c>
      <c r="B319" s="24">
        <v>2014</v>
      </c>
      <c r="C319" s="25">
        <f t="shared" si="20"/>
        <v>0</v>
      </c>
      <c r="D319" s="25">
        <f>'O&amp;M, Heat Rates'!$D$9</f>
        <v>57.079944361820196</v>
      </c>
      <c r="E319" s="26">
        <f>'O&amp;M, Heat Rates'!$C$9</f>
        <v>8.0225267333529597</v>
      </c>
      <c r="F319" s="26">
        <v>8.9678571428571434</v>
      </c>
      <c r="J319" s="20" t="s">
        <v>9</v>
      </c>
      <c r="K319" s="11">
        <v>2014</v>
      </c>
      <c r="L319" s="15"/>
      <c r="M319" s="15"/>
      <c r="N319" s="16"/>
      <c r="O319" s="21"/>
      <c r="R319" s="22" t="s">
        <v>9</v>
      </c>
      <c r="S319">
        <v>2014</v>
      </c>
      <c r="W319" s="23"/>
    </row>
    <row r="320" spans="1:23" x14ac:dyDescent="0.2">
      <c r="A320" s="10" t="s">
        <v>9</v>
      </c>
      <c r="B320" s="24">
        <v>2015</v>
      </c>
      <c r="C320" s="25">
        <f t="shared" si="20"/>
        <v>0</v>
      </c>
      <c r="D320" s="25">
        <f>'O&amp;M, Heat Rates'!$D$9</f>
        <v>57.079944361820196</v>
      </c>
      <c r="E320" s="26">
        <f>'O&amp;M, Heat Rates'!$C$9</f>
        <v>8.0225267333529597</v>
      </c>
      <c r="F320" s="26">
        <v>8.8785714285714299</v>
      </c>
      <c r="J320" s="20" t="s">
        <v>9</v>
      </c>
      <c r="K320" s="11">
        <v>2015</v>
      </c>
      <c r="L320" s="15"/>
      <c r="M320" s="15"/>
      <c r="N320" s="16"/>
      <c r="O320" s="21"/>
      <c r="R320" s="22" t="s">
        <v>9</v>
      </c>
      <c r="S320">
        <v>2015</v>
      </c>
      <c r="W320" s="23"/>
    </row>
    <row r="321" spans="1:23" x14ac:dyDescent="0.2">
      <c r="A321" s="10" t="s">
        <v>9</v>
      </c>
      <c r="B321" s="24">
        <v>2016</v>
      </c>
      <c r="C321" s="25">
        <f t="shared" si="20"/>
        <v>0</v>
      </c>
      <c r="D321" s="25">
        <f>'O&amp;M, Heat Rates'!$D$9</f>
        <v>57.079944361820196</v>
      </c>
      <c r="E321" s="26">
        <f>'O&amp;M, Heat Rates'!$C$9</f>
        <v>8.0225267333529597</v>
      </c>
      <c r="F321" s="26">
        <v>8.7892857142857146</v>
      </c>
      <c r="J321" s="20" t="s">
        <v>9</v>
      </c>
      <c r="K321" s="11">
        <v>2016</v>
      </c>
      <c r="L321" s="15"/>
      <c r="M321" s="15"/>
      <c r="N321" s="16"/>
      <c r="O321" s="21"/>
      <c r="R321" s="22" t="s">
        <v>9</v>
      </c>
      <c r="S321">
        <v>2016</v>
      </c>
      <c r="W321" s="23"/>
    </row>
    <row r="322" spans="1:23" x14ac:dyDescent="0.2">
      <c r="A322" s="10" t="s">
        <v>9</v>
      </c>
      <c r="B322" s="24">
        <v>2017</v>
      </c>
      <c r="C322" s="25">
        <f t="shared" si="20"/>
        <v>0</v>
      </c>
      <c r="D322" s="25">
        <f>'O&amp;M, Heat Rates'!$D$9</f>
        <v>57.079944361820196</v>
      </c>
      <c r="E322" s="26">
        <f>'O&amp;M, Heat Rates'!$C$9</f>
        <v>8.0225267333529597</v>
      </c>
      <c r="F322" s="26">
        <f>IF(B322&lt;2031,'O&amp;M, Heat Rates'!$E$9-'O&amp;M, Heat Rates'!$G$9*(B322-$B$67),'O&amp;M, Heat Rates'!$F$9)/1000</f>
        <v>8.9272727272727277</v>
      </c>
      <c r="J322" s="20" t="s">
        <v>9</v>
      </c>
      <c r="K322" s="11">
        <v>2017</v>
      </c>
      <c r="L322" s="15"/>
      <c r="M322" s="15"/>
      <c r="N322" s="16"/>
      <c r="O322" s="21"/>
      <c r="R322" s="22" t="s">
        <v>9</v>
      </c>
      <c r="S322">
        <v>2017</v>
      </c>
      <c r="W322" s="23"/>
    </row>
    <row r="323" spans="1:23" x14ac:dyDescent="0.2">
      <c r="A323" s="10" t="s">
        <v>9</v>
      </c>
      <c r="B323" s="24">
        <v>2018</v>
      </c>
      <c r="C323" s="25">
        <f t="shared" si="20"/>
        <v>0</v>
      </c>
      <c r="D323" s="25">
        <f>'O&amp;M, Heat Rates'!$D$9</f>
        <v>57.079944361820196</v>
      </c>
      <c r="E323" s="26">
        <f>'O&amp;M, Heat Rates'!$C$9</f>
        <v>8.0225267333529597</v>
      </c>
      <c r="F323" s="26">
        <f>IF(B323&lt;2031,'O&amp;M, Heat Rates'!$E$9-'O&amp;M, Heat Rates'!$G$9*(B323-$B$67),'O&amp;M, Heat Rates'!$F$9)/1000</f>
        <v>8.8136363636363644</v>
      </c>
      <c r="J323" s="20" t="s">
        <v>9</v>
      </c>
      <c r="K323" s="11">
        <v>2018</v>
      </c>
      <c r="L323" s="15"/>
      <c r="M323" s="15"/>
      <c r="N323" s="16"/>
      <c r="O323" s="21"/>
      <c r="R323" s="22" t="s">
        <v>9</v>
      </c>
      <c r="S323">
        <v>2018</v>
      </c>
      <c r="W323" s="23"/>
    </row>
    <row r="324" spans="1:23" x14ac:dyDescent="0.2">
      <c r="A324" s="10" t="s">
        <v>9</v>
      </c>
      <c r="B324" s="24">
        <v>2019</v>
      </c>
      <c r="C324" s="25">
        <f t="shared" si="20"/>
        <v>0</v>
      </c>
      <c r="D324" s="25">
        <f>'O&amp;M, Heat Rates'!$D$9</f>
        <v>57.079944361820196</v>
      </c>
      <c r="E324" s="26">
        <f>'O&amp;M, Heat Rates'!$C$9</f>
        <v>8.0225267333529597</v>
      </c>
      <c r="F324" s="26">
        <f>IF(B324&lt;2031,'O&amp;M, Heat Rates'!$E$9-'O&amp;M, Heat Rates'!$G$9*(B324-$B$67),'O&amp;M, Heat Rates'!$F$9)/1000</f>
        <v>8.6999999999999993</v>
      </c>
      <c r="J324" s="20" t="s">
        <v>9</v>
      </c>
      <c r="K324" s="11">
        <v>2019</v>
      </c>
      <c r="L324" s="15"/>
      <c r="M324" s="15"/>
      <c r="N324" s="16"/>
      <c r="O324" s="21"/>
      <c r="R324" s="22" t="s">
        <v>9</v>
      </c>
      <c r="S324">
        <v>2019</v>
      </c>
      <c r="W324" s="23"/>
    </row>
    <row r="325" spans="1:23" x14ac:dyDescent="0.2">
      <c r="A325" s="10" t="s">
        <v>9</v>
      </c>
      <c r="B325" s="24">
        <v>2020</v>
      </c>
      <c r="C325" s="25">
        <f t="shared" ref="C325:C388" si="21">VLOOKUP(A325,$A$45:$AP$61,VLOOKUP(B325,$Z$69:$AA$109,2,FALSE),FALSE)</f>
        <v>0</v>
      </c>
      <c r="D325" s="25">
        <f>'O&amp;M, Heat Rates'!$D$9</f>
        <v>57.079944361820196</v>
      </c>
      <c r="E325" s="26">
        <f>'O&amp;M, Heat Rates'!$C$9</f>
        <v>8.0225267333529597</v>
      </c>
      <c r="F325" s="26">
        <f>IF(B325&lt;2031,'O&amp;M, Heat Rates'!$E$9-'O&amp;M, Heat Rates'!$G$9*(B325-$B$67),'O&amp;M, Heat Rates'!$F$9)/1000</f>
        <v>8.586363636363636</v>
      </c>
      <c r="J325" s="20" t="s">
        <v>9</v>
      </c>
      <c r="K325" s="11">
        <v>2020</v>
      </c>
      <c r="L325" s="15"/>
      <c r="M325" s="15"/>
      <c r="N325" s="16"/>
      <c r="O325" s="21"/>
      <c r="R325" s="22" t="s">
        <v>9</v>
      </c>
      <c r="S325">
        <v>2020</v>
      </c>
      <c r="W325" s="23"/>
    </row>
    <row r="326" spans="1:23" x14ac:dyDescent="0.2">
      <c r="A326" s="10" t="s">
        <v>9</v>
      </c>
      <c r="B326" s="24">
        <v>2021</v>
      </c>
      <c r="C326" s="25">
        <f t="shared" si="21"/>
        <v>0</v>
      </c>
      <c r="D326" s="25">
        <f>'O&amp;M, Heat Rates'!$D$9</f>
        <v>57.079944361820196</v>
      </c>
      <c r="E326" s="26">
        <f>'O&amp;M, Heat Rates'!$C$9</f>
        <v>8.0225267333529597</v>
      </c>
      <c r="F326" s="26">
        <f>IF(B326&lt;2031,'O&amp;M, Heat Rates'!$E$9-'O&amp;M, Heat Rates'!$G$9*(B326-$B$67),'O&amp;M, Heat Rates'!$F$9)/1000</f>
        <v>8.4727272727272727</v>
      </c>
      <c r="J326" s="20" t="s">
        <v>9</v>
      </c>
      <c r="K326" s="11">
        <v>2021</v>
      </c>
      <c r="L326" s="15"/>
      <c r="M326" s="15"/>
      <c r="N326" s="16"/>
      <c r="O326" s="21"/>
      <c r="R326" s="22" t="s">
        <v>9</v>
      </c>
      <c r="S326">
        <v>2021</v>
      </c>
      <c r="W326" s="23"/>
    </row>
    <row r="327" spans="1:23" x14ac:dyDescent="0.2">
      <c r="A327" s="10" t="s">
        <v>9</v>
      </c>
      <c r="B327" s="24">
        <v>2022</v>
      </c>
      <c r="C327" s="25">
        <f t="shared" si="21"/>
        <v>0</v>
      </c>
      <c r="D327" s="25">
        <f>'O&amp;M, Heat Rates'!$D$9</f>
        <v>57.079944361820196</v>
      </c>
      <c r="E327" s="26">
        <f>'O&amp;M, Heat Rates'!$C$9</f>
        <v>8.0225267333529597</v>
      </c>
      <c r="F327" s="26">
        <f>IF(B327&lt;2031,'O&amp;M, Heat Rates'!$E$9-'O&amp;M, Heat Rates'!$G$9*(B327-$B$67),'O&amp;M, Heat Rates'!$F$9)/1000</f>
        <v>8.3590909090909093</v>
      </c>
      <c r="J327" s="20" t="s">
        <v>9</v>
      </c>
      <c r="K327" s="11">
        <v>2022</v>
      </c>
      <c r="L327" s="15"/>
      <c r="M327" s="15"/>
      <c r="N327" s="16"/>
      <c r="O327" s="21"/>
      <c r="R327" s="22" t="s">
        <v>9</v>
      </c>
      <c r="S327">
        <v>2022</v>
      </c>
      <c r="W327" s="23"/>
    </row>
    <row r="328" spans="1:23" x14ac:dyDescent="0.2">
      <c r="A328" s="10" t="s">
        <v>9</v>
      </c>
      <c r="B328" s="24">
        <v>2023</v>
      </c>
      <c r="C328" s="25">
        <f t="shared" si="21"/>
        <v>0</v>
      </c>
      <c r="D328" s="25">
        <f>'O&amp;M, Heat Rates'!$D$9</f>
        <v>57.079944361820196</v>
      </c>
      <c r="E328" s="26">
        <f>'O&amp;M, Heat Rates'!$C$9</f>
        <v>8.0225267333529597</v>
      </c>
      <c r="F328" s="26">
        <f>IF(B328&lt;2031,'O&amp;M, Heat Rates'!$E$9-'O&amp;M, Heat Rates'!$G$9*(B328-$B$67),'O&amp;M, Heat Rates'!$F$9)/1000</f>
        <v>8.245454545454546</v>
      </c>
      <c r="J328" s="20" t="s">
        <v>9</v>
      </c>
      <c r="K328" s="11">
        <v>2023</v>
      </c>
      <c r="L328" s="15"/>
      <c r="M328" s="15"/>
      <c r="N328" s="16"/>
      <c r="O328" s="21"/>
      <c r="R328" s="22" t="s">
        <v>9</v>
      </c>
      <c r="S328">
        <v>2023</v>
      </c>
      <c r="W328" s="23"/>
    </row>
    <row r="329" spans="1:23" x14ac:dyDescent="0.2">
      <c r="A329" s="10" t="s">
        <v>9</v>
      </c>
      <c r="B329" s="24">
        <v>2024</v>
      </c>
      <c r="C329" s="25">
        <f t="shared" si="21"/>
        <v>0</v>
      </c>
      <c r="D329" s="25">
        <f>'O&amp;M, Heat Rates'!$D$9</f>
        <v>57.079944361820196</v>
      </c>
      <c r="E329" s="26">
        <f>'O&amp;M, Heat Rates'!$C$9</f>
        <v>8.0225267333529597</v>
      </c>
      <c r="F329" s="26">
        <f>IF(B329&lt;2031,'O&amp;M, Heat Rates'!$E$9-'O&amp;M, Heat Rates'!$G$9*(B329-$B$67),'O&amp;M, Heat Rates'!$F$9)/1000</f>
        <v>8.1318181818181827</v>
      </c>
      <c r="J329" s="20" t="s">
        <v>9</v>
      </c>
      <c r="K329" s="11">
        <v>2024</v>
      </c>
      <c r="L329" s="15"/>
      <c r="M329" s="15"/>
      <c r="N329" s="16"/>
      <c r="O329" s="21"/>
      <c r="R329" s="22" t="s">
        <v>9</v>
      </c>
      <c r="S329">
        <v>2024</v>
      </c>
      <c r="W329" s="23"/>
    </row>
    <row r="330" spans="1:23" x14ac:dyDescent="0.2">
      <c r="A330" s="10" t="s">
        <v>9</v>
      </c>
      <c r="B330" s="24">
        <v>2025</v>
      </c>
      <c r="C330" s="25">
        <f t="shared" si="21"/>
        <v>0</v>
      </c>
      <c r="D330" s="25">
        <f>'O&amp;M, Heat Rates'!$D$9</f>
        <v>57.079944361820196</v>
      </c>
      <c r="E330" s="26">
        <f>'O&amp;M, Heat Rates'!$C$9</f>
        <v>8.0225267333529597</v>
      </c>
      <c r="F330" s="26">
        <f>IF(B330&lt;2031,'O&amp;M, Heat Rates'!$E$9-'O&amp;M, Heat Rates'!$G$9*(B330-$B$67),'O&amp;M, Heat Rates'!$F$9)/1000</f>
        <v>8.0181818181818176</v>
      </c>
      <c r="J330" s="20" t="s">
        <v>9</v>
      </c>
      <c r="K330" s="11">
        <v>2025</v>
      </c>
      <c r="L330" s="15"/>
      <c r="M330" s="15"/>
      <c r="N330" s="16"/>
      <c r="O330" s="21"/>
      <c r="R330" s="22" t="s">
        <v>9</v>
      </c>
      <c r="S330">
        <v>2025</v>
      </c>
      <c r="W330" s="23"/>
    </row>
    <row r="331" spans="1:23" x14ac:dyDescent="0.2">
      <c r="A331" s="10" t="s">
        <v>9</v>
      </c>
      <c r="B331" s="24">
        <v>2026</v>
      </c>
      <c r="C331" s="25">
        <f t="shared" si="21"/>
        <v>0</v>
      </c>
      <c r="D331" s="25">
        <f>'O&amp;M, Heat Rates'!$D$9</f>
        <v>57.079944361820196</v>
      </c>
      <c r="E331" s="26">
        <f>'O&amp;M, Heat Rates'!$C$9</f>
        <v>8.0225267333529597</v>
      </c>
      <c r="F331" s="26">
        <f>IF(B331&lt;2031,'O&amp;M, Heat Rates'!$E$9-'O&amp;M, Heat Rates'!$G$9*(B331-$B$67),'O&amp;M, Heat Rates'!$F$9)/1000</f>
        <v>7.9045454545454543</v>
      </c>
      <c r="J331" s="20" t="s">
        <v>9</v>
      </c>
      <c r="K331" s="11">
        <v>2026</v>
      </c>
      <c r="L331" s="15"/>
      <c r="M331" s="15"/>
      <c r="N331" s="16"/>
      <c r="O331" s="21"/>
      <c r="R331" s="22" t="s">
        <v>9</v>
      </c>
      <c r="S331">
        <v>2026</v>
      </c>
      <c r="W331" s="23"/>
    </row>
    <row r="332" spans="1:23" x14ac:dyDescent="0.2">
      <c r="A332" s="10" t="s">
        <v>9</v>
      </c>
      <c r="B332" s="24">
        <v>2027</v>
      </c>
      <c r="C332" s="25">
        <f t="shared" si="21"/>
        <v>0</v>
      </c>
      <c r="D332" s="25">
        <f>'O&amp;M, Heat Rates'!$D$9</f>
        <v>57.079944361820196</v>
      </c>
      <c r="E332" s="26">
        <f>'O&amp;M, Heat Rates'!$C$9</f>
        <v>8.0225267333529597</v>
      </c>
      <c r="F332" s="26">
        <f>IF(B332&lt;2031,'O&amp;M, Heat Rates'!$E$9-'O&amp;M, Heat Rates'!$G$9*(B332-$B$67),'O&amp;M, Heat Rates'!$F$9)/1000</f>
        <v>7.790909090909091</v>
      </c>
      <c r="J332" s="20" t="s">
        <v>9</v>
      </c>
      <c r="K332" s="11">
        <v>2027</v>
      </c>
      <c r="L332" s="15"/>
      <c r="M332" s="15"/>
      <c r="N332" s="16"/>
      <c r="O332" s="21"/>
      <c r="R332" s="22" t="s">
        <v>9</v>
      </c>
      <c r="S332">
        <v>2027</v>
      </c>
      <c r="W332" s="23"/>
    </row>
    <row r="333" spans="1:23" x14ac:dyDescent="0.2">
      <c r="A333" s="10" t="s">
        <v>9</v>
      </c>
      <c r="B333" s="24">
        <v>2028</v>
      </c>
      <c r="C333" s="25">
        <f t="shared" si="21"/>
        <v>0</v>
      </c>
      <c r="D333" s="25">
        <f>'O&amp;M, Heat Rates'!$D$9</f>
        <v>57.079944361820196</v>
      </c>
      <c r="E333" s="26">
        <f>'O&amp;M, Heat Rates'!$C$9</f>
        <v>8.0225267333529597</v>
      </c>
      <c r="F333" s="26">
        <f>IF(B333&lt;2031,'O&amp;M, Heat Rates'!$E$9-'O&amp;M, Heat Rates'!$G$9*(B333-$B$67),'O&amp;M, Heat Rates'!$F$9)/1000</f>
        <v>7.6772727272727268</v>
      </c>
      <c r="J333" s="20" t="s">
        <v>9</v>
      </c>
      <c r="K333" s="11">
        <v>2028</v>
      </c>
      <c r="L333" s="15"/>
      <c r="M333" s="15"/>
      <c r="N333" s="16"/>
      <c r="O333" s="21"/>
      <c r="R333" s="22" t="s">
        <v>9</v>
      </c>
      <c r="S333">
        <v>2028</v>
      </c>
      <c r="W333" s="23"/>
    </row>
    <row r="334" spans="1:23" x14ac:dyDescent="0.2">
      <c r="A334" s="10" t="s">
        <v>9</v>
      </c>
      <c r="B334" s="24">
        <v>2029</v>
      </c>
      <c r="C334" s="25">
        <f t="shared" si="21"/>
        <v>0</v>
      </c>
      <c r="D334" s="25">
        <f>'O&amp;M, Heat Rates'!$D$9</f>
        <v>57.079944361820196</v>
      </c>
      <c r="E334" s="26">
        <f>'O&amp;M, Heat Rates'!$C$9</f>
        <v>8.0225267333529597</v>
      </c>
      <c r="F334" s="26">
        <f>IF(B334&lt;2031,'O&amp;M, Heat Rates'!$E$9-'O&amp;M, Heat Rates'!$G$9*(B334-$B$67),'O&amp;M, Heat Rates'!$F$9)/1000</f>
        <v>7.5636363636363644</v>
      </c>
      <c r="J334" s="20" t="s">
        <v>9</v>
      </c>
      <c r="K334" s="11">
        <v>2029</v>
      </c>
      <c r="L334" s="15"/>
      <c r="M334" s="15"/>
      <c r="N334" s="16"/>
      <c r="O334" s="21"/>
      <c r="R334" s="22" t="s">
        <v>9</v>
      </c>
      <c r="S334">
        <v>2029</v>
      </c>
      <c r="W334" s="23"/>
    </row>
    <row r="335" spans="1:23" x14ac:dyDescent="0.2">
      <c r="A335" s="10" t="s">
        <v>9</v>
      </c>
      <c r="B335" s="24">
        <v>2030</v>
      </c>
      <c r="C335" s="25">
        <f t="shared" si="21"/>
        <v>0</v>
      </c>
      <c r="D335" s="25">
        <f>'O&amp;M, Heat Rates'!$D$9</f>
        <v>57.079944361820196</v>
      </c>
      <c r="E335" s="26">
        <f>'O&amp;M, Heat Rates'!$C$9</f>
        <v>8.0225267333529597</v>
      </c>
      <c r="F335" s="26">
        <f>IF(B335&lt;2031,'O&amp;M, Heat Rates'!$E$9-'O&amp;M, Heat Rates'!$G$9*(B335-$B$67),'O&amp;M, Heat Rates'!$F$9)/1000</f>
        <v>7.45</v>
      </c>
      <c r="J335" s="20" t="s">
        <v>9</v>
      </c>
      <c r="K335" s="11">
        <v>2030</v>
      </c>
      <c r="L335" s="15"/>
      <c r="M335" s="15"/>
      <c r="N335" s="16"/>
      <c r="O335" s="21"/>
      <c r="R335" s="22" t="s">
        <v>9</v>
      </c>
      <c r="S335">
        <v>2030</v>
      </c>
      <c r="W335" s="23"/>
    </row>
    <row r="336" spans="1:23" x14ac:dyDescent="0.2">
      <c r="A336" s="10" t="s">
        <v>9</v>
      </c>
      <c r="B336" s="24">
        <v>2031</v>
      </c>
      <c r="C336" s="25">
        <f t="shared" si="21"/>
        <v>0</v>
      </c>
      <c r="D336" s="25">
        <f>'O&amp;M, Heat Rates'!$D$9</f>
        <v>57.079944361820196</v>
      </c>
      <c r="E336" s="26">
        <f>'O&amp;M, Heat Rates'!$C$9</f>
        <v>8.0225267333529597</v>
      </c>
      <c r="F336" s="26">
        <f>IF(B336&lt;2031,'O&amp;M, Heat Rates'!$E$9-'O&amp;M, Heat Rates'!$G$9*(B336-$B$67),'O&amp;M, Heat Rates'!$F$9)/1000</f>
        <v>7.45</v>
      </c>
      <c r="J336" s="20" t="s">
        <v>9</v>
      </c>
      <c r="K336" s="11">
        <v>2031</v>
      </c>
      <c r="L336" s="15"/>
      <c r="M336" s="15"/>
      <c r="N336" s="16"/>
      <c r="O336" s="21"/>
      <c r="R336" s="22" t="s">
        <v>9</v>
      </c>
      <c r="S336">
        <v>2031</v>
      </c>
      <c r="W336" s="23"/>
    </row>
    <row r="337" spans="1:23" x14ac:dyDescent="0.2">
      <c r="A337" s="10" t="s">
        <v>9</v>
      </c>
      <c r="B337" s="24">
        <v>2032</v>
      </c>
      <c r="C337" s="25">
        <f t="shared" si="21"/>
        <v>0</v>
      </c>
      <c r="D337" s="25">
        <f>'O&amp;M, Heat Rates'!$D$9</f>
        <v>57.079944361820196</v>
      </c>
      <c r="E337" s="26">
        <f>'O&amp;M, Heat Rates'!$C$9</f>
        <v>8.0225267333529597</v>
      </c>
      <c r="F337" s="26">
        <f>IF(B337&lt;2031,'O&amp;M, Heat Rates'!$E$9-'O&amp;M, Heat Rates'!$G$9*(B337-$B$67),'O&amp;M, Heat Rates'!$F$9)/1000</f>
        <v>7.45</v>
      </c>
      <c r="J337" s="20" t="s">
        <v>9</v>
      </c>
      <c r="K337" s="11">
        <v>2032</v>
      </c>
      <c r="L337" s="15"/>
      <c r="M337" s="15"/>
      <c r="N337" s="16"/>
      <c r="O337" s="21"/>
      <c r="R337" s="22" t="s">
        <v>9</v>
      </c>
      <c r="S337">
        <v>2032</v>
      </c>
      <c r="W337" s="23"/>
    </row>
    <row r="338" spans="1:23" x14ac:dyDescent="0.2">
      <c r="A338" s="10" t="s">
        <v>9</v>
      </c>
      <c r="B338" s="24">
        <v>2033</v>
      </c>
      <c r="C338" s="25">
        <f t="shared" si="21"/>
        <v>0</v>
      </c>
      <c r="D338" s="25">
        <f>'O&amp;M, Heat Rates'!$D$9</f>
        <v>57.079944361820196</v>
      </c>
      <c r="E338" s="26">
        <f>'O&amp;M, Heat Rates'!$C$9</f>
        <v>8.0225267333529597</v>
      </c>
      <c r="F338" s="26">
        <f>IF(B338&lt;2031,'O&amp;M, Heat Rates'!$E$9-'O&amp;M, Heat Rates'!$G$9*(B338-$B$67),'O&amp;M, Heat Rates'!$F$9)/1000</f>
        <v>7.45</v>
      </c>
      <c r="J338" s="20" t="s">
        <v>9</v>
      </c>
      <c r="K338" s="11">
        <v>2033</v>
      </c>
      <c r="L338" s="15"/>
      <c r="M338" s="15"/>
      <c r="N338" s="16"/>
      <c r="O338" s="21"/>
      <c r="R338" s="22" t="s">
        <v>9</v>
      </c>
      <c r="S338">
        <v>2033</v>
      </c>
      <c r="W338" s="23"/>
    </row>
    <row r="339" spans="1:23" x14ac:dyDescent="0.2">
      <c r="A339" s="10" t="s">
        <v>9</v>
      </c>
      <c r="B339" s="24">
        <v>2034</v>
      </c>
      <c r="C339" s="25">
        <f t="shared" si="21"/>
        <v>0</v>
      </c>
      <c r="D339" s="25">
        <f>'O&amp;M, Heat Rates'!$D$9</f>
        <v>57.079944361820196</v>
      </c>
      <c r="E339" s="26">
        <f>'O&amp;M, Heat Rates'!$C$9</f>
        <v>8.0225267333529597</v>
      </c>
      <c r="F339" s="26">
        <f>IF(B339&lt;2031,'O&amp;M, Heat Rates'!$E$9-'O&amp;M, Heat Rates'!$G$9*(B339-$B$67),'O&amp;M, Heat Rates'!$F$9)/1000</f>
        <v>7.45</v>
      </c>
      <c r="J339" s="20" t="s">
        <v>9</v>
      </c>
      <c r="K339" s="11">
        <v>2034</v>
      </c>
      <c r="L339" s="15"/>
      <c r="M339" s="15"/>
      <c r="N339" s="16"/>
      <c r="O339" s="21"/>
      <c r="R339" s="22" t="s">
        <v>9</v>
      </c>
      <c r="S339">
        <v>2034</v>
      </c>
      <c r="W339" s="23"/>
    </row>
    <row r="340" spans="1:23" x14ac:dyDescent="0.2">
      <c r="A340" s="10" t="s">
        <v>9</v>
      </c>
      <c r="B340" s="24">
        <v>2035</v>
      </c>
      <c r="C340" s="25">
        <f t="shared" si="21"/>
        <v>0</v>
      </c>
      <c r="D340" s="25">
        <f>'O&amp;M, Heat Rates'!$D$9</f>
        <v>57.079944361820196</v>
      </c>
      <c r="E340" s="26">
        <f>'O&amp;M, Heat Rates'!$C$9</f>
        <v>8.0225267333529597</v>
      </c>
      <c r="F340" s="26">
        <f>IF(B340&lt;2031,'O&amp;M, Heat Rates'!$E$9-'O&amp;M, Heat Rates'!$G$9*(B340-$B$67),'O&amp;M, Heat Rates'!$F$9)/1000</f>
        <v>7.45</v>
      </c>
      <c r="J340" s="20" t="s">
        <v>9</v>
      </c>
      <c r="K340" s="11">
        <v>2035</v>
      </c>
      <c r="L340" s="15"/>
      <c r="M340" s="15"/>
      <c r="N340" s="16"/>
      <c r="O340" s="21"/>
      <c r="R340" s="22" t="s">
        <v>9</v>
      </c>
      <c r="S340">
        <v>2035</v>
      </c>
      <c r="W340" s="23"/>
    </row>
    <row r="341" spans="1:23" x14ac:dyDescent="0.2">
      <c r="A341" s="10" t="s">
        <v>9</v>
      </c>
      <c r="B341" s="24">
        <v>2036</v>
      </c>
      <c r="C341" s="25">
        <f t="shared" si="21"/>
        <v>0</v>
      </c>
      <c r="D341" s="25">
        <f>'O&amp;M, Heat Rates'!$D$9</f>
        <v>57.079944361820196</v>
      </c>
      <c r="E341" s="26">
        <f>'O&amp;M, Heat Rates'!$C$9</f>
        <v>8.0225267333529597</v>
      </c>
      <c r="F341" s="26">
        <f>IF(B341&lt;2031,'O&amp;M, Heat Rates'!$E$9-'O&amp;M, Heat Rates'!$G$9*(B341-$B$67),'O&amp;M, Heat Rates'!$F$9)/1000</f>
        <v>7.45</v>
      </c>
      <c r="J341" s="20" t="s">
        <v>9</v>
      </c>
      <c r="K341" s="11">
        <v>2036</v>
      </c>
      <c r="L341" s="15"/>
      <c r="M341" s="15"/>
      <c r="N341" s="16"/>
      <c r="O341" s="21"/>
      <c r="R341" s="22" t="s">
        <v>9</v>
      </c>
      <c r="S341">
        <v>2036</v>
      </c>
      <c r="W341" s="23"/>
    </row>
    <row r="342" spans="1:23" x14ac:dyDescent="0.2">
      <c r="A342" s="10" t="s">
        <v>9</v>
      </c>
      <c r="B342" s="24">
        <v>2037</v>
      </c>
      <c r="C342" s="25">
        <f t="shared" si="21"/>
        <v>0</v>
      </c>
      <c r="D342" s="25">
        <f>'O&amp;M, Heat Rates'!$D$9</f>
        <v>57.079944361820196</v>
      </c>
      <c r="E342" s="26">
        <f>'O&amp;M, Heat Rates'!$C$9</f>
        <v>8.0225267333529597</v>
      </c>
      <c r="F342" s="26">
        <f>IF(B342&lt;2031,'O&amp;M, Heat Rates'!$E$9-'O&amp;M, Heat Rates'!$G$9*(B342-$B$67),'O&amp;M, Heat Rates'!$F$9)/1000</f>
        <v>7.45</v>
      </c>
      <c r="J342" s="20" t="s">
        <v>9</v>
      </c>
      <c r="K342" s="11">
        <v>2037</v>
      </c>
      <c r="L342" s="15"/>
      <c r="M342" s="15"/>
      <c r="N342" s="16"/>
      <c r="O342" s="21"/>
      <c r="R342" s="22" t="s">
        <v>9</v>
      </c>
      <c r="S342">
        <v>2037</v>
      </c>
      <c r="W342" s="23"/>
    </row>
    <row r="343" spans="1:23" x14ac:dyDescent="0.2">
      <c r="A343" s="10" t="s">
        <v>9</v>
      </c>
      <c r="B343" s="24">
        <v>2038</v>
      </c>
      <c r="C343" s="25">
        <f t="shared" si="21"/>
        <v>0</v>
      </c>
      <c r="D343" s="25">
        <f>'O&amp;M, Heat Rates'!$D$9</f>
        <v>57.079944361820196</v>
      </c>
      <c r="E343" s="26">
        <f>'O&amp;M, Heat Rates'!$C$9</f>
        <v>8.0225267333529597</v>
      </c>
      <c r="F343" s="26">
        <f>IF(B343&lt;2031,'O&amp;M, Heat Rates'!$E$9-'O&amp;M, Heat Rates'!$G$9*(B343-$B$67),'O&amp;M, Heat Rates'!$F$9)/1000</f>
        <v>7.45</v>
      </c>
      <c r="J343" s="20" t="s">
        <v>9</v>
      </c>
      <c r="K343" s="11">
        <v>2038</v>
      </c>
      <c r="L343" s="15"/>
      <c r="M343" s="15"/>
      <c r="N343" s="16"/>
      <c r="O343" s="21"/>
      <c r="R343" s="22" t="s">
        <v>9</v>
      </c>
      <c r="S343">
        <v>2038</v>
      </c>
      <c r="W343" s="23"/>
    </row>
    <row r="344" spans="1:23" x14ac:dyDescent="0.2">
      <c r="A344" s="10" t="s">
        <v>9</v>
      </c>
      <c r="B344" s="24">
        <v>2039</v>
      </c>
      <c r="C344" s="25">
        <f t="shared" si="21"/>
        <v>0</v>
      </c>
      <c r="D344" s="25">
        <f>'O&amp;M, Heat Rates'!$D$9</f>
        <v>57.079944361820196</v>
      </c>
      <c r="E344" s="26">
        <f>'O&amp;M, Heat Rates'!$C$9</f>
        <v>8.0225267333529597</v>
      </c>
      <c r="F344" s="26">
        <f>IF(B344&lt;2031,'O&amp;M, Heat Rates'!$E$9-'O&amp;M, Heat Rates'!$G$9*(B344-$B$67),'O&amp;M, Heat Rates'!$F$9)/1000</f>
        <v>7.45</v>
      </c>
      <c r="J344" s="20" t="s">
        <v>9</v>
      </c>
      <c r="K344" s="11">
        <v>2039</v>
      </c>
      <c r="L344" s="15"/>
      <c r="M344" s="15"/>
      <c r="N344" s="16"/>
      <c r="O344" s="21"/>
      <c r="R344" s="22" t="s">
        <v>9</v>
      </c>
      <c r="S344">
        <v>2039</v>
      </c>
      <c r="W344" s="23"/>
    </row>
    <row r="345" spans="1:23" x14ac:dyDescent="0.2">
      <c r="A345" s="10" t="s">
        <v>9</v>
      </c>
      <c r="B345" s="24">
        <v>2040</v>
      </c>
      <c r="C345" s="25">
        <f t="shared" si="21"/>
        <v>0</v>
      </c>
      <c r="D345" s="25">
        <f>'O&amp;M, Heat Rates'!$D$9</f>
        <v>57.079944361820196</v>
      </c>
      <c r="E345" s="26">
        <f>'O&amp;M, Heat Rates'!$C$9</f>
        <v>8.0225267333529597</v>
      </c>
      <c r="F345" s="26">
        <f>IF(B345&lt;2031,'O&amp;M, Heat Rates'!$E$9-'O&amp;M, Heat Rates'!$G$9*(B345-$B$67),'O&amp;M, Heat Rates'!$F$9)/1000</f>
        <v>7.45</v>
      </c>
      <c r="J345" s="20" t="s">
        <v>9</v>
      </c>
      <c r="K345" s="11">
        <v>2040</v>
      </c>
      <c r="L345" s="15"/>
      <c r="M345" s="15"/>
      <c r="N345" s="16"/>
      <c r="O345" s="21"/>
      <c r="R345" s="22" t="s">
        <v>9</v>
      </c>
      <c r="S345">
        <v>2040</v>
      </c>
      <c r="W345" s="23"/>
    </row>
    <row r="346" spans="1:23" x14ac:dyDescent="0.2">
      <c r="A346" s="10" t="s">
        <v>9</v>
      </c>
      <c r="B346" s="24">
        <v>2041</v>
      </c>
      <c r="C346" s="25">
        <f t="shared" si="21"/>
        <v>0</v>
      </c>
      <c r="D346" s="25">
        <f>'O&amp;M, Heat Rates'!$D$9</f>
        <v>57.079944361820196</v>
      </c>
      <c r="E346" s="26">
        <f>'O&amp;M, Heat Rates'!$C$9</f>
        <v>8.0225267333529597</v>
      </c>
      <c r="F346" s="26">
        <f>IF(B346&lt;2031,'O&amp;M, Heat Rates'!$E$9-'O&amp;M, Heat Rates'!$G$9*(B346-$B$67),'O&amp;M, Heat Rates'!$F$9)/1000</f>
        <v>7.45</v>
      </c>
      <c r="J346" s="20" t="s">
        <v>9</v>
      </c>
      <c r="K346" s="11">
        <v>2041</v>
      </c>
      <c r="L346" s="15"/>
      <c r="M346" s="15"/>
      <c r="N346" s="16"/>
      <c r="O346" s="21"/>
      <c r="R346" s="22" t="s">
        <v>9</v>
      </c>
      <c r="S346">
        <v>2041</v>
      </c>
      <c r="W346" s="23"/>
    </row>
    <row r="347" spans="1:23" x14ac:dyDescent="0.2">
      <c r="A347" s="10" t="s">
        <v>9</v>
      </c>
      <c r="B347" s="24">
        <v>2042</v>
      </c>
      <c r="C347" s="25">
        <f t="shared" si="21"/>
        <v>0</v>
      </c>
      <c r="D347" s="25">
        <f>'O&amp;M, Heat Rates'!$D$9</f>
        <v>57.079944361820196</v>
      </c>
      <c r="E347" s="26">
        <f>'O&amp;M, Heat Rates'!$C$9</f>
        <v>8.0225267333529597</v>
      </c>
      <c r="F347" s="26">
        <f>IF(B347&lt;2031,'O&amp;M, Heat Rates'!$E$9-'O&amp;M, Heat Rates'!$G$9*(B347-$B$67),'O&amp;M, Heat Rates'!$F$9)/1000</f>
        <v>7.45</v>
      </c>
      <c r="J347" s="20" t="s">
        <v>9</v>
      </c>
      <c r="K347" s="11">
        <v>2042</v>
      </c>
      <c r="L347" s="15"/>
      <c r="M347" s="15"/>
      <c r="N347" s="16"/>
      <c r="O347" s="21"/>
      <c r="R347" s="22" t="s">
        <v>9</v>
      </c>
      <c r="S347">
        <v>2042</v>
      </c>
      <c r="W347" s="23"/>
    </row>
    <row r="348" spans="1:23" x14ac:dyDescent="0.2">
      <c r="A348" s="10" t="s">
        <v>9</v>
      </c>
      <c r="B348" s="24">
        <v>2043</v>
      </c>
      <c r="C348" s="25">
        <f t="shared" si="21"/>
        <v>0</v>
      </c>
      <c r="D348" s="25">
        <f>'O&amp;M, Heat Rates'!$D$9</f>
        <v>57.079944361820196</v>
      </c>
      <c r="E348" s="26">
        <f>'O&amp;M, Heat Rates'!$C$9</f>
        <v>8.0225267333529597</v>
      </c>
      <c r="F348" s="26">
        <f>IF(B348&lt;2031,'O&amp;M, Heat Rates'!$E$9-'O&amp;M, Heat Rates'!$G$9*(B348-$B$67),'O&amp;M, Heat Rates'!$F$9)/1000</f>
        <v>7.45</v>
      </c>
      <c r="J348" s="20" t="s">
        <v>9</v>
      </c>
      <c r="K348" s="11">
        <v>2043</v>
      </c>
      <c r="L348" s="15"/>
      <c r="M348" s="15"/>
      <c r="N348" s="16"/>
      <c r="O348" s="21"/>
      <c r="R348" s="22" t="s">
        <v>9</v>
      </c>
      <c r="S348">
        <v>2043</v>
      </c>
      <c r="W348" s="23"/>
    </row>
    <row r="349" spans="1:23" x14ac:dyDescent="0.2">
      <c r="A349" s="10" t="s">
        <v>9</v>
      </c>
      <c r="B349" s="24">
        <v>2044</v>
      </c>
      <c r="C349" s="25">
        <f t="shared" si="21"/>
        <v>0</v>
      </c>
      <c r="D349" s="25">
        <f>'O&amp;M, Heat Rates'!$D$9</f>
        <v>57.079944361820196</v>
      </c>
      <c r="E349" s="26">
        <f>'O&amp;M, Heat Rates'!$C$9</f>
        <v>8.0225267333529597</v>
      </c>
      <c r="F349" s="26">
        <f>IF(B349&lt;2031,'O&amp;M, Heat Rates'!$E$9-'O&amp;M, Heat Rates'!$G$9*(B349-$B$67),'O&amp;M, Heat Rates'!$F$9)/1000</f>
        <v>7.45</v>
      </c>
      <c r="J349" s="20" t="s">
        <v>9</v>
      </c>
      <c r="K349" s="11">
        <v>2044</v>
      </c>
      <c r="L349" s="15"/>
      <c r="M349" s="15"/>
      <c r="N349" s="16"/>
      <c r="O349" s="21"/>
      <c r="R349" s="22" t="s">
        <v>9</v>
      </c>
      <c r="S349">
        <v>2044</v>
      </c>
      <c r="W349" s="23"/>
    </row>
    <row r="350" spans="1:23" x14ac:dyDescent="0.2">
      <c r="A350" s="10" t="s">
        <v>9</v>
      </c>
      <c r="B350" s="24">
        <v>2045</v>
      </c>
      <c r="C350" s="25">
        <f t="shared" si="21"/>
        <v>0</v>
      </c>
      <c r="D350" s="25">
        <f>'O&amp;M, Heat Rates'!$D$9</f>
        <v>57.079944361820196</v>
      </c>
      <c r="E350" s="26">
        <f>'O&amp;M, Heat Rates'!$C$9</f>
        <v>8.0225267333529597</v>
      </c>
      <c r="F350" s="26">
        <f>IF(B350&lt;2031,'O&amp;M, Heat Rates'!$E$9-'O&amp;M, Heat Rates'!$G$9*(B350-$B$67),'O&amp;M, Heat Rates'!$F$9)/1000</f>
        <v>7.45</v>
      </c>
      <c r="J350" s="20" t="s">
        <v>9</v>
      </c>
      <c r="K350" s="11">
        <v>2045</v>
      </c>
      <c r="L350" s="15"/>
      <c r="M350" s="15"/>
      <c r="N350" s="16"/>
      <c r="O350" s="21"/>
      <c r="R350" s="22" t="s">
        <v>9</v>
      </c>
      <c r="S350">
        <v>2045</v>
      </c>
      <c r="W350" s="23"/>
    </row>
    <row r="351" spans="1:23" x14ac:dyDescent="0.2">
      <c r="A351" s="10" t="s">
        <v>9</v>
      </c>
      <c r="B351" s="24">
        <v>2046</v>
      </c>
      <c r="C351" s="25">
        <f t="shared" si="21"/>
        <v>0</v>
      </c>
      <c r="D351" s="25">
        <f>'O&amp;M, Heat Rates'!$D$9</f>
        <v>57.079944361820196</v>
      </c>
      <c r="E351" s="26">
        <f>'O&amp;M, Heat Rates'!$C$9</f>
        <v>8.0225267333529597</v>
      </c>
      <c r="F351" s="26">
        <f>IF(B351&lt;2031,'O&amp;M, Heat Rates'!$E$9-'O&amp;M, Heat Rates'!$G$9*(B351-$B$67),'O&amp;M, Heat Rates'!$F$9)/1000</f>
        <v>7.45</v>
      </c>
      <c r="J351" s="20" t="s">
        <v>9</v>
      </c>
      <c r="K351" s="11">
        <v>2046</v>
      </c>
      <c r="L351" s="15"/>
      <c r="M351" s="15"/>
      <c r="N351" s="16"/>
      <c r="O351" s="21"/>
      <c r="R351" s="22" t="s">
        <v>9</v>
      </c>
      <c r="S351">
        <v>2046</v>
      </c>
      <c r="W351" s="23"/>
    </row>
    <row r="352" spans="1:23" x14ac:dyDescent="0.2">
      <c r="A352" s="10" t="s">
        <v>9</v>
      </c>
      <c r="B352" s="24">
        <v>2047</v>
      </c>
      <c r="C352" s="25">
        <f t="shared" si="21"/>
        <v>0</v>
      </c>
      <c r="D352" s="25">
        <f>'O&amp;M, Heat Rates'!$D$9</f>
        <v>57.079944361820196</v>
      </c>
      <c r="E352" s="26">
        <f>'O&amp;M, Heat Rates'!$C$9</f>
        <v>8.0225267333529597</v>
      </c>
      <c r="F352" s="26">
        <f>IF(B352&lt;2031,'O&amp;M, Heat Rates'!$E$9-'O&amp;M, Heat Rates'!$G$9*(B352-$B$67),'O&amp;M, Heat Rates'!$F$9)/1000</f>
        <v>7.45</v>
      </c>
      <c r="J352" s="20" t="s">
        <v>9</v>
      </c>
      <c r="K352" s="11">
        <v>2047</v>
      </c>
      <c r="L352" s="15"/>
      <c r="M352" s="15"/>
      <c r="N352" s="16"/>
      <c r="O352" s="21"/>
      <c r="R352" s="22" t="s">
        <v>9</v>
      </c>
      <c r="S352">
        <v>2047</v>
      </c>
      <c r="W352" s="23"/>
    </row>
    <row r="353" spans="1:23" x14ac:dyDescent="0.2">
      <c r="A353" s="10" t="s">
        <v>9</v>
      </c>
      <c r="B353" s="24">
        <v>2048</v>
      </c>
      <c r="C353" s="25">
        <f t="shared" si="21"/>
        <v>0</v>
      </c>
      <c r="D353" s="25">
        <f>'O&amp;M, Heat Rates'!$D$9</f>
        <v>57.079944361820196</v>
      </c>
      <c r="E353" s="26">
        <f>'O&amp;M, Heat Rates'!$C$9</f>
        <v>8.0225267333529597</v>
      </c>
      <c r="F353" s="26">
        <f>IF(B353&lt;2031,'O&amp;M, Heat Rates'!$E$9-'O&amp;M, Heat Rates'!$G$9*(B353-$B$67),'O&amp;M, Heat Rates'!$F$9)/1000</f>
        <v>7.45</v>
      </c>
      <c r="J353" s="20" t="s">
        <v>9</v>
      </c>
      <c r="K353" s="11">
        <v>2048</v>
      </c>
      <c r="L353" s="15"/>
      <c r="M353" s="15"/>
      <c r="N353" s="16"/>
      <c r="O353" s="21"/>
      <c r="R353" s="22" t="s">
        <v>9</v>
      </c>
      <c r="S353">
        <v>2048</v>
      </c>
      <c r="W353" s="23"/>
    </row>
    <row r="354" spans="1:23" x14ac:dyDescent="0.2">
      <c r="A354" s="10" t="s">
        <v>9</v>
      </c>
      <c r="B354" s="24">
        <v>2049</v>
      </c>
      <c r="C354" s="25">
        <f t="shared" si="21"/>
        <v>0</v>
      </c>
      <c r="D354" s="25">
        <f>'O&amp;M, Heat Rates'!$D$9</f>
        <v>57.079944361820196</v>
      </c>
      <c r="E354" s="26">
        <f>'O&amp;M, Heat Rates'!$C$9</f>
        <v>8.0225267333529597</v>
      </c>
      <c r="F354" s="26">
        <f>IF(B354&lt;2031,'O&amp;M, Heat Rates'!$E$9-'O&amp;M, Heat Rates'!$G$9*(B354-$B$67),'O&amp;M, Heat Rates'!$F$9)/1000</f>
        <v>7.45</v>
      </c>
      <c r="J354" s="20" t="s">
        <v>9</v>
      </c>
      <c r="K354" s="11">
        <v>2049</v>
      </c>
      <c r="L354" s="15"/>
      <c r="M354" s="15"/>
      <c r="N354" s="16"/>
      <c r="O354" s="21"/>
      <c r="R354" s="22" t="s">
        <v>9</v>
      </c>
      <c r="S354">
        <v>2049</v>
      </c>
      <c r="W354" s="23"/>
    </row>
    <row r="355" spans="1:23" x14ac:dyDescent="0.2">
      <c r="A355" s="10" t="s">
        <v>9</v>
      </c>
      <c r="B355" s="24">
        <v>2050</v>
      </c>
      <c r="C355" s="25">
        <f t="shared" si="21"/>
        <v>0</v>
      </c>
      <c r="D355" s="25">
        <f>'O&amp;M, Heat Rates'!$D$9</f>
        <v>57.079944361820196</v>
      </c>
      <c r="E355" s="26">
        <f>'O&amp;M, Heat Rates'!$C$9</f>
        <v>8.0225267333529597</v>
      </c>
      <c r="F355" s="26">
        <f>IF(B355&lt;2031,'O&amp;M, Heat Rates'!$E$9-'O&amp;M, Heat Rates'!$G$9*(B355-$B$67),'O&amp;M, Heat Rates'!$F$9)/1000</f>
        <v>7.45</v>
      </c>
      <c r="J355" s="20" t="s">
        <v>9</v>
      </c>
      <c r="K355" s="11">
        <v>2050</v>
      </c>
      <c r="L355" s="15"/>
      <c r="M355" s="15"/>
      <c r="N355" s="16"/>
      <c r="O355" s="21"/>
      <c r="R355" s="22" t="s">
        <v>9</v>
      </c>
      <c r="S355">
        <v>2050</v>
      </c>
      <c r="W355" s="23"/>
    </row>
    <row r="356" spans="1:23" x14ac:dyDescent="0.2">
      <c r="A356" s="12" t="s">
        <v>10</v>
      </c>
      <c r="B356" s="24">
        <v>2010</v>
      </c>
      <c r="C356" s="25">
        <f t="shared" si="21"/>
        <v>0</v>
      </c>
      <c r="D356" s="25">
        <f>'O&amp;M, Heat Rates'!$D$10</f>
        <v>59.85</v>
      </c>
      <c r="E356" s="26">
        <f>'O&amp;M, Heat Rates'!$C$10</f>
        <v>11.03</v>
      </c>
      <c r="F356" s="26">
        <v>12.846500000000001</v>
      </c>
      <c r="J356" s="20" t="s">
        <v>10</v>
      </c>
      <c r="K356" s="11">
        <v>2010</v>
      </c>
      <c r="L356" s="15"/>
      <c r="M356" s="15"/>
      <c r="N356" s="16"/>
      <c r="O356" s="21"/>
      <c r="R356" s="22" t="s">
        <v>10</v>
      </c>
      <c r="S356">
        <v>2010</v>
      </c>
      <c r="W356" s="23"/>
    </row>
    <row r="357" spans="1:23" x14ac:dyDescent="0.2">
      <c r="A357" s="12" t="s">
        <v>10</v>
      </c>
      <c r="B357" s="24">
        <v>2011</v>
      </c>
      <c r="C357" s="25">
        <f t="shared" si="21"/>
        <v>0</v>
      </c>
      <c r="D357" s="25">
        <f>'O&amp;M, Heat Rates'!$D$10</f>
        <v>59.85</v>
      </c>
      <c r="E357" s="26">
        <f>'O&amp;M, Heat Rates'!$C$10</f>
        <v>11.03</v>
      </c>
      <c r="F357" s="26">
        <v>12.675571428571427</v>
      </c>
      <c r="J357" s="20" t="s">
        <v>10</v>
      </c>
      <c r="K357" s="11">
        <v>2011</v>
      </c>
      <c r="L357" s="15"/>
      <c r="M357" s="15"/>
      <c r="N357" s="16"/>
      <c r="O357" s="21"/>
      <c r="R357" s="22" t="s">
        <v>10</v>
      </c>
      <c r="S357">
        <v>2011</v>
      </c>
      <c r="W357" s="23"/>
    </row>
    <row r="358" spans="1:23" x14ac:dyDescent="0.2">
      <c r="A358" s="12" t="s">
        <v>10</v>
      </c>
      <c r="B358" s="24">
        <v>2012</v>
      </c>
      <c r="C358" s="25">
        <f t="shared" si="21"/>
        <v>0</v>
      </c>
      <c r="D358" s="25">
        <f>'O&amp;M, Heat Rates'!$D$10</f>
        <v>59.85</v>
      </c>
      <c r="E358" s="26">
        <f>'O&amp;M, Heat Rates'!$C$10</f>
        <v>11.03</v>
      </c>
      <c r="F358" s="26">
        <v>12.504642857142857</v>
      </c>
      <c r="J358" s="20" t="s">
        <v>10</v>
      </c>
      <c r="K358" s="11">
        <v>2012</v>
      </c>
      <c r="L358" s="15"/>
      <c r="M358" s="15"/>
      <c r="N358" s="16"/>
      <c r="O358" s="21"/>
      <c r="R358" s="22" t="s">
        <v>10</v>
      </c>
      <c r="S358">
        <v>2012</v>
      </c>
      <c r="W358" s="23"/>
    </row>
    <row r="359" spans="1:23" x14ac:dyDescent="0.2">
      <c r="A359" s="12" t="s">
        <v>10</v>
      </c>
      <c r="B359" s="24">
        <v>2013</v>
      </c>
      <c r="C359" s="25">
        <f t="shared" si="21"/>
        <v>0</v>
      </c>
      <c r="D359" s="25">
        <f>'O&amp;M, Heat Rates'!$D$10</f>
        <v>59.85</v>
      </c>
      <c r="E359" s="26">
        <f>'O&amp;M, Heat Rates'!$C$10</f>
        <v>11.03</v>
      </c>
      <c r="F359" s="26">
        <v>12.333714285714287</v>
      </c>
      <c r="J359" s="20" t="s">
        <v>10</v>
      </c>
      <c r="K359" s="11">
        <v>2013</v>
      </c>
      <c r="L359" s="15"/>
      <c r="M359" s="15"/>
      <c r="N359" s="16"/>
      <c r="O359" s="21"/>
      <c r="R359" s="22" t="s">
        <v>10</v>
      </c>
      <c r="S359">
        <v>2013</v>
      </c>
      <c r="W359" s="23"/>
    </row>
    <row r="360" spans="1:23" x14ac:dyDescent="0.2">
      <c r="A360" s="12" t="s">
        <v>10</v>
      </c>
      <c r="B360" s="24">
        <v>2014</v>
      </c>
      <c r="C360" s="25">
        <f t="shared" si="21"/>
        <v>0</v>
      </c>
      <c r="D360" s="25">
        <f>'O&amp;M, Heat Rates'!$D$10</f>
        <v>59.85</v>
      </c>
      <c r="E360" s="26">
        <f>'O&amp;M, Heat Rates'!$C$10</f>
        <v>11.03</v>
      </c>
      <c r="F360" s="26">
        <v>12.162785714285715</v>
      </c>
      <c r="J360" s="20" t="s">
        <v>10</v>
      </c>
      <c r="K360" s="11">
        <v>2014</v>
      </c>
      <c r="L360" s="15"/>
      <c r="M360" s="15"/>
      <c r="N360" s="16"/>
      <c r="O360" s="21"/>
      <c r="R360" s="22" t="s">
        <v>10</v>
      </c>
      <c r="S360">
        <v>2014</v>
      </c>
      <c r="W360" s="23"/>
    </row>
    <row r="361" spans="1:23" x14ac:dyDescent="0.2">
      <c r="A361" s="12" t="s">
        <v>10</v>
      </c>
      <c r="B361" s="24">
        <v>2015</v>
      </c>
      <c r="C361" s="25">
        <f t="shared" si="21"/>
        <v>0</v>
      </c>
      <c r="D361" s="25">
        <f>'O&amp;M, Heat Rates'!$D$10</f>
        <v>59.85</v>
      </c>
      <c r="E361" s="26">
        <f>'O&amp;M, Heat Rates'!$C$10</f>
        <v>11.03</v>
      </c>
      <c r="F361" s="26">
        <v>11.991857142857143</v>
      </c>
      <c r="J361" s="20" t="s">
        <v>10</v>
      </c>
      <c r="K361" s="11">
        <v>2015</v>
      </c>
      <c r="L361" s="15"/>
      <c r="M361" s="15"/>
      <c r="N361" s="16"/>
      <c r="O361" s="21"/>
      <c r="R361" s="22" t="s">
        <v>10</v>
      </c>
      <c r="S361">
        <v>2015</v>
      </c>
      <c r="W361" s="23"/>
    </row>
    <row r="362" spans="1:23" x14ac:dyDescent="0.2">
      <c r="A362" s="12" t="s">
        <v>10</v>
      </c>
      <c r="B362" s="24">
        <v>2016</v>
      </c>
      <c r="C362" s="25">
        <f t="shared" si="21"/>
        <v>0</v>
      </c>
      <c r="D362" s="25">
        <f>'O&amp;M, Heat Rates'!$D$10</f>
        <v>59.85</v>
      </c>
      <c r="E362" s="26">
        <f>'O&amp;M, Heat Rates'!$C$10</f>
        <v>11.03</v>
      </c>
      <c r="F362" s="26">
        <v>11.820928571428571</v>
      </c>
      <c r="J362" s="20" t="s">
        <v>10</v>
      </c>
      <c r="K362" s="11">
        <v>2016</v>
      </c>
      <c r="L362" s="15"/>
      <c r="M362" s="15"/>
      <c r="N362" s="16"/>
      <c r="O362" s="21"/>
      <c r="R362" s="22" t="s">
        <v>10</v>
      </c>
      <c r="S362">
        <v>2016</v>
      </c>
      <c r="W362" s="23"/>
    </row>
    <row r="363" spans="1:23" x14ac:dyDescent="0.2">
      <c r="A363" s="12" t="s">
        <v>10</v>
      </c>
      <c r="B363" s="24">
        <v>2017</v>
      </c>
      <c r="C363" s="25">
        <f t="shared" si="21"/>
        <v>0</v>
      </c>
      <c r="D363" s="25">
        <f>'O&amp;M, Heat Rates'!$D$10</f>
        <v>59.85</v>
      </c>
      <c r="E363" s="26">
        <f>'O&amp;M, Heat Rates'!$C$10</f>
        <v>11.03</v>
      </c>
      <c r="F363" s="26">
        <f>IF(B363&lt;2031,'O&amp;M, Heat Rates'!$E$10-'O&amp;M, Heat Rates'!$G$10*(B363-$B$67),'O&amp;M, Heat Rates'!$F$10)/1000</f>
        <v>12.507</v>
      </c>
      <c r="J363" s="20" t="s">
        <v>10</v>
      </c>
      <c r="K363" s="11">
        <v>2017</v>
      </c>
      <c r="L363" s="15"/>
      <c r="M363" s="15"/>
      <c r="N363" s="16"/>
      <c r="O363" s="21"/>
      <c r="R363" s="22" t="s">
        <v>10</v>
      </c>
      <c r="S363">
        <v>2017</v>
      </c>
      <c r="W363" s="23"/>
    </row>
    <row r="364" spans="1:23" x14ac:dyDescent="0.2">
      <c r="A364" s="12" t="s">
        <v>10</v>
      </c>
      <c r="B364" s="24">
        <v>2018</v>
      </c>
      <c r="C364" s="25">
        <f t="shared" si="21"/>
        <v>0</v>
      </c>
      <c r="D364" s="25">
        <f>'O&amp;M, Heat Rates'!$D$10</f>
        <v>59.85</v>
      </c>
      <c r="E364" s="26">
        <f>'O&amp;M, Heat Rates'!$C$10</f>
        <v>11.03</v>
      </c>
      <c r="F364" s="26">
        <f>IF(B364&lt;2031,'O&amp;M, Heat Rates'!$E$10-'O&amp;M, Heat Rates'!$G$10*(B364-$B$67),'O&amp;M, Heat Rates'!$F$10)/1000</f>
        <v>12.507</v>
      </c>
      <c r="J364" s="20" t="s">
        <v>10</v>
      </c>
      <c r="K364" s="11">
        <v>2018</v>
      </c>
      <c r="L364" s="15"/>
      <c r="M364" s="15"/>
      <c r="N364" s="16"/>
      <c r="O364" s="21"/>
      <c r="R364" s="22" t="s">
        <v>10</v>
      </c>
      <c r="S364">
        <v>2018</v>
      </c>
      <c r="W364" s="23"/>
    </row>
    <row r="365" spans="1:23" x14ac:dyDescent="0.2">
      <c r="A365" s="12" t="s">
        <v>10</v>
      </c>
      <c r="B365" s="24">
        <v>2019</v>
      </c>
      <c r="C365" s="25">
        <f t="shared" si="21"/>
        <v>0</v>
      </c>
      <c r="D365" s="25">
        <f>'O&amp;M, Heat Rates'!$D$10</f>
        <v>59.85</v>
      </c>
      <c r="E365" s="26">
        <f>'O&amp;M, Heat Rates'!$C$10</f>
        <v>11.03</v>
      </c>
      <c r="F365" s="26">
        <f>IF(B365&lt;2031,'O&amp;M, Heat Rates'!$E$10-'O&amp;M, Heat Rates'!$G$10*(B365-$B$67),'O&amp;M, Heat Rates'!$F$10)/1000</f>
        <v>12.507</v>
      </c>
      <c r="J365" s="20" t="s">
        <v>10</v>
      </c>
      <c r="K365" s="11">
        <v>2019</v>
      </c>
      <c r="L365" s="15"/>
      <c r="M365" s="15"/>
      <c r="N365" s="16"/>
      <c r="O365" s="21"/>
      <c r="R365" s="22" t="s">
        <v>10</v>
      </c>
      <c r="S365">
        <v>2019</v>
      </c>
      <c r="W365" s="23"/>
    </row>
    <row r="366" spans="1:23" x14ac:dyDescent="0.2">
      <c r="A366" s="12" t="s">
        <v>10</v>
      </c>
      <c r="B366" s="24">
        <v>2020</v>
      </c>
      <c r="C366" s="25">
        <f t="shared" si="21"/>
        <v>0</v>
      </c>
      <c r="D366" s="25">
        <f>'O&amp;M, Heat Rates'!$D$10</f>
        <v>59.85</v>
      </c>
      <c r="E366" s="26">
        <f>'O&amp;M, Heat Rates'!$C$10</f>
        <v>11.03</v>
      </c>
      <c r="F366" s="26">
        <f>IF(B366&lt;2031,'O&amp;M, Heat Rates'!$E$10-'O&amp;M, Heat Rates'!$G$10*(B366-$B$67),'O&amp;M, Heat Rates'!$F$10)/1000</f>
        <v>12.507</v>
      </c>
      <c r="J366" s="20" t="s">
        <v>10</v>
      </c>
      <c r="K366" s="11">
        <v>2020</v>
      </c>
      <c r="L366" s="15"/>
      <c r="M366" s="15"/>
      <c r="N366" s="16"/>
      <c r="O366" s="21"/>
      <c r="R366" s="22" t="s">
        <v>10</v>
      </c>
      <c r="S366">
        <v>2020</v>
      </c>
      <c r="W366" s="23"/>
    </row>
    <row r="367" spans="1:23" x14ac:dyDescent="0.2">
      <c r="A367" s="12" t="s">
        <v>10</v>
      </c>
      <c r="B367" s="24">
        <v>2021</v>
      </c>
      <c r="C367" s="25">
        <f t="shared" si="21"/>
        <v>0</v>
      </c>
      <c r="D367" s="25">
        <f>'O&amp;M, Heat Rates'!$D$10</f>
        <v>59.85</v>
      </c>
      <c r="E367" s="26">
        <f>'O&amp;M, Heat Rates'!$C$10</f>
        <v>11.03</v>
      </c>
      <c r="F367" s="26">
        <f>IF(B367&lt;2031,'O&amp;M, Heat Rates'!$E$10-'O&amp;M, Heat Rates'!$G$10*(B367-$B$67),'O&amp;M, Heat Rates'!$F$10)/1000</f>
        <v>12.507</v>
      </c>
      <c r="J367" s="20" t="s">
        <v>10</v>
      </c>
      <c r="K367" s="11">
        <v>2021</v>
      </c>
      <c r="L367" s="15"/>
      <c r="M367" s="15"/>
      <c r="N367" s="16"/>
      <c r="O367" s="21"/>
      <c r="R367" s="22" t="s">
        <v>10</v>
      </c>
      <c r="S367">
        <v>2021</v>
      </c>
      <c r="W367" s="23"/>
    </row>
    <row r="368" spans="1:23" x14ac:dyDescent="0.2">
      <c r="A368" s="12" t="s">
        <v>10</v>
      </c>
      <c r="B368" s="24">
        <v>2022</v>
      </c>
      <c r="C368" s="25">
        <f t="shared" si="21"/>
        <v>0</v>
      </c>
      <c r="D368" s="25">
        <f>'O&amp;M, Heat Rates'!$D$10</f>
        <v>59.85</v>
      </c>
      <c r="E368" s="26">
        <f>'O&amp;M, Heat Rates'!$C$10</f>
        <v>11.03</v>
      </c>
      <c r="F368" s="26">
        <f>IF(B368&lt;2031,'O&amp;M, Heat Rates'!$E$10-'O&amp;M, Heat Rates'!$G$10*(B368-$B$67),'O&amp;M, Heat Rates'!$F$10)/1000</f>
        <v>12.507</v>
      </c>
      <c r="J368" s="20" t="s">
        <v>10</v>
      </c>
      <c r="K368" s="11">
        <v>2022</v>
      </c>
      <c r="L368" s="15"/>
      <c r="M368" s="15"/>
      <c r="N368" s="16"/>
      <c r="O368" s="21"/>
      <c r="R368" s="22" t="s">
        <v>10</v>
      </c>
      <c r="S368">
        <v>2022</v>
      </c>
      <c r="W368" s="23"/>
    </row>
    <row r="369" spans="1:23" x14ac:dyDescent="0.2">
      <c r="A369" s="12" t="s">
        <v>10</v>
      </c>
      <c r="B369" s="24">
        <v>2023</v>
      </c>
      <c r="C369" s="25">
        <f t="shared" si="21"/>
        <v>0</v>
      </c>
      <c r="D369" s="25">
        <f>'O&amp;M, Heat Rates'!$D$10</f>
        <v>59.85</v>
      </c>
      <c r="E369" s="26">
        <f>'O&amp;M, Heat Rates'!$C$10</f>
        <v>11.03</v>
      </c>
      <c r="F369" s="26">
        <f>IF(B369&lt;2031,'O&amp;M, Heat Rates'!$E$10-'O&amp;M, Heat Rates'!$G$10*(B369-$B$67),'O&amp;M, Heat Rates'!$F$10)/1000</f>
        <v>12.507</v>
      </c>
      <c r="J369" s="20" t="s">
        <v>10</v>
      </c>
      <c r="K369" s="11">
        <v>2023</v>
      </c>
      <c r="L369" s="15"/>
      <c r="M369" s="15"/>
      <c r="N369" s="16"/>
      <c r="O369" s="21"/>
      <c r="R369" s="22" t="s">
        <v>10</v>
      </c>
      <c r="S369">
        <v>2023</v>
      </c>
      <c r="W369" s="23"/>
    </row>
    <row r="370" spans="1:23" x14ac:dyDescent="0.2">
      <c r="A370" s="12" t="s">
        <v>10</v>
      </c>
      <c r="B370" s="24">
        <v>2024</v>
      </c>
      <c r="C370" s="25">
        <f t="shared" si="21"/>
        <v>0</v>
      </c>
      <c r="D370" s="25">
        <f>'O&amp;M, Heat Rates'!$D$10</f>
        <v>59.85</v>
      </c>
      <c r="E370" s="26">
        <f>'O&amp;M, Heat Rates'!$C$10</f>
        <v>11.03</v>
      </c>
      <c r="F370" s="26">
        <f>IF(B370&lt;2031,'O&amp;M, Heat Rates'!$E$10-'O&amp;M, Heat Rates'!$G$10*(B370-$B$67),'O&amp;M, Heat Rates'!$F$10)/1000</f>
        <v>12.507</v>
      </c>
      <c r="J370" s="20" t="s">
        <v>10</v>
      </c>
      <c r="K370" s="11">
        <v>2024</v>
      </c>
      <c r="L370" s="15"/>
      <c r="M370" s="15"/>
      <c r="N370" s="16"/>
      <c r="O370" s="21"/>
      <c r="R370" s="22" t="s">
        <v>10</v>
      </c>
      <c r="S370">
        <v>2024</v>
      </c>
      <c r="W370" s="23"/>
    </row>
    <row r="371" spans="1:23" x14ac:dyDescent="0.2">
      <c r="A371" s="12" t="s">
        <v>10</v>
      </c>
      <c r="B371" s="24">
        <v>2025</v>
      </c>
      <c r="C371" s="25">
        <f t="shared" si="21"/>
        <v>7958.1527753642949</v>
      </c>
      <c r="D371" s="25">
        <f>'O&amp;M, Heat Rates'!$D$10</f>
        <v>59.85</v>
      </c>
      <c r="E371" s="26">
        <f>'O&amp;M, Heat Rates'!$C$10</f>
        <v>11.03</v>
      </c>
      <c r="F371" s="26">
        <f>IF(B371&lt;2031,'O&amp;M, Heat Rates'!$E$10-'O&amp;M, Heat Rates'!$G$10*(B371-$B$67),'O&amp;M, Heat Rates'!$F$10)/1000</f>
        <v>12.507</v>
      </c>
      <c r="J371" s="20" t="s">
        <v>10</v>
      </c>
      <c r="K371" s="11">
        <v>2025</v>
      </c>
      <c r="L371" s="15"/>
      <c r="M371" s="15"/>
      <c r="N371" s="16"/>
      <c r="O371" s="21"/>
      <c r="R371" s="22" t="s">
        <v>10</v>
      </c>
      <c r="S371">
        <v>2025</v>
      </c>
      <c r="W371" s="23"/>
    </row>
    <row r="372" spans="1:23" x14ac:dyDescent="0.2">
      <c r="A372" s="12" t="s">
        <v>10</v>
      </c>
      <c r="B372" s="24">
        <v>2026</v>
      </c>
      <c r="C372" s="25">
        <f t="shared" si="21"/>
        <v>7856.590370289533</v>
      </c>
      <c r="D372" s="25">
        <f>'O&amp;M, Heat Rates'!$D$10</f>
        <v>59.85</v>
      </c>
      <c r="E372" s="26">
        <f>'O&amp;M, Heat Rates'!$C$10</f>
        <v>11.03</v>
      </c>
      <c r="F372" s="26">
        <f>IF(B372&lt;2031,'O&amp;M, Heat Rates'!$E$10-'O&amp;M, Heat Rates'!$G$10*(B372-$B$67),'O&amp;M, Heat Rates'!$F$10)/1000</f>
        <v>12.507</v>
      </c>
      <c r="J372" s="20" t="s">
        <v>10</v>
      </c>
      <c r="K372" s="11">
        <v>2026</v>
      </c>
      <c r="L372" s="15"/>
      <c r="M372" s="15"/>
      <c r="N372" s="16"/>
      <c r="O372" s="21"/>
      <c r="R372" s="22" t="s">
        <v>10</v>
      </c>
      <c r="S372">
        <v>2026</v>
      </c>
      <c r="W372" s="23"/>
    </row>
    <row r="373" spans="1:23" x14ac:dyDescent="0.2">
      <c r="A373" s="12" t="s">
        <v>10</v>
      </c>
      <c r="B373" s="24">
        <v>2027</v>
      </c>
      <c r="C373" s="25">
        <f t="shared" si="21"/>
        <v>7830.2242035049503</v>
      </c>
      <c r="D373" s="25">
        <f>'O&amp;M, Heat Rates'!$D$10</f>
        <v>59.85</v>
      </c>
      <c r="E373" s="26">
        <f>'O&amp;M, Heat Rates'!$C$10</f>
        <v>11.03</v>
      </c>
      <c r="F373" s="26">
        <f>IF(B373&lt;2031,'O&amp;M, Heat Rates'!$E$10-'O&amp;M, Heat Rates'!$G$10*(B373-$B$67),'O&amp;M, Heat Rates'!$F$10)/1000</f>
        <v>12.507</v>
      </c>
      <c r="J373" s="20" t="s">
        <v>10</v>
      </c>
      <c r="K373" s="11">
        <v>2027</v>
      </c>
      <c r="L373" s="15"/>
      <c r="M373" s="15"/>
      <c r="N373" s="16"/>
      <c r="O373" s="21"/>
      <c r="R373" s="22" t="s">
        <v>10</v>
      </c>
      <c r="S373">
        <v>2027</v>
      </c>
      <c r="W373" s="23"/>
    </row>
    <row r="374" spans="1:23" x14ac:dyDescent="0.2">
      <c r="A374" s="12" t="s">
        <v>10</v>
      </c>
      <c r="B374" s="24">
        <v>2028</v>
      </c>
      <c r="C374" s="25">
        <f t="shared" si="21"/>
        <v>7753.53498067091</v>
      </c>
      <c r="D374" s="25">
        <f>'O&amp;M, Heat Rates'!$D$10</f>
        <v>59.85</v>
      </c>
      <c r="E374" s="26">
        <f>'O&amp;M, Heat Rates'!$C$10</f>
        <v>11.03</v>
      </c>
      <c r="F374" s="26">
        <f>IF(B374&lt;2031,'O&amp;M, Heat Rates'!$E$10-'O&amp;M, Heat Rates'!$G$10*(B374-$B$67),'O&amp;M, Heat Rates'!$F$10)/1000</f>
        <v>12.507</v>
      </c>
      <c r="J374" s="20" t="s">
        <v>10</v>
      </c>
      <c r="K374" s="11">
        <v>2028</v>
      </c>
      <c r="L374" s="15"/>
      <c r="M374" s="15"/>
      <c r="N374" s="16"/>
      <c r="O374" s="21"/>
      <c r="R374" s="22" t="s">
        <v>10</v>
      </c>
      <c r="S374">
        <v>2028</v>
      </c>
      <c r="W374" s="23"/>
    </row>
    <row r="375" spans="1:23" x14ac:dyDescent="0.2">
      <c r="A375" s="12" t="s">
        <v>10</v>
      </c>
      <c r="B375" s="24">
        <v>2029</v>
      </c>
      <c r="C375" s="25">
        <f t="shared" si="21"/>
        <v>7692.3777880828038</v>
      </c>
      <c r="D375" s="25">
        <f>'O&amp;M, Heat Rates'!$D$10</f>
        <v>59.85</v>
      </c>
      <c r="E375" s="26">
        <f>'O&amp;M, Heat Rates'!$C$10</f>
        <v>11.03</v>
      </c>
      <c r="F375" s="26">
        <f>IF(B375&lt;2031,'O&amp;M, Heat Rates'!$E$10-'O&amp;M, Heat Rates'!$G$10*(B375-$B$67),'O&amp;M, Heat Rates'!$F$10)/1000</f>
        <v>12.507</v>
      </c>
      <c r="J375" s="20" t="s">
        <v>10</v>
      </c>
      <c r="K375" s="11">
        <v>2029</v>
      </c>
      <c r="L375" s="15"/>
      <c r="M375" s="15"/>
      <c r="N375" s="16"/>
      <c r="O375" s="21"/>
      <c r="R375" s="22" t="s">
        <v>10</v>
      </c>
      <c r="S375">
        <v>2029</v>
      </c>
      <c r="W375" s="23"/>
    </row>
    <row r="376" spans="1:23" x14ac:dyDescent="0.2">
      <c r="A376" s="12" t="s">
        <v>10</v>
      </c>
      <c r="B376" s="24">
        <v>2030</v>
      </c>
      <c r="C376" s="25">
        <f t="shared" si="21"/>
        <v>7633.205329640442</v>
      </c>
      <c r="D376" s="25">
        <f>'O&amp;M, Heat Rates'!$D$10</f>
        <v>59.85</v>
      </c>
      <c r="E376" s="26">
        <f>'O&amp;M, Heat Rates'!$C$10</f>
        <v>11.03</v>
      </c>
      <c r="F376" s="26">
        <f>IF(B376&lt;2031,'O&amp;M, Heat Rates'!$E$10-'O&amp;M, Heat Rates'!$G$10*(B376-$B$67),'O&amp;M, Heat Rates'!$F$10)/1000</f>
        <v>12.507</v>
      </c>
      <c r="J376" s="20" t="s">
        <v>10</v>
      </c>
      <c r="K376" s="11">
        <v>2030</v>
      </c>
      <c r="L376" s="15"/>
      <c r="M376" s="15"/>
      <c r="N376" s="16"/>
      <c r="O376" s="21"/>
      <c r="R376" s="22" t="s">
        <v>10</v>
      </c>
      <c r="S376">
        <v>2030</v>
      </c>
      <c r="W376" s="23"/>
    </row>
    <row r="377" spans="1:23" x14ac:dyDescent="0.2">
      <c r="A377" s="12" t="s">
        <v>10</v>
      </c>
      <c r="B377" s="24">
        <v>2031</v>
      </c>
      <c r="C377" s="25">
        <f t="shared" si="21"/>
        <v>7600.2639655978792</v>
      </c>
      <c r="D377" s="25">
        <f>'O&amp;M, Heat Rates'!$D$10</f>
        <v>59.85</v>
      </c>
      <c r="E377" s="26">
        <f>'O&amp;M, Heat Rates'!$C$10</f>
        <v>11.03</v>
      </c>
      <c r="F377" s="26">
        <f>IF(B377&lt;2031,'O&amp;M, Heat Rates'!$E$10-'O&amp;M, Heat Rates'!$G$10*(B377-$B$67),'O&amp;M, Heat Rates'!$F$10)/1000</f>
        <v>12.507</v>
      </c>
      <c r="J377" s="20" t="s">
        <v>10</v>
      </c>
      <c r="K377" s="11">
        <v>2031</v>
      </c>
      <c r="L377" s="15"/>
      <c r="M377" s="15"/>
      <c r="N377" s="16"/>
      <c r="O377" s="21"/>
      <c r="R377" s="22" t="s">
        <v>10</v>
      </c>
      <c r="S377">
        <v>2031</v>
      </c>
      <c r="W377" s="23"/>
    </row>
    <row r="378" spans="1:23" x14ac:dyDescent="0.2">
      <c r="A378" s="12" t="s">
        <v>10</v>
      </c>
      <c r="B378" s="24">
        <v>2032</v>
      </c>
      <c r="C378" s="25">
        <f t="shared" si="21"/>
        <v>7570.758580519614</v>
      </c>
      <c r="D378" s="25">
        <f>'O&amp;M, Heat Rates'!$D$10</f>
        <v>59.85</v>
      </c>
      <c r="E378" s="26">
        <f>'O&amp;M, Heat Rates'!$C$10</f>
        <v>11.03</v>
      </c>
      <c r="F378" s="26">
        <f>IF(B378&lt;2031,'O&amp;M, Heat Rates'!$E$10-'O&amp;M, Heat Rates'!$G$10*(B378-$B$67),'O&amp;M, Heat Rates'!$F$10)/1000</f>
        <v>12.507</v>
      </c>
      <c r="J378" s="20" t="s">
        <v>10</v>
      </c>
      <c r="K378" s="11">
        <v>2032</v>
      </c>
      <c r="L378" s="15"/>
      <c r="M378" s="15"/>
      <c r="N378" s="16"/>
      <c r="O378" s="21"/>
      <c r="R378" s="22" t="s">
        <v>10</v>
      </c>
      <c r="S378">
        <v>2032</v>
      </c>
      <c r="W378" s="23"/>
    </row>
    <row r="379" spans="1:23" x14ac:dyDescent="0.2">
      <c r="A379" s="12" t="s">
        <v>10</v>
      </c>
      <c r="B379" s="24">
        <v>2033</v>
      </c>
      <c r="C379" s="25">
        <f t="shared" si="21"/>
        <v>7543.4660359077061</v>
      </c>
      <c r="D379" s="25">
        <f>'O&amp;M, Heat Rates'!$D$10</f>
        <v>59.85</v>
      </c>
      <c r="E379" s="26">
        <f>'O&amp;M, Heat Rates'!$C$10</f>
        <v>11.03</v>
      </c>
      <c r="F379" s="26">
        <f>IF(B379&lt;2031,'O&amp;M, Heat Rates'!$E$10-'O&amp;M, Heat Rates'!$G$10*(B379-$B$67),'O&amp;M, Heat Rates'!$F$10)/1000</f>
        <v>12.507</v>
      </c>
      <c r="J379" s="20" t="s">
        <v>10</v>
      </c>
      <c r="K379" s="11">
        <v>2033</v>
      </c>
      <c r="L379" s="15"/>
      <c r="M379" s="15"/>
      <c r="N379" s="16"/>
      <c r="O379" s="21"/>
      <c r="R379" s="22" t="s">
        <v>10</v>
      </c>
      <c r="S379">
        <v>2033</v>
      </c>
      <c r="W379" s="23"/>
    </row>
    <row r="380" spans="1:23" x14ac:dyDescent="0.2">
      <c r="A380" s="12" t="s">
        <v>10</v>
      </c>
      <c r="B380" s="24">
        <v>2034</v>
      </c>
      <c r="C380" s="25">
        <f t="shared" si="21"/>
        <v>7205.3974127205174</v>
      </c>
      <c r="D380" s="25">
        <f>'O&amp;M, Heat Rates'!$D$10</f>
        <v>59.85</v>
      </c>
      <c r="E380" s="26">
        <f>'O&amp;M, Heat Rates'!$C$10</f>
        <v>11.03</v>
      </c>
      <c r="F380" s="26">
        <f>IF(B380&lt;2031,'O&amp;M, Heat Rates'!$E$10-'O&amp;M, Heat Rates'!$G$10*(B380-$B$67),'O&amp;M, Heat Rates'!$F$10)/1000</f>
        <v>12.507</v>
      </c>
      <c r="J380" s="20" t="s">
        <v>10</v>
      </c>
      <c r="K380" s="11">
        <v>2034</v>
      </c>
      <c r="L380" s="15"/>
      <c r="M380" s="15"/>
      <c r="N380" s="16"/>
      <c r="O380" s="21"/>
      <c r="R380" s="22" t="s">
        <v>10</v>
      </c>
      <c r="S380">
        <v>2034</v>
      </c>
      <c r="W380" s="23"/>
    </row>
    <row r="381" spans="1:23" x14ac:dyDescent="0.2">
      <c r="A381" s="12" t="s">
        <v>10</v>
      </c>
      <c r="B381" s="24">
        <v>2035</v>
      </c>
      <c r="C381" s="25">
        <f t="shared" si="21"/>
        <v>7161.4760611731126</v>
      </c>
      <c r="D381" s="25">
        <f>'O&amp;M, Heat Rates'!$D$10</f>
        <v>59.85</v>
      </c>
      <c r="E381" s="26">
        <f>'O&amp;M, Heat Rates'!$C$10</f>
        <v>11.03</v>
      </c>
      <c r="F381" s="26">
        <f>IF(B381&lt;2031,'O&amp;M, Heat Rates'!$E$10-'O&amp;M, Heat Rates'!$G$10*(B381-$B$67),'O&amp;M, Heat Rates'!$F$10)/1000</f>
        <v>12.507</v>
      </c>
      <c r="J381" s="20" t="s">
        <v>10</v>
      </c>
      <c r="K381" s="11">
        <v>2035</v>
      </c>
      <c r="L381" s="15"/>
      <c r="M381" s="15"/>
      <c r="N381" s="16"/>
      <c r="O381" s="21"/>
      <c r="R381" s="22" t="s">
        <v>10</v>
      </c>
      <c r="S381">
        <v>2035</v>
      </c>
      <c r="W381" s="23"/>
    </row>
    <row r="382" spans="1:23" x14ac:dyDescent="0.2">
      <c r="A382" s="12" t="s">
        <v>10</v>
      </c>
      <c r="B382" s="24">
        <v>2036</v>
      </c>
      <c r="C382" s="25">
        <f t="shared" si="21"/>
        <v>6744.0997368793087</v>
      </c>
      <c r="D382" s="25">
        <f>'O&amp;M, Heat Rates'!$D$10</f>
        <v>59.85</v>
      </c>
      <c r="E382" s="26">
        <f>'O&amp;M, Heat Rates'!$C$10</f>
        <v>11.03</v>
      </c>
      <c r="F382" s="26">
        <f>IF(B382&lt;2031,'O&amp;M, Heat Rates'!$E$10-'O&amp;M, Heat Rates'!$G$10*(B382-$B$67),'O&amp;M, Heat Rates'!$F$10)/1000</f>
        <v>12.507</v>
      </c>
      <c r="J382" s="20" t="s">
        <v>10</v>
      </c>
      <c r="K382" s="11">
        <v>2036</v>
      </c>
      <c r="L382" s="15"/>
      <c r="M382" s="15"/>
      <c r="N382" s="16"/>
      <c r="O382" s="21"/>
      <c r="R382" s="22" t="s">
        <v>10</v>
      </c>
      <c r="S382">
        <v>2036</v>
      </c>
      <c r="W382" s="23"/>
    </row>
    <row r="383" spans="1:23" x14ac:dyDescent="0.2">
      <c r="A383" s="12" t="s">
        <v>10</v>
      </c>
      <c r="B383" s="24">
        <v>2037</v>
      </c>
      <c r="C383" s="25">
        <f t="shared" si="21"/>
        <v>6552.8101437886444</v>
      </c>
      <c r="D383" s="25">
        <f>'O&amp;M, Heat Rates'!$D$10</f>
        <v>59.85</v>
      </c>
      <c r="E383" s="26">
        <f>'O&amp;M, Heat Rates'!$C$10</f>
        <v>11.03</v>
      </c>
      <c r="F383" s="26">
        <f>IF(B383&lt;2031,'O&amp;M, Heat Rates'!$E$10-'O&amp;M, Heat Rates'!$G$10*(B383-$B$67),'O&amp;M, Heat Rates'!$F$10)/1000</f>
        <v>12.507</v>
      </c>
      <c r="J383" s="20" t="s">
        <v>10</v>
      </c>
      <c r="K383" s="11">
        <v>2037</v>
      </c>
      <c r="L383" s="15"/>
      <c r="M383" s="15"/>
      <c r="N383" s="16"/>
      <c r="O383" s="21"/>
      <c r="R383" s="22" t="s">
        <v>10</v>
      </c>
      <c r="S383">
        <v>2037</v>
      </c>
      <c r="W383" s="23"/>
    </row>
    <row r="384" spans="1:23" x14ac:dyDescent="0.2">
      <c r="A384" s="12" t="s">
        <v>10</v>
      </c>
      <c r="B384" s="24">
        <v>2038</v>
      </c>
      <c r="C384" s="25">
        <f t="shared" si="21"/>
        <v>6451.9111909287076</v>
      </c>
      <c r="D384" s="25">
        <f>'O&amp;M, Heat Rates'!$D$10</f>
        <v>59.85</v>
      </c>
      <c r="E384" s="26">
        <f>'O&amp;M, Heat Rates'!$C$10</f>
        <v>11.03</v>
      </c>
      <c r="F384" s="26">
        <f>IF(B384&lt;2031,'O&amp;M, Heat Rates'!$E$10-'O&amp;M, Heat Rates'!$G$10*(B384-$B$67),'O&amp;M, Heat Rates'!$F$10)/1000</f>
        <v>12.507</v>
      </c>
      <c r="J384" s="20" t="s">
        <v>10</v>
      </c>
      <c r="K384" s="11">
        <v>2038</v>
      </c>
      <c r="L384" s="15"/>
      <c r="M384" s="15"/>
      <c r="N384" s="16"/>
      <c r="O384" s="21"/>
      <c r="R384" s="22" t="s">
        <v>10</v>
      </c>
      <c r="S384">
        <v>2038</v>
      </c>
      <c r="W384" s="23"/>
    </row>
    <row r="385" spans="1:23" x14ac:dyDescent="0.2">
      <c r="A385" s="12" t="s">
        <v>10</v>
      </c>
      <c r="B385" s="24">
        <v>2039</v>
      </c>
      <c r="C385" s="25">
        <f t="shared" si="21"/>
        <v>6384.2793219701352</v>
      </c>
      <c r="D385" s="25">
        <f>'O&amp;M, Heat Rates'!$D$10</f>
        <v>59.85</v>
      </c>
      <c r="E385" s="26">
        <f>'O&amp;M, Heat Rates'!$C$10</f>
        <v>11.03</v>
      </c>
      <c r="F385" s="26">
        <f>IF(B385&lt;2031,'O&amp;M, Heat Rates'!$E$10-'O&amp;M, Heat Rates'!$G$10*(B385-$B$67),'O&amp;M, Heat Rates'!$F$10)/1000</f>
        <v>12.507</v>
      </c>
      <c r="J385" s="20" t="s">
        <v>10</v>
      </c>
      <c r="K385" s="11">
        <v>2039</v>
      </c>
      <c r="L385" s="15"/>
      <c r="M385" s="15"/>
      <c r="N385" s="16"/>
      <c r="O385" s="21"/>
      <c r="R385" s="22" t="s">
        <v>10</v>
      </c>
      <c r="S385">
        <v>2039</v>
      </c>
      <c r="W385" s="23"/>
    </row>
    <row r="386" spans="1:23" x14ac:dyDescent="0.2">
      <c r="A386" s="12" t="s">
        <v>10</v>
      </c>
      <c r="B386" s="24">
        <v>2040</v>
      </c>
      <c r="C386" s="25">
        <f t="shared" si="21"/>
        <v>6350.1559417877761</v>
      </c>
      <c r="D386" s="25">
        <f>'O&amp;M, Heat Rates'!$D$10</f>
        <v>59.85</v>
      </c>
      <c r="E386" s="26">
        <f>'O&amp;M, Heat Rates'!$C$10</f>
        <v>11.03</v>
      </c>
      <c r="F386" s="26">
        <f>IF(B386&lt;2031,'O&amp;M, Heat Rates'!$E$10-'O&amp;M, Heat Rates'!$G$10*(B386-$B$67),'O&amp;M, Heat Rates'!$F$10)/1000</f>
        <v>12.507</v>
      </c>
      <c r="J386" s="20" t="s">
        <v>10</v>
      </c>
      <c r="K386" s="11">
        <v>2040</v>
      </c>
      <c r="L386" s="15"/>
      <c r="M386" s="15"/>
      <c r="N386" s="16"/>
      <c r="O386" s="21"/>
      <c r="R386" s="22" t="s">
        <v>10</v>
      </c>
      <c r="S386">
        <v>2040</v>
      </c>
      <c r="W386" s="23"/>
    </row>
    <row r="387" spans="1:23" x14ac:dyDescent="0.2">
      <c r="A387" s="12" t="s">
        <v>10</v>
      </c>
      <c r="B387" s="24">
        <v>2041</v>
      </c>
      <c r="C387" s="25">
        <f t="shared" si="21"/>
        <v>6316.1295176846961</v>
      </c>
      <c r="D387" s="25">
        <f>'O&amp;M, Heat Rates'!$D$10</f>
        <v>59.85</v>
      </c>
      <c r="E387" s="26">
        <f>'O&amp;M, Heat Rates'!$C$10</f>
        <v>11.03</v>
      </c>
      <c r="F387" s="26">
        <f>IF(B387&lt;2031,'O&amp;M, Heat Rates'!$E$10-'O&amp;M, Heat Rates'!$G$10*(B387-$B$67),'O&amp;M, Heat Rates'!$F$10)/1000</f>
        <v>12.507</v>
      </c>
      <c r="J387" s="20" t="s">
        <v>10</v>
      </c>
      <c r="K387" s="11">
        <v>2041</v>
      </c>
      <c r="L387" s="15"/>
      <c r="M387" s="15"/>
      <c r="N387" s="16"/>
      <c r="O387" s="21"/>
      <c r="R387" s="22" t="s">
        <v>10</v>
      </c>
      <c r="S387">
        <v>2041</v>
      </c>
      <c r="W387" s="23"/>
    </row>
    <row r="388" spans="1:23" x14ac:dyDescent="0.2">
      <c r="A388" s="12" t="s">
        <v>10</v>
      </c>
      <c r="B388" s="24">
        <v>2042</v>
      </c>
      <c r="C388" s="25">
        <f t="shared" si="21"/>
        <v>6285.8681290141712</v>
      </c>
      <c r="D388" s="25">
        <f>'O&amp;M, Heat Rates'!$D$10</f>
        <v>59.85</v>
      </c>
      <c r="E388" s="26">
        <f>'O&amp;M, Heat Rates'!$C$10</f>
        <v>11.03</v>
      </c>
      <c r="F388" s="26">
        <f>IF(B388&lt;2031,'O&amp;M, Heat Rates'!$E$10-'O&amp;M, Heat Rates'!$G$10*(B388-$B$67),'O&amp;M, Heat Rates'!$F$10)/1000</f>
        <v>12.507</v>
      </c>
      <c r="J388" s="20" t="s">
        <v>10</v>
      </c>
      <c r="K388" s="11">
        <v>2042</v>
      </c>
      <c r="L388" s="15"/>
      <c r="M388" s="15"/>
      <c r="N388" s="16"/>
      <c r="O388" s="21"/>
      <c r="R388" s="22" t="s">
        <v>10</v>
      </c>
      <c r="S388">
        <v>2042</v>
      </c>
      <c r="W388" s="23"/>
    </row>
    <row r="389" spans="1:23" x14ac:dyDescent="0.2">
      <c r="A389" s="12" t="s">
        <v>10</v>
      </c>
      <c r="B389" s="24">
        <v>2043</v>
      </c>
      <c r="C389" s="25">
        <f t="shared" ref="C389:C452" si="22">VLOOKUP(A389,$A$45:$AP$61,VLOOKUP(B389,$Z$69:$AA$109,2,FALSE),FALSE)</f>
        <v>6254.8715743647253</v>
      </c>
      <c r="D389" s="25">
        <f>'O&amp;M, Heat Rates'!$D$10</f>
        <v>59.85</v>
      </c>
      <c r="E389" s="26">
        <f>'O&amp;M, Heat Rates'!$C$10</f>
        <v>11.03</v>
      </c>
      <c r="F389" s="26">
        <f>IF(B389&lt;2031,'O&amp;M, Heat Rates'!$E$10-'O&amp;M, Heat Rates'!$G$10*(B389-$B$67),'O&amp;M, Heat Rates'!$F$10)/1000</f>
        <v>12.507</v>
      </c>
      <c r="J389" s="20" t="s">
        <v>10</v>
      </c>
      <c r="K389" s="11">
        <v>2043</v>
      </c>
      <c r="L389" s="15"/>
      <c r="M389" s="15"/>
      <c r="N389" s="16"/>
      <c r="O389" s="21"/>
      <c r="R389" s="22" t="s">
        <v>10</v>
      </c>
      <c r="S389">
        <v>2043</v>
      </c>
      <c r="W389" s="23"/>
    </row>
    <row r="390" spans="1:23" x14ac:dyDescent="0.2">
      <c r="A390" s="12" t="s">
        <v>10</v>
      </c>
      <c r="B390" s="24">
        <v>2044</v>
      </c>
      <c r="C390" s="25">
        <f t="shared" si="22"/>
        <v>6218.9308856354655</v>
      </c>
      <c r="D390" s="25">
        <f>'O&amp;M, Heat Rates'!$D$10</f>
        <v>59.85</v>
      </c>
      <c r="E390" s="26">
        <f>'O&amp;M, Heat Rates'!$C$10</f>
        <v>11.03</v>
      </c>
      <c r="F390" s="26">
        <f>IF(B390&lt;2031,'O&amp;M, Heat Rates'!$E$10-'O&amp;M, Heat Rates'!$G$10*(B390-$B$67),'O&amp;M, Heat Rates'!$F$10)/1000</f>
        <v>12.507</v>
      </c>
      <c r="J390" s="20" t="s">
        <v>10</v>
      </c>
      <c r="K390" s="11">
        <v>2044</v>
      </c>
      <c r="L390" s="15"/>
      <c r="M390" s="15"/>
      <c r="N390" s="16"/>
      <c r="O390" s="21"/>
      <c r="R390" s="22" t="s">
        <v>10</v>
      </c>
      <c r="S390">
        <v>2044</v>
      </c>
      <c r="W390" s="23"/>
    </row>
    <row r="391" spans="1:23" x14ac:dyDescent="0.2">
      <c r="A391" s="12" t="s">
        <v>10</v>
      </c>
      <c r="B391" s="24">
        <v>2045</v>
      </c>
      <c r="C391" s="25">
        <f t="shared" si="22"/>
        <v>6187.8150881998008</v>
      </c>
      <c r="D391" s="25">
        <f>'O&amp;M, Heat Rates'!$D$10</f>
        <v>59.85</v>
      </c>
      <c r="E391" s="26">
        <f>'O&amp;M, Heat Rates'!$C$10</f>
        <v>11.03</v>
      </c>
      <c r="F391" s="26">
        <f>IF(B391&lt;2031,'O&amp;M, Heat Rates'!$E$10-'O&amp;M, Heat Rates'!$G$10*(B391-$B$67),'O&amp;M, Heat Rates'!$F$10)/1000</f>
        <v>12.507</v>
      </c>
      <c r="J391" s="20" t="s">
        <v>10</v>
      </c>
      <c r="K391" s="11">
        <v>2045</v>
      </c>
      <c r="L391" s="15"/>
      <c r="M391" s="15"/>
      <c r="N391" s="16"/>
      <c r="O391" s="21"/>
      <c r="R391" s="22" t="s">
        <v>10</v>
      </c>
      <c r="S391">
        <v>2045</v>
      </c>
      <c r="W391" s="23"/>
    </row>
    <row r="392" spans="1:23" x14ac:dyDescent="0.2">
      <c r="A392" s="12" t="s">
        <v>10</v>
      </c>
      <c r="B392" s="24">
        <v>2046</v>
      </c>
      <c r="C392" s="25">
        <f t="shared" si="22"/>
        <v>6149.4290816986677</v>
      </c>
      <c r="D392" s="25">
        <f>'O&amp;M, Heat Rates'!$D$10</f>
        <v>59.85</v>
      </c>
      <c r="E392" s="26">
        <f>'O&amp;M, Heat Rates'!$C$10</f>
        <v>11.03</v>
      </c>
      <c r="F392" s="26">
        <f>IF(B392&lt;2031,'O&amp;M, Heat Rates'!$E$10-'O&amp;M, Heat Rates'!$G$10*(B392-$B$67),'O&amp;M, Heat Rates'!$F$10)/1000</f>
        <v>12.507</v>
      </c>
      <c r="J392" s="20" t="s">
        <v>10</v>
      </c>
      <c r="K392" s="11">
        <v>2046</v>
      </c>
      <c r="L392" s="15"/>
      <c r="M392" s="15"/>
      <c r="N392" s="16"/>
      <c r="O392" s="21"/>
      <c r="R392" s="22" t="s">
        <v>10</v>
      </c>
      <c r="S392">
        <v>2046</v>
      </c>
      <c r="W392" s="23"/>
    </row>
    <row r="393" spans="1:23" x14ac:dyDescent="0.2">
      <c r="A393" s="12" t="s">
        <v>10</v>
      </c>
      <c r="B393" s="24">
        <v>2047</v>
      </c>
      <c r="C393" s="25">
        <f t="shared" si="22"/>
        <v>6108.4768867080329</v>
      </c>
      <c r="D393" s="25">
        <f>'O&amp;M, Heat Rates'!$D$10</f>
        <v>59.85</v>
      </c>
      <c r="E393" s="26">
        <f>'O&amp;M, Heat Rates'!$C$10</f>
        <v>11.03</v>
      </c>
      <c r="F393" s="26">
        <f>IF(B393&lt;2031,'O&amp;M, Heat Rates'!$E$10-'O&amp;M, Heat Rates'!$G$10*(B393-$B$67),'O&amp;M, Heat Rates'!$F$10)/1000</f>
        <v>12.507</v>
      </c>
      <c r="J393" s="20" t="s">
        <v>10</v>
      </c>
      <c r="K393" s="11">
        <v>2047</v>
      </c>
      <c r="L393" s="15"/>
      <c r="M393" s="15"/>
      <c r="N393" s="16"/>
      <c r="O393" s="21"/>
      <c r="R393" s="22" t="s">
        <v>10</v>
      </c>
      <c r="S393">
        <v>2047</v>
      </c>
      <c r="W393" s="23"/>
    </row>
    <row r="394" spans="1:23" x14ac:dyDescent="0.2">
      <c r="A394" s="12" t="s">
        <v>10</v>
      </c>
      <c r="B394" s="24">
        <v>2048</v>
      </c>
      <c r="C394" s="25">
        <f t="shared" si="22"/>
        <v>6073.5752590363736</v>
      </c>
      <c r="D394" s="25">
        <f>'O&amp;M, Heat Rates'!$D$10</f>
        <v>59.85</v>
      </c>
      <c r="E394" s="26">
        <f>'O&amp;M, Heat Rates'!$C$10</f>
        <v>11.03</v>
      </c>
      <c r="F394" s="26">
        <f>IF(B394&lt;2031,'O&amp;M, Heat Rates'!$E$10-'O&amp;M, Heat Rates'!$G$10*(B394-$B$67),'O&amp;M, Heat Rates'!$F$10)/1000</f>
        <v>12.507</v>
      </c>
      <c r="J394" s="20" t="s">
        <v>10</v>
      </c>
      <c r="K394" s="11">
        <v>2048</v>
      </c>
      <c r="L394" s="15"/>
      <c r="M394" s="15"/>
      <c r="N394" s="16"/>
      <c r="O394" s="21"/>
      <c r="R394" s="22" t="s">
        <v>10</v>
      </c>
      <c r="S394">
        <v>2048</v>
      </c>
      <c r="W394" s="23"/>
    </row>
    <row r="395" spans="1:23" x14ac:dyDescent="0.2">
      <c r="A395" s="12" t="s">
        <v>10</v>
      </c>
      <c r="B395" s="24">
        <v>2049</v>
      </c>
      <c r="C395" s="25">
        <f t="shared" si="22"/>
        <v>6041.3292055777838</v>
      </c>
      <c r="D395" s="25">
        <f>'O&amp;M, Heat Rates'!$D$10</f>
        <v>59.85</v>
      </c>
      <c r="E395" s="26">
        <f>'O&amp;M, Heat Rates'!$C$10</f>
        <v>11.03</v>
      </c>
      <c r="F395" s="26">
        <f>IF(B395&lt;2031,'O&amp;M, Heat Rates'!$E$10-'O&amp;M, Heat Rates'!$G$10*(B395-$B$67),'O&amp;M, Heat Rates'!$F$10)/1000</f>
        <v>12.507</v>
      </c>
      <c r="J395" s="20" t="s">
        <v>10</v>
      </c>
      <c r="K395" s="11">
        <v>2049</v>
      </c>
      <c r="L395" s="15"/>
      <c r="M395" s="15"/>
      <c r="N395" s="16"/>
      <c r="O395" s="21"/>
      <c r="R395" s="22" t="s">
        <v>10</v>
      </c>
      <c r="S395">
        <v>2049</v>
      </c>
      <c r="W395" s="23"/>
    </row>
    <row r="396" spans="1:23" x14ac:dyDescent="0.2">
      <c r="A396" s="12" t="s">
        <v>10</v>
      </c>
      <c r="B396" s="24">
        <v>2050</v>
      </c>
      <c r="C396" s="25">
        <f t="shared" si="22"/>
        <v>5990.3010149805314</v>
      </c>
      <c r="D396" s="25">
        <f>'O&amp;M, Heat Rates'!$D$10</f>
        <v>59.85</v>
      </c>
      <c r="E396" s="26">
        <f>'O&amp;M, Heat Rates'!$C$10</f>
        <v>11.03</v>
      </c>
      <c r="F396" s="26">
        <f>IF(B396&lt;2031,'O&amp;M, Heat Rates'!$E$10-'O&amp;M, Heat Rates'!$G$10*(B396-$B$67),'O&amp;M, Heat Rates'!$F$10)/1000</f>
        <v>12.507</v>
      </c>
      <c r="J396" s="20" t="s">
        <v>10</v>
      </c>
      <c r="K396" s="11">
        <v>2050</v>
      </c>
      <c r="L396" s="15"/>
      <c r="M396" s="15"/>
      <c r="N396" s="16"/>
      <c r="O396" s="21"/>
      <c r="R396" s="22" t="s">
        <v>10</v>
      </c>
      <c r="S396">
        <v>2050</v>
      </c>
      <c r="W396" s="23"/>
    </row>
    <row r="397" spans="1:23" x14ac:dyDescent="0.2">
      <c r="A397" s="12" t="s">
        <v>11</v>
      </c>
      <c r="B397" s="24">
        <v>2010</v>
      </c>
      <c r="C397" s="25">
        <f t="shared" si="22"/>
        <v>0</v>
      </c>
      <c r="D397" s="25">
        <f>U397/$U$66/1000</f>
        <v>30.04256230626363</v>
      </c>
      <c r="E397" s="26">
        <f>V397/$U$66</f>
        <v>4.5851822001630573</v>
      </c>
      <c r="F397" s="26">
        <f>O397</f>
        <v>10.647706690000001</v>
      </c>
      <c r="J397" s="20" t="s">
        <v>23</v>
      </c>
      <c r="K397" s="11">
        <v>2010</v>
      </c>
      <c r="L397" s="15"/>
      <c r="M397" s="15"/>
      <c r="N397" s="16"/>
      <c r="O397" s="21">
        <v>10.647706690000001</v>
      </c>
      <c r="R397" s="22" t="s">
        <v>23</v>
      </c>
      <c r="S397">
        <v>2010</v>
      </c>
      <c r="U397">
        <v>22233.663620497533</v>
      </c>
      <c r="V397">
        <v>3.3933656403156869</v>
      </c>
      <c r="W397" s="23"/>
    </row>
    <row r="398" spans="1:23" x14ac:dyDescent="0.2">
      <c r="A398" s="12" t="s">
        <v>11</v>
      </c>
      <c r="B398" s="24">
        <v>2011</v>
      </c>
      <c r="C398" s="25">
        <f t="shared" si="22"/>
        <v>0</v>
      </c>
      <c r="D398" s="25">
        <f t="shared" ref="D398:D437" si="23">U398/$U$66/1000</f>
        <v>30.04256230626363</v>
      </c>
      <c r="E398" s="26">
        <f t="shared" ref="E398:E437" si="24">V398/$U$66</f>
        <v>4.6806280894053192</v>
      </c>
      <c r="F398" s="26">
        <f t="shared" ref="F398:F437" si="25">O398</f>
        <v>10.647706690000001</v>
      </c>
      <c r="J398" s="20" t="s">
        <v>23</v>
      </c>
      <c r="K398" s="11">
        <v>2011</v>
      </c>
      <c r="L398" s="15"/>
      <c r="M398" s="15"/>
      <c r="N398" s="16"/>
      <c r="O398" s="21">
        <v>10.647706690000001</v>
      </c>
      <c r="R398" s="22" t="s">
        <v>23</v>
      </c>
      <c r="S398">
        <v>2011</v>
      </c>
      <c r="U398">
        <v>22233.663620497533</v>
      </c>
      <c r="V398">
        <v>3.4640024845947543</v>
      </c>
      <c r="W398" s="23"/>
    </row>
    <row r="399" spans="1:23" x14ac:dyDescent="0.2">
      <c r="A399" s="12" t="s">
        <v>11</v>
      </c>
      <c r="B399" s="24">
        <v>2012</v>
      </c>
      <c r="C399" s="25">
        <f t="shared" si="22"/>
        <v>0</v>
      </c>
      <c r="D399" s="25">
        <f t="shared" si="23"/>
        <v>30.04256230626363</v>
      </c>
      <c r="E399" s="26">
        <f t="shared" si="24"/>
        <v>4.7760739786475828</v>
      </c>
      <c r="F399" s="26">
        <f t="shared" si="25"/>
        <v>10.647706690000001</v>
      </c>
      <c r="J399" s="20" t="s">
        <v>23</v>
      </c>
      <c r="K399" s="11">
        <v>2012</v>
      </c>
      <c r="L399" s="15"/>
      <c r="M399" s="15"/>
      <c r="N399" s="16"/>
      <c r="O399" s="21">
        <v>10.647706690000001</v>
      </c>
      <c r="R399" s="22" t="s">
        <v>23</v>
      </c>
      <c r="S399">
        <v>2012</v>
      </c>
      <c r="U399">
        <v>22233.663620497533</v>
      </c>
      <c r="V399">
        <v>3.5346393288738223</v>
      </c>
      <c r="W399" s="23"/>
    </row>
    <row r="400" spans="1:23" x14ac:dyDescent="0.2">
      <c r="A400" s="12" t="s">
        <v>11</v>
      </c>
      <c r="B400" s="24">
        <v>2013</v>
      </c>
      <c r="C400" s="25">
        <f t="shared" si="22"/>
        <v>0</v>
      </c>
      <c r="D400" s="25">
        <f t="shared" si="23"/>
        <v>30.04256230626363</v>
      </c>
      <c r="E400" s="26">
        <f t="shared" si="24"/>
        <v>4.8715198678898446</v>
      </c>
      <c r="F400" s="26">
        <f t="shared" si="25"/>
        <v>10.647706690000001</v>
      </c>
      <c r="J400" s="20" t="s">
        <v>23</v>
      </c>
      <c r="K400" s="11">
        <v>2013</v>
      </c>
      <c r="L400" s="15"/>
      <c r="M400" s="15"/>
      <c r="N400" s="16"/>
      <c r="O400" s="21">
        <v>10.647706690000001</v>
      </c>
      <c r="R400" s="22" t="s">
        <v>23</v>
      </c>
      <c r="S400">
        <v>2013</v>
      </c>
      <c r="U400">
        <v>22233.663620497533</v>
      </c>
      <c r="V400">
        <v>3.6052761731528897</v>
      </c>
      <c r="W400" s="23"/>
    </row>
    <row r="401" spans="1:23" x14ac:dyDescent="0.2">
      <c r="A401" s="12" t="s">
        <v>11</v>
      </c>
      <c r="B401" s="24">
        <v>2014</v>
      </c>
      <c r="C401" s="25">
        <f t="shared" si="22"/>
        <v>0</v>
      </c>
      <c r="D401" s="25">
        <f t="shared" si="23"/>
        <v>30.04256230626363</v>
      </c>
      <c r="E401" s="26">
        <f t="shared" si="24"/>
        <v>4.9669657571321082</v>
      </c>
      <c r="F401" s="26">
        <f t="shared" si="25"/>
        <v>10.647706690000001</v>
      </c>
      <c r="J401" s="20" t="s">
        <v>23</v>
      </c>
      <c r="K401" s="11">
        <v>2014</v>
      </c>
      <c r="L401" s="15"/>
      <c r="M401" s="15"/>
      <c r="N401" s="16"/>
      <c r="O401" s="21">
        <v>10.647706690000001</v>
      </c>
      <c r="R401" s="22" t="s">
        <v>23</v>
      </c>
      <c r="S401">
        <v>2014</v>
      </c>
      <c r="U401">
        <v>22233.663620497533</v>
      </c>
      <c r="V401">
        <v>3.6759130174319576</v>
      </c>
      <c r="W401" s="23"/>
    </row>
    <row r="402" spans="1:23" x14ac:dyDescent="0.2">
      <c r="A402" s="12" t="s">
        <v>11</v>
      </c>
      <c r="B402" s="24">
        <v>2015</v>
      </c>
      <c r="C402" s="25">
        <f t="shared" si="22"/>
        <v>0</v>
      </c>
      <c r="D402" s="25">
        <f t="shared" si="23"/>
        <v>30.04256230626363</v>
      </c>
      <c r="E402" s="26">
        <f t="shared" si="24"/>
        <v>5.06241164637437</v>
      </c>
      <c r="F402" s="26">
        <f t="shared" si="25"/>
        <v>10.647706690000001</v>
      </c>
      <c r="J402" s="20" t="s">
        <v>23</v>
      </c>
      <c r="K402" s="11">
        <v>2015</v>
      </c>
      <c r="L402" s="15"/>
      <c r="M402" s="15"/>
      <c r="N402" s="16"/>
      <c r="O402" s="21">
        <v>10.647706690000001</v>
      </c>
      <c r="R402" s="22" t="s">
        <v>23</v>
      </c>
      <c r="S402">
        <v>2015</v>
      </c>
      <c r="U402">
        <v>22233.663620497533</v>
      </c>
      <c r="V402">
        <v>3.7465498617110251</v>
      </c>
      <c r="W402" s="23"/>
    </row>
    <row r="403" spans="1:23" x14ac:dyDescent="0.2">
      <c r="A403" s="12" t="s">
        <v>11</v>
      </c>
      <c r="B403" s="24">
        <v>2016</v>
      </c>
      <c r="C403" s="25">
        <f t="shared" si="22"/>
        <v>0</v>
      </c>
      <c r="D403" s="25">
        <f t="shared" si="23"/>
        <v>30.04256230626363</v>
      </c>
      <c r="E403" s="26">
        <f t="shared" si="24"/>
        <v>5.1677916204311067</v>
      </c>
      <c r="F403" s="26">
        <f t="shared" si="25"/>
        <v>10.647706690000001</v>
      </c>
      <c r="J403" s="20" t="s">
        <v>23</v>
      </c>
      <c r="K403" s="11">
        <v>2016</v>
      </c>
      <c r="L403" s="15"/>
      <c r="M403" s="15"/>
      <c r="N403" s="16"/>
      <c r="O403" s="21">
        <v>10.647706690000001</v>
      </c>
      <c r="R403" s="22" t="s">
        <v>23</v>
      </c>
      <c r="S403">
        <v>2016</v>
      </c>
      <c r="U403">
        <v>22233.663620497533</v>
      </c>
      <c r="V403">
        <v>3.8245386454781718</v>
      </c>
      <c r="W403" s="23"/>
    </row>
    <row r="404" spans="1:23" x14ac:dyDescent="0.2">
      <c r="A404" s="12" t="s">
        <v>11</v>
      </c>
      <c r="B404" s="24">
        <v>2017</v>
      </c>
      <c r="C404" s="25">
        <f t="shared" si="22"/>
        <v>0</v>
      </c>
      <c r="D404" s="25">
        <f t="shared" si="23"/>
        <v>30.04256230626363</v>
      </c>
      <c r="E404" s="26">
        <f t="shared" si="24"/>
        <v>5.2731715944878426</v>
      </c>
      <c r="F404" s="26">
        <f t="shared" si="25"/>
        <v>10.647706690000001</v>
      </c>
      <c r="J404" s="20" t="s">
        <v>23</v>
      </c>
      <c r="K404" s="11">
        <v>2017</v>
      </c>
      <c r="L404" s="15"/>
      <c r="M404" s="15"/>
      <c r="N404" s="16"/>
      <c r="O404" s="21">
        <v>10.647706690000001</v>
      </c>
      <c r="R404" s="22" t="s">
        <v>23</v>
      </c>
      <c r="S404">
        <v>2017</v>
      </c>
      <c r="U404">
        <v>22233.663620497533</v>
      </c>
      <c r="V404">
        <v>3.9025274292453185</v>
      </c>
      <c r="W404" s="23"/>
    </row>
    <row r="405" spans="1:23" x14ac:dyDescent="0.2">
      <c r="A405" s="12" t="s">
        <v>11</v>
      </c>
      <c r="B405" s="24">
        <v>2018</v>
      </c>
      <c r="C405" s="25">
        <f t="shared" si="22"/>
        <v>0</v>
      </c>
      <c r="D405" s="25">
        <f t="shared" si="23"/>
        <v>30.04256230626363</v>
      </c>
      <c r="E405" s="26">
        <f t="shared" si="24"/>
        <v>5.3785515685445784</v>
      </c>
      <c r="F405" s="26">
        <f t="shared" si="25"/>
        <v>10.647706690000001</v>
      </c>
      <c r="J405" s="20" t="s">
        <v>23</v>
      </c>
      <c r="K405" s="11">
        <v>2018</v>
      </c>
      <c r="L405" s="15"/>
      <c r="M405" s="15"/>
      <c r="N405" s="16"/>
      <c r="O405" s="21">
        <v>10.647706690000001</v>
      </c>
      <c r="R405" s="22" t="s">
        <v>23</v>
      </c>
      <c r="S405">
        <v>2018</v>
      </c>
      <c r="U405">
        <v>22233.663620497533</v>
      </c>
      <c r="V405">
        <v>3.9805162130124652</v>
      </c>
      <c r="W405" s="23"/>
    </row>
    <row r="406" spans="1:23" x14ac:dyDescent="0.2">
      <c r="A406" s="12" t="s">
        <v>11</v>
      </c>
      <c r="B406" s="24">
        <v>2019</v>
      </c>
      <c r="C406" s="25">
        <f t="shared" si="22"/>
        <v>0</v>
      </c>
      <c r="D406" s="25">
        <f t="shared" si="23"/>
        <v>30.04256230626363</v>
      </c>
      <c r="E406" s="26">
        <f t="shared" si="24"/>
        <v>5.4839315426013142</v>
      </c>
      <c r="F406" s="26">
        <f t="shared" si="25"/>
        <v>10.647706690000001</v>
      </c>
      <c r="J406" s="20" t="s">
        <v>23</v>
      </c>
      <c r="K406" s="11">
        <v>2019</v>
      </c>
      <c r="L406" s="15"/>
      <c r="M406" s="15"/>
      <c r="N406" s="16"/>
      <c r="O406" s="21">
        <v>10.647706690000001</v>
      </c>
      <c r="R406" s="22" t="s">
        <v>23</v>
      </c>
      <c r="S406">
        <v>2019</v>
      </c>
      <c r="U406">
        <v>22233.663620497533</v>
      </c>
      <c r="V406">
        <v>4.0585049967796119</v>
      </c>
      <c r="W406" s="23"/>
    </row>
    <row r="407" spans="1:23" x14ac:dyDescent="0.2">
      <c r="A407" s="12" t="s">
        <v>11</v>
      </c>
      <c r="B407" s="24">
        <v>2020</v>
      </c>
      <c r="C407" s="25">
        <f t="shared" si="22"/>
        <v>0</v>
      </c>
      <c r="D407" s="25">
        <f t="shared" si="23"/>
        <v>30.04256230626363</v>
      </c>
      <c r="E407" s="26">
        <f t="shared" si="24"/>
        <v>5.5893115166580509</v>
      </c>
      <c r="F407" s="26">
        <f t="shared" si="25"/>
        <v>10.647706690000001</v>
      </c>
      <c r="J407" s="20" t="s">
        <v>23</v>
      </c>
      <c r="K407" s="11">
        <v>2020</v>
      </c>
      <c r="L407" s="15"/>
      <c r="M407" s="15"/>
      <c r="N407" s="16"/>
      <c r="O407" s="21">
        <v>10.647706690000001</v>
      </c>
      <c r="R407" s="22" t="s">
        <v>23</v>
      </c>
      <c r="S407">
        <v>2020</v>
      </c>
      <c r="U407">
        <v>22233.663620497533</v>
      </c>
      <c r="V407">
        <v>4.1364937805467585</v>
      </c>
      <c r="W407" s="23"/>
    </row>
    <row r="408" spans="1:23" x14ac:dyDescent="0.2">
      <c r="A408" s="12" t="s">
        <v>11</v>
      </c>
      <c r="B408" s="24">
        <v>2021</v>
      </c>
      <c r="C408" s="25">
        <f t="shared" si="22"/>
        <v>0</v>
      </c>
      <c r="D408" s="25">
        <f t="shared" si="23"/>
        <v>30.04256230626363</v>
      </c>
      <c r="E408" s="26">
        <f t="shared" si="24"/>
        <v>5.7056595230558056</v>
      </c>
      <c r="F408" s="26">
        <f t="shared" si="25"/>
        <v>10.647706690000001</v>
      </c>
      <c r="J408" s="20" t="s">
        <v>23</v>
      </c>
      <c r="K408" s="11">
        <v>2021</v>
      </c>
      <c r="L408" s="15"/>
      <c r="M408" s="15"/>
      <c r="N408" s="16"/>
      <c r="O408" s="21">
        <v>10.647706690000001</v>
      </c>
      <c r="R408" s="22" t="s">
        <v>23</v>
      </c>
      <c r="S408">
        <v>2021</v>
      </c>
      <c r="U408">
        <v>22233.663620497533</v>
      </c>
      <c r="V408">
        <v>4.2225996995689803</v>
      </c>
      <c r="W408" s="23"/>
    </row>
    <row r="409" spans="1:23" x14ac:dyDescent="0.2">
      <c r="A409" s="12" t="s">
        <v>11</v>
      </c>
      <c r="B409" s="24">
        <v>2022</v>
      </c>
      <c r="C409" s="25">
        <f t="shared" si="22"/>
        <v>0</v>
      </c>
      <c r="D409" s="25">
        <f t="shared" si="23"/>
        <v>30.04256230626363</v>
      </c>
      <c r="E409" s="26">
        <f t="shared" si="24"/>
        <v>5.822007529453562</v>
      </c>
      <c r="F409" s="26">
        <f t="shared" si="25"/>
        <v>10.647706690000001</v>
      </c>
      <c r="J409" s="20" t="s">
        <v>23</v>
      </c>
      <c r="K409" s="11">
        <v>2022</v>
      </c>
      <c r="L409" s="15"/>
      <c r="M409" s="15"/>
      <c r="N409" s="16"/>
      <c r="O409" s="21">
        <v>10.647706690000001</v>
      </c>
      <c r="R409" s="22" t="s">
        <v>23</v>
      </c>
      <c r="S409">
        <v>2022</v>
      </c>
      <c r="U409">
        <v>22233.663620497533</v>
      </c>
      <c r="V409">
        <v>4.3087056185912029</v>
      </c>
      <c r="W409" s="23"/>
    </row>
    <row r="410" spans="1:23" x14ac:dyDescent="0.2">
      <c r="A410" s="12" t="s">
        <v>11</v>
      </c>
      <c r="B410" s="24">
        <v>2023</v>
      </c>
      <c r="C410" s="25">
        <f t="shared" si="22"/>
        <v>0</v>
      </c>
      <c r="D410" s="25">
        <f t="shared" si="23"/>
        <v>30.04256230626363</v>
      </c>
      <c r="E410" s="26">
        <f t="shared" si="24"/>
        <v>5.9383555358513176</v>
      </c>
      <c r="F410" s="26">
        <f t="shared" si="25"/>
        <v>10.647706690000001</v>
      </c>
      <c r="J410" s="20" t="s">
        <v>23</v>
      </c>
      <c r="K410" s="11">
        <v>2023</v>
      </c>
      <c r="L410" s="15"/>
      <c r="M410" s="15"/>
      <c r="N410" s="16"/>
      <c r="O410" s="21">
        <v>10.647706690000001</v>
      </c>
      <c r="R410" s="22" t="s">
        <v>23</v>
      </c>
      <c r="S410">
        <v>2023</v>
      </c>
      <c r="U410">
        <v>22233.663620497533</v>
      </c>
      <c r="V410">
        <v>4.3948115376134247</v>
      </c>
      <c r="W410" s="23"/>
    </row>
    <row r="411" spans="1:23" x14ac:dyDescent="0.2">
      <c r="A411" s="12" t="s">
        <v>11</v>
      </c>
      <c r="B411" s="24">
        <v>2024</v>
      </c>
      <c r="C411" s="25">
        <f t="shared" si="22"/>
        <v>0</v>
      </c>
      <c r="D411" s="25">
        <f t="shared" si="23"/>
        <v>30.04256230626363</v>
      </c>
      <c r="E411" s="26">
        <f t="shared" si="24"/>
        <v>6.054703542249074</v>
      </c>
      <c r="F411" s="26">
        <f t="shared" si="25"/>
        <v>10.647706690000001</v>
      </c>
      <c r="J411" s="20" t="s">
        <v>23</v>
      </c>
      <c r="K411" s="11">
        <v>2024</v>
      </c>
      <c r="L411" s="15"/>
      <c r="M411" s="15"/>
      <c r="N411" s="16"/>
      <c r="O411" s="21">
        <v>10.647706690000001</v>
      </c>
      <c r="R411" s="22" t="s">
        <v>23</v>
      </c>
      <c r="S411">
        <v>2024</v>
      </c>
      <c r="U411">
        <v>22233.663620497533</v>
      </c>
      <c r="V411">
        <v>4.4809174566356473</v>
      </c>
      <c r="W411" s="23"/>
    </row>
    <row r="412" spans="1:23" x14ac:dyDescent="0.2">
      <c r="A412" s="12" t="s">
        <v>11</v>
      </c>
      <c r="B412" s="24">
        <v>2025</v>
      </c>
      <c r="C412" s="25">
        <f t="shared" si="22"/>
        <v>1649.8941272956847</v>
      </c>
      <c r="D412" s="25">
        <f t="shared" si="23"/>
        <v>30.04256230626363</v>
      </c>
      <c r="E412" s="26">
        <f t="shared" si="24"/>
        <v>6.1710515486468296</v>
      </c>
      <c r="F412" s="26">
        <f t="shared" si="25"/>
        <v>10.647706690000001</v>
      </c>
      <c r="J412" s="20" t="s">
        <v>23</v>
      </c>
      <c r="K412" s="11">
        <v>2025</v>
      </c>
      <c r="L412" s="15"/>
      <c r="M412" s="15"/>
      <c r="N412" s="16"/>
      <c r="O412" s="21">
        <v>10.647706690000001</v>
      </c>
      <c r="R412" s="22" t="s">
        <v>23</v>
      </c>
      <c r="S412">
        <v>2025</v>
      </c>
      <c r="U412">
        <v>22233.663620497533</v>
      </c>
      <c r="V412">
        <v>4.5670233756578691</v>
      </c>
      <c r="W412" s="23"/>
    </row>
    <row r="413" spans="1:23" x14ac:dyDescent="0.2">
      <c r="A413" s="12" t="s">
        <v>11</v>
      </c>
      <c r="B413" s="24">
        <v>2026</v>
      </c>
      <c r="C413" s="25">
        <f t="shared" si="22"/>
        <v>1629.9356183338759</v>
      </c>
      <c r="D413" s="25">
        <f t="shared" si="23"/>
        <v>30.04256230626363</v>
      </c>
      <c r="E413" s="26">
        <f t="shared" si="24"/>
        <v>6.2995091490011834</v>
      </c>
      <c r="F413" s="26">
        <f t="shared" si="25"/>
        <v>10.647706690000001</v>
      </c>
      <c r="J413" s="20" t="s">
        <v>23</v>
      </c>
      <c r="K413" s="11">
        <v>2026</v>
      </c>
      <c r="L413" s="15"/>
      <c r="M413" s="15"/>
      <c r="N413" s="16"/>
      <c r="O413" s="21">
        <v>10.647706690000001</v>
      </c>
      <c r="R413" s="22" t="s">
        <v>23</v>
      </c>
      <c r="S413">
        <v>2026</v>
      </c>
      <c r="U413">
        <v>22233.663620497533</v>
      </c>
      <c r="V413">
        <v>4.6620912678921984</v>
      </c>
      <c r="W413" s="23"/>
    </row>
    <row r="414" spans="1:23" x14ac:dyDescent="0.2">
      <c r="A414" s="12" t="s">
        <v>11</v>
      </c>
      <c r="B414" s="24">
        <v>2027</v>
      </c>
      <c r="C414" s="25">
        <f t="shared" si="22"/>
        <v>1614.0210616605023</v>
      </c>
      <c r="D414" s="25">
        <f t="shared" si="23"/>
        <v>30.04256230626363</v>
      </c>
      <c r="E414" s="26">
        <f t="shared" si="24"/>
        <v>6.4279667493555364</v>
      </c>
      <c r="F414" s="26">
        <f t="shared" si="25"/>
        <v>10.647706690000001</v>
      </c>
      <c r="J414" s="20" t="s">
        <v>23</v>
      </c>
      <c r="K414" s="11">
        <v>2027</v>
      </c>
      <c r="L414" s="15"/>
      <c r="M414" s="15"/>
      <c r="N414" s="16"/>
      <c r="O414" s="21">
        <v>10.647706690000001</v>
      </c>
      <c r="R414" s="22" t="s">
        <v>23</v>
      </c>
      <c r="S414">
        <v>2027</v>
      </c>
      <c r="U414">
        <v>22233.663620497533</v>
      </c>
      <c r="V414">
        <v>4.7571591601265277</v>
      </c>
      <c r="W414" s="23"/>
    </row>
    <row r="415" spans="1:23" x14ac:dyDescent="0.2">
      <c r="A415" s="12" t="s">
        <v>11</v>
      </c>
      <c r="B415" s="24">
        <v>2028</v>
      </c>
      <c r="C415" s="25">
        <f t="shared" si="22"/>
        <v>1584.1812959548536</v>
      </c>
      <c r="D415" s="25">
        <f t="shared" si="23"/>
        <v>30.04256230626363</v>
      </c>
      <c r="E415" s="26">
        <f t="shared" si="24"/>
        <v>6.5564243497098884</v>
      </c>
      <c r="F415" s="26">
        <f t="shared" si="25"/>
        <v>10.647706690000001</v>
      </c>
      <c r="J415" s="20" t="s">
        <v>23</v>
      </c>
      <c r="K415" s="11">
        <v>2028</v>
      </c>
      <c r="L415" s="15"/>
      <c r="M415" s="15"/>
      <c r="N415" s="16"/>
      <c r="O415" s="21">
        <v>10.647706690000001</v>
      </c>
      <c r="R415" s="22" t="s">
        <v>23</v>
      </c>
      <c r="S415">
        <v>2028</v>
      </c>
      <c r="U415">
        <v>22233.663620497533</v>
      </c>
      <c r="V415">
        <v>4.8522270523608562</v>
      </c>
      <c r="W415" s="23"/>
    </row>
    <row r="416" spans="1:23" x14ac:dyDescent="0.2">
      <c r="A416" s="12" t="s">
        <v>11</v>
      </c>
      <c r="B416" s="24">
        <v>2029</v>
      </c>
      <c r="C416" s="25">
        <f t="shared" si="22"/>
        <v>1559.3342439300036</v>
      </c>
      <c r="D416" s="25">
        <f t="shared" si="23"/>
        <v>30.04256230626363</v>
      </c>
      <c r="E416" s="26">
        <f t="shared" si="24"/>
        <v>6.6848819500642414</v>
      </c>
      <c r="F416" s="26">
        <f t="shared" si="25"/>
        <v>10.647706690000001</v>
      </c>
      <c r="J416" s="20" t="s">
        <v>23</v>
      </c>
      <c r="K416" s="11">
        <v>2029</v>
      </c>
      <c r="L416" s="15"/>
      <c r="M416" s="15"/>
      <c r="N416" s="16"/>
      <c r="O416" s="21">
        <v>10.647706690000001</v>
      </c>
      <c r="R416" s="22" t="s">
        <v>23</v>
      </c>
      <c r="S416">
        <v>2029</v>
      </c>
      <c r="U416">
        <v>22233.663620497533</v>
      </c>
      <c r="V416">
        <v>4.9472949445951855</v>
      </c>
      <c r="W416" s="23"/>
    </row>
    <row r="417" spans="1:23" x14ac:dyDescent="0.2">
      <c r="A417" s="12" t="s">
        <v>11</v>
      </c>
      <c r="B417" s="24">
        <v>2030</v>
      </c>
      <c r="C417" s="25">
        <f t="shared" si="22"/>
        <v>1538.8716759263325</v>
      </c>
      <c r="D417" s="25">
        <f t="shared" si="23"/>
        <v>30.04256230626363</v>
      </c>
      <c r="E417" s="26">
        <f t="shared" si="24"/>
        <v>6.8133395504185952</v>
      </c>
      <c r="F417" s="26">
        <f t="shared" si="25"/>
        <v>10.647706690000001</v>
      </c>
      <c r="J417" s="20" t="s">
        <v>23</v>
      </c>
      <c r="K417" s="11">
        <v>2030</v>
      </c>
      <c r="L417" s="15"/>
      <c r="M417" s="15"/>
      <c r="N417" s="16"/>
      <c r="O417" s="21">
        <v>10.647706690000001</v>
      </c>
      <c r="R417" s="22" t="s">
        <v>23</v>
      </c>
      <c r="S417">
        <v>2030</v>
      </c>
      <c r="U417">
        <v>22233.663620497533</v>
      </c>
      <c r="V417">
        <v>5.0423628368295148</v>
      </c>
      <c r="W417" s="23"/>
    </row>
    <row r="418" spans="1:23" x14ac:dyDescent="0.2">
      <c r="A418" s="12" t="s">
        <v>11</v>
      </c>
      <c r="B418" s="24">
        <v>2031</v>
      </c>
      <c r="C418" s="25">
        <f t="shared" si="22"/>
        <v>1522.7857968548428</v>
      </c>
      <c r="D418" s="25">
        <f t="shared" si="23"/>
        <v>30.04256230626363</v>
      </c>
      <c r="E418" s="26">
        <f t="shared" si="24"/>
        <v>6.9551671209949744</v>
      </c>
      <c r="F418" s="26">
        <f t="shared" si="25"/>
        <v>10.647706690000001</v>
      </c>
      <c r="J418" s="20" t="s">
        <v>23</v>
      </c>
      <c r="K418" s="11">
        <v>2031</v>
      </c>
      <c r="L418" s="15"/>
      <c r="M418" s="15"/>
      <c r="N418" s="16"/>
      <c r="O418" s="21">
        <v>10.647706690000001</v>
      </c>
      <c r="R418" s="22" t="s">
        <v>23</v>
      </c>
      <c r="S418">
        <v>2031</v>
      </c>
      <c r="U418">
        <v>22233.663620497533</v>
      </c>
      <c r="V418">
        <v>5.1473254716461243</v>
      </c>
      <c r="W418" s="23"/>
    </row>
    <row r="419" spans="1:23" x14ac:dyDescent="0.2">
      <c r="A419" s="12" t="s">
        <v>11</v>
      </c>
      <c r="B419" s="24">
        <v>2032</v>
      </c>
      <c r="C419" s="25">
        <f t="shared" si="22"/>
        <v>1508.7547873467022</v>
      </c>
      <c r="D419" s="25">
        <f t="shared" si="23"/>
        <v>30.04256230626363</v>
      </c>
      <c r="E419" s="26">
        <f t="shared" si="24"/>
        <v>7.0969946915713527</v>
      </c>
      <c r="F419" s="26">
        <f t="shared" si="25"/>
        <v>10.647706690000001</v>
      </c>
      <c r="J419" s="20" t="s">
        <v>23</v>
      </c>
      <c r="K419" s="11">
        <v>2032</v>
      </c>
      <c r="L419" s="15"/>
      <c r="M419" s="15"/>
      <c r="N419" s="16"/>
      <c r="O419" s="21">
        <v>10.647706690000001</v>
      </c>
      <c r="R419" s="22" t="s">
        <v>23</v>
      </c>
      <c r="S419">
        <v>2032</v>
      </c>
      <c r="U419">
        <v>22233.663620497533</v>
      </c>
      <c r="V419">
        <v>5.2522881064627338</v>
      </c>
      <c r="W419" s="23"/>
    </row>
    <row r="420" spans="1:23" x14ac:dyDescent="0.2">
      <c r="A420" s="12" t="s">
        <v>11</v>
      </c>
      <c r="B420" s="24">
        <v>2033</v>
      </c>
      <c r="C420" s="25">
        <f t="shared" si="22"/>
        <v>1495.0993666361219</v>
      </c>
      <c r="D420" s="25">
        <f t="shared" si="23"/>
        <v>30.04256230626363</v>
      </c>
      <c r="E420" s="26">
        <f t="shared" si="24"/>
        <v>7.2388222621477309</v>
      </c>
      <c r="F420" s="26">
        <f t="shared" si="25"/>
        <v>10.647706690000001</v>
      </c>
      <c r="J420" s="20" t="s">
        <v>23</v>
      </c>
      <c r="K420" s="11">
        <v>2033</v>
      </c>
      <c r="L420" s="15"/>
      <c r="M420" s="15"/>
      <c r="N420" s="16"/>
      <c r="O420" s="21">
        <v>10.647706690000001</v>
      </c>
      <c r="R420" s="22" t="s">
        <v>23</v>
      </c>
      <c r="S420">
        <v>2033</v>
      </c>
      <c r="U420">
        <v>22233.663620497533</v>
      </c>
      <c r="V420">
        <v>5.3572507412793424</v>
      </c>
      <c r="W420" s="23"/>
    </row>
    <row r="421" spans="1:23" x14ac:dyDescent="0.2">
      <c r="A421" s="12" t="s">
        <v>11</v>
      </c>
      <c r="B421" s="24">
        <v>2034</v>
      </c>
      <c r="C421" s="25">
        <f t="shared" si="22"/>
        <v>1466.2965018827085</v>
      </c>
      <c r="D421" s="25">
        <f t="shared" si="23"/>
        <v>30.04256230626363</v>
      </c>
      <c r="E421" s="26">
        <f t="shared" si="24"/>
        <v>7.3806498327241101</v>
      </c>
      <c r="F421" s="26">
        <f t="shared" si="25"/>
        <v>10.647706690000001</v>
      </c>
      <c r="J421" s="20" t="s">
        <v>23</v>
      </c>
      <c r="K421" s="11">
        <v>2034</v>
      </c>
      <c r="L421" s="15"/>
      <c r="M421" s="15"/>
      <c r="N421" s="16"/>
      <c r="O421" s="21">
        <v>10.647706690000001</v>
      </c>
      <c r="R421" s="22" t="s">
        <v>23</v>
      </c>
      <c r="S421">
        <v>2034</v>
      </c>
      <c r="U421">
        <v>22233.663620497533</v>
      </c>
      <c r="V421">
        <v>5.4622133760959519</v>
      </c>
      <c r="W421" s="23"/>
    </row>
    <row r="422" spans="1:23" x14ac:dyDescent="0.2">
      <c r="A422" s="12" t="s">
        <v>11</v>
      </c>
      <c r="B422" s="24">
        <v>2035</v>
      </c>
      <c r="C422" s="25">
        <f t="shared" si="22"/>
        <v>1456.315072891025</v>
      </c>
      <c r="D422" s="25">
        <f t="shared" si="23"/>
        <v>30.04256230626363</v>
      </c>
      <c r="E422" s="26">
        <f t="shared" si="24"/>
        <v>7.5224774033004893</v>
      </c>
      <c r="F422" s="26">
        <f t="shared" si="25"/>
        <v>10.647706690000001</v>
      </c>
      <c r="J422" s="20" t="s">
        <v>23</v>
      </c>
      <c r="K422" s="11">
        <v>2035</v>
      </c>
      <c r="L422" s="15"/>
      <c r="M422" s="15"/>
      <c r="N422" s="16"/>
      <c r="O422" s="21">
        <v>10.647706690000001</v>
      </c>
      <c r="R422" s="22" t="s">
        <v>23</v>
      </c>
      <c r="S422">
        <v>2035</v>
      </c>
      <c r="U422">
        <v>22233.663620497533</v>
      </c>
      <c r="V422">
        <v>5.5671760109125614</v>
      </c>
      <c r="W422" s="23"/>
    </row>
    <row r="423" spans="1:23" x14ac:dyDescent="0.2">
      <c r="A423" s="12" t="s">
        <v>11</v>
      </c>
      <c r="B423" s="24">
        <v>2036</v>
      </c>
      <c r="C423" s="25">
        <f t="shared" si="22"/>
        <v>1445.7071879960276</v>
      </c>
      <c r="D423" s="25">
        <f t="shared" si="23"/>
        <v>30.04256230626363</v>
      </c>
      <c r="E423" s="26">
        <f t="shared" si="24"/>
        <v>7.6790665013383625</v>
      </c>
      <c r="F423" s="26">
        <f t="shared" si="25"/>
        <v>10.647706690000001</v>
      </c>
      <c r="J423" s="20" t="s">
        <v>23</v>
      </c>
      <c r="K423" s="11">
        <v>2036</v>
      </c>
      <c r="L423" s="15"/>
      <c r="M423" s="15"/>
      <c r="N423" s="16"/>
      <c r="O423" s="21">
        <v>10.647706690000001</v>
      </c>
      <c r="R423" s="22" t="s">
        <v>23</v>
      </c>
      <c r="S423">
        <v>2036</v>
      </c>
      <c r="U423">
        <v>22233.663620497533</v>
      </c>
      <c r="V423">
        <v>5.683063241066872</v>
      </c>
      <c r="W423" s="23"/>
    </row>
    <row r="424" spans="1:23" x14ac:dyDescent="0.2">
      <c r="A424" s="12" t="s">
        <v>11</v>
      </c>
      <c r="B424" s="24">
        <v>2037</v>
      </c>
      <c r="C424" s="25">
        <f t="shared" si="22"/>
        <v>1437.1101349375535</v>
      </c>
      <c r="D424" s="25">
        <f t="shared" si="23"/>
        <v>30.04256230626363</v>
      </c>
      <c r="E424" s="26">
        <f t="shared" si="24"/>
        <v>7.8356555993762358</v>
      </c>
      <c r="F424" s="26">
        <f t="shared" si="25"/>
        <v>10.647706690000001</v>
      </c>
      <c r="J424" s="20" t="s">
        <v>23</v>
      </c>
      <c r="K424" s="11">
        <v>2037</v>
      </c>
      <c r="L424" s="15"/>
      <c r="M424" s="15"/>
      <c r="N424" s="16"/>
      <c r="O424" s="21">
        <v>10.647706690000001</v>
      </c>
      <c r="R424" s="22" t="s">
        <v>23</v>
      </c>
      <c r="S424">
        <v>2037</v>
      </c>
      <c r="U424">
        <v>22233.663620497533</v>
      </c>
      <c r="V424">
        <v>5.7989504712211826</v>
      </c>
      <c r="W424" s="23"/>
    </row>
    <row r="425" spans="1:23" x14ac:dyDescent="0.2">
      <c r="A425" s="12" t="s">
        <v>11</v>
      </c>
      <c r="B425" s="24">
        <v>2038</v>
      </c>
      <c r="C425" s="25">
        <f t="shared" si="22"/>
        <v>1432.4612643726527</v>
      </c>
      <c r="D425" s="25">
        <f t="shared" si="23"/>
        <v>30.04256230626363</v>
      </c>
      <c r="E425" s="26">
        <f t="shared" si="24"/>
        <v>7.9922446974141081</v>
      </c>
      <c r="F425" s="26">
        <f t="shared" si="25"/>
        <v>10.647706690000001</v>
      </c>
      <c r="J425" s="20" t="s">
        <v>23</v>
      </c>
      <c r="K425" s="11">
        <v>2038</v>
      </c>
      <c r="L425" s="15"/>
      <c r="M425" s="15"/>
      <c r="N425" s="16"/>
      <c r="O425" s="21">
        <v>10.647706690000001</v>
      </c>
      <c r="R425" s="22" t="s">
        <v>23</v>
      </c>
      <c r="S425">
        <v>2038</v>
      </c>
      <c r="U425">
        <v>22233.663620497533</v>
      </c>
      <c r="V425">
        <v>5.9148377013754923</v>
      </c>
      <c r="W425" s="23"/>
    </row>
    <row r="426" spans="1:23" x14ac:dyDescent="0.2">
      <c r="A426" s="12" t="s">
        <v>11</v>
      </c>
      <c r="B426" s="24">
        <v>2039</v>
      </c>
      <c r="C426" s="25">
        <f t="shared" si="22"/>
        <v>1427.3610000795809</v>
      </c>
      <c r="D426" s="25">
        <f t="shared" si="23"/>
        <v>30.04256230626363</v>
      </c>
      <c r="E426" s="26">
        <f t="shared" si="24"/>
        <v>8.1488337954519814</v>
      </c>
      <c r="F426" s="26">
        <f t="shared" si="25"/>
        <v>10.647706690000001</v>
      </c>
      <c r="J426" s="20" t="s">
        <v>23</v>
      </c>
      <c r="K426" s="11">
        <v>2039</v>
      </c>
      <c r="L426" s="15"/>
      <c r="M426" s="15"/>
      <c r="N426" s="16"/>
      <c r="O426" s="21">
        <v>10.647706690000001</v>
      </c>
      <c r="R426" s="22" t="s">
        <v>23</v>
      </c>
      <c r="S426">
        <v>2039</v>
      </c>
      <c r="U426">
        <v>22233.663620497533</v>
      </c>
      <c r="V426">
        <v>6.0307249315298028</v>
      </c>
      <c r="W426" s="23"/>
    </row>
    <row r="427" spans="1:23" x14ac:dyDescent="0.2">
      <c r="A427" s="12" t="s">
        <v>11</v>
      </c>
      <c r="B427" s="24">
        <v>2040</v>
      </c>
      <c r="C427" s="25">
        <f t="shared" si="22"/>
        <v>1421.3097648431387</v>
      </c>
      <c r="D427" s="25">
        <f t="shared" si="23"/>
        <v>30.04256230626363</v>
      </c>
      <c r="E427" s="26">
        <f t="shared" si="24"/>
        <v>8.3054228934898546</v>
      </c>
      <c r="F427" s="26">
        <f t="shared" si="25"/>
        <v>10.647706690000001</v>
      </c>
      <c r="J427" s="20" t="s">
        <v>23</v>
      </c>
      <c r="K427" s="11">
        <v>2040</v>
      </c>
      <c r="L427" s="15"/>
      <c r="M427" s="15"/>
      <c r="N427" s="16"/>
      <c r="O427" s="21">
        <v>10.647706690000001</v>
      </c>
      <c r="R427" s="22" t="s">
        <v>23</v>
      </c>
      <c r="S427">
        <v>2040</v>
      </c>
      <c r="U427">
        <v>22233.663620497533</v>
      </c>
      <c r="V427">
        <v>6.1466121616841134</v>
      </c>
      <c r="W427" s="23"/>
    </row>
    <row r="428" spans="1:23" x14ac:dyDescent="0.2">
      <c r="A428" s="12" t="s">
        <v>11</v>
      </c>
      <c r="B428" s="24">
        <v>2041</v>
      </c>
      <c r="C428" s="25">
        <f t="shared" si="22"/>
        <v>1412.3834934824167</v>
      </c>
      <c r="D428" s="25">
        <f t="shared" si="23"/>
        <v>30.04256230626363</v>
      </c>
      <c r="E428" s="26">
        <f t="shared" si="24"/>
        <v>8.4783099106238744</v>
      </c>
      <c r="F428" s="26">
        <f t="shared" si="25"/>
        <v>10.647706690000001</v>
      </c>
      <c r="J428" s="20" t="s">
        <v>23</v>
      </c>
      <c r="K428" s="11">
        <v>2041</v>
      </c>
      <c r="L428" s="15"/>
      <c r="M428" s="15"/>
      <c r="N428" s="16"/>
      <c r="O428" s="21">
        <v>10.647706690000001</v>
      </c>
      <c r="R428" s="22" t="s">
        <v>23</v>
      </c>
      <c r="S428">
        <v>2041</v>
      </c>
      <c r="U428">
        <v>22233.663620497533</v>
      </c>
      <c r="V428">
        <v>6.2745610278335073</v>
      </c>
      <c r="W428" s="23"/>
    </row>
    <row r="429" spans="1:23" x14ac:dyDescent="0.2">
      <c r="A429" s="12" t="s">
        <v>11</v>
      </c>
      <c r="B429" s="24">
        <v>2042</v>
      </c>
      <c r="C429" s="25">
        <f t="shared" si="22"/>
        <v>1408.0617191912379</v>
      </c>
      <c r="D429" s="25">
        <f t="shared" si="23"/>
        <v>30.04256230626363</v>
      </c>
      <c r="E429" s="26">
        <f t="shared" si="24"/>
        <v>8.6511969277578924</v>
      </c>
      <c r="F429" s="26">
        <f t="shared" si="25"/>
        <v>10.647706690000001</v>
      </c>
      <c r="J429" s="20" t="s">
        <v>23</v>
      </c>
      <c r="K429" s="11">
        <v>2042</v>
      </c>
      <c r="L429" s="15"/>
      <c r="M429" s="15"/>
      <c r="N429" s="16"/>
      <c r="O429" s="21">
        <v>10.647706690000001</v>
      </c>
      <c r="R429" s="22" t="s">
        <v>23</v>
      </c>
      <c r="S429">
        <v>2042</v>
      </c>
      <c r="U429">
        <v>22233.663620497533</v>
      </c>
      <c r="V429">
        <v>6.4025098939829013</v>
      </c>
      <c r="W429" s="23"/>
    </row>
    <row r="430" spans="1:23" x14ac:dyDescent="0.2">
      <c r="A430" s="12" t="s">
        <v>11</v>
      </c>
      <c r="B430" s="24">
        <v>2043</v>
      </c>
      <c r="C430" s="25">
        <f t="shared" si="22"/>
        <v>1404.1419488694924</v>
      </c>
      <c r="D430" s="25">
        <f t="shared" si="23"/>
        <v>30.04256230626363</v>
      </c>
      <c r="E430" s="26">
        <f t="shared" si="24"/>
        <v>8.8240839448919104</v>
      </c>
      <c r="F430" s="26">
        <f t="shared" si="25"/>
        <v>10.647706690000001</v>
      </c>
      <c r="J430" s="20" t="s">
        <v>23</v>
      </c>
      <c r="K430" s="11">
        <v>2043</v>
      </c>
      <c r="L430" s="15"/>
      <c r="M430" s="15"/>
      <c r="N430" s="16"/>
      <c r="O430" s="21">
        <v>10.647706690000001</v>
      </c>
      <c r="R430" s="22" t="s">
        <v>23</v>
      </c>
      <c r="S430">
        <v>2043</v>
      </c>
      <c r="U430">
        <v>22233.663620497533</v>
      </c>
      <c r="V430">
        <v>6.5304587601322961</v>
      </c>
      <c r="W430" s="23"/>
    </row>
    <row r="431" spans="1:23" x14ac:dyDescent="0.2">
      <c r="A431" s="12" t="s">
        <v>11</v>
      </c>
      <c r="B431" s="24">
        <v>2044</v>
      </c>
      <c r="C431" s="25">
        <f t="shared" si="22"/>
        <v>1399.1133830613026</v>
      </c>
      <c r="D431" s="25">
        <f t="shared" si="23"/>
        <v>30.04256230626363</v>
      </c>
      <c r="E431" s="26">
        <f t="shared" si="24"/>
        <v>8.9969709620259284</v>
      </c>
      <c r="F431" s="26">
        <f t="shared" si="25"/>
        <v>10.647706690000001</v>
      </c>
      <c r="J431" s="20" t="s">
        <v>23</v>
      </c>
      <c r="K431" s="11">
        <v>2044</v>
      </c>
      <c r="L431" s="15"/>
      <c r="M431" s="15"/>
      <c r="N431" s="16"/>
      <c r="O431" s="21">
        <v>10.647706690000001</v>
      </c>
      <c r="R431" s="22" t="s">
        <v>23</v>
      </c>
      <c r="S431">
        <v>2044</v>
      </c>
      <c r="U431">
        <v>22233.663620497533</v>
      </c>
      <c r="V431">
        <v>6.65840762628169</v>
      </c>
      <c r="W431" s="23"/>
    </row>
    <row r="432" spans="1:23" x14ac:dyDescent="0.2">
      <c r="A432" s="12" t="s">
        <v>11</v>
      </c>
      <c r="B432" s="24">
        <v>2045</v>
      </c>
      <c r="C432" s="25">
        <f t="shared" si="22"/>
        <v>1395.1712001501837</v>
      </c>
      <c r="D432" s="25">
        <f t="shared" si="23"/>
        <v>30.04256230626363</v>
      </c>
      <c r="E432" s="26">
        <f t="shared" si="24"/>
        <v>9.1698579791599482</v>
      </c>
      <c r="F432" s="26">
        <f t="shared" si="25"/>
        <v>10.647706690000001</v>
      </c>
      <c r="J432" s="20" t="s">
        <v>23</v>
      </c>
      <c r="K432" s="11">
        <v>2045</v>
      </c>
      <c r="L432" s="15"/>
      <c r="M432" s="15"/>
      <c r="N432" s="16"/>
      <c r="O432" s="21">
        <v>10.647706690000001</v>
      </c>
      <c r="R432" s="22" t="s">
        <v>23</v>
      </c>
      <c r="S432">
        <v>2045</v>
      </c>
      <c r="U432">
        <v>22233.663620497533</v>
      </c>
      <c r="V432">
        <v>6.786356492431084</v>
      </c>
      <c r="W432" s="23"/>
    </row>
    <row r="433" spans="1:23" x14ac:dyDescent="0.2">
      <c r="A433" s="12" t="s">
        <v>11</v>
      </c>
      <c r="B433" s="24">
        <v>2046</v>
      </c>
      <c r="C433" s="25">
        <f t="shared" si="22"/>
        <v>1389.589740491564</v>
      </c>
      <c r="D433" s="25">
        <f t="shared" si="23"/>
        <v>30.04256230626363</v>
      </c>
      <c r="E433" s="26">
        <f t="shared" si="24"/>
        <v>9.3607392159001268</v>
      </c>
      <c r="F433" s="26">
        <f t="shared" si="25"/>
        <v>10.647706690000001</v>
      </c>
      <c r="J433" s="20" t="s">
        <v>23</v>
      </c>
      <c r="K433" s="11">
        <v>2046</v>
      </c>
      <c r="L433" s="15"/>
      <c r="M433" s="15"/>
      <c r="N433" s="16"/>
      <c r="O433" s="21">
        <v>10.647706690000001</v>
      </c>
      <c r="R433" s="22" t="s">
        <v>23</v>
      </c>
      <c r="S433">
        <v>2046</v>
      </c>
      <c r="U433">
        <v>22233.663620497533</v>
      </c>
      <c r="V433">
        <v>6.9276223793378362</v>
      </c>
      <c r="W433" s="23"/>
    </row>
    <row r="434" spans="1:23" x14ac:dyDescent="0.2">
      <c r="A434" s="12" t="s">
        <v>11</v>
      </c>
      <c r="B434" s="24">
        <v>2047</v>
      </c>
      <c r="C434" s="25">
        <f t="shared" si="22"/>
        <v>1383.4233499494549</v>
      </c>
      <c r="D434" s="25">
        <f t="shared" si="23"/>
        <v>30.04256230626363</v>
      </c>
      <c r="E434" s="26">
        <f t="shared" si="24"/>
        <v>9.5516204526403055</v>
      </c>
      <c r="F434" s="26">
        <f t="shared" si="25"/>
        <v>10.647706690000001</v>
      </c>
      <c r="J434" s="20" t="s">
        <v>23</v>
      </c>
      <c r="K434" s="11">
        <v>2047</v>
      </c>
      <c r="L434" s="15"/>
      <c r="M434" s="15"/>
      <c r="N434" s="16"/>
      <c r="O434" s="21">
        <v>10.647706690000001</v>
      </c>
      <c r="R434" s="22" t="s">
        <v>23</v>
      </c>
      <c r="S434">
        <v>2047</v>
      </c>
      <c r="U434">
        <v>22233.663620497533</v>
      </c>
      <c r="V434">
        <v>7.0688882662445884</v>
      </c>
      <c r="W434" s="23"/>
    </row>
    <row r="435" spans="1:23" x14ac:dyDescent="0.2">
      <c r="A435" s="12" t="s">
        <v>11</v>
      </c>
      <c r="B435" s="24">
        <v>2048</v>
      </c>
      <c r="C435" s="25">
        <f t="shared" si="22"/>
        <v>1378.6237819645291</v>
      </c>
      <c r="D435" s="25">
        <f t="shared" si="23"/>
        <v>30.04256230626363</v>
      </c>
      <c r="E435" s="26">
        <f t="shared" si="24"/>
        <v>9.7425016893804841</v>
      </c>
      <c r="F435" s="26">
        <f t="shared" si="25"/>
        <v>10.647706690000001</v>
      </c>
      <c r="J435" s="20" t="s">
        <v>23</v>
      </c>
      <c r="K435" s="11">
        <v>2048</v>
      </c>
      <c r="L435" s="15"/>
      <c r="M435" s="15"/>
      <c r="N435" s="16"/>
      <c r="O435" s="21">
        <v>10.647706690000001</v>
      </c>
      <c r="R435" s="22" t="s">
        <v>23</v>
      </c>
      <c r="S435">
        <v>2048</v>
      </c>
      <c r="U435">
        <v>22233.663620497533</v>
      </c>
      <c r="V435">
        <v>7.2101541531513407</v>
      </c>
      <c r="W435" s="23"/>
    </row>
    <row r="436" spans="1:23" x14ac:dyDescent="0.2">
      <c r="A436" s="12" t="s">
        <v>11</v>
      </c>
      <c r="B436" s="24">
        <v>2049</v>
      </c>
      <c r="C436" s="25">
        <f t="shared" si="22"/>
        <v>1374.4278943804059</v>
      </c>
      <c r="D436" s="25">
        <f t="shared" si="23"/>
        <v>30.04256230626363</v>
      </c>
      <c r="E436" s="26">
        <f t="shared" si="24"/>
        <v>9.9333829261206628</v>
      </c>
      <c r="F436" s="26">
        <f t="shared" si="25"/>
        <v>10.647706690000001</v>
      </c>
      <c r="J436" s="20" t="s">
        <v>23</v>
      </c>
      <c r="K436" s="11">
        <v>2049</v>
      </c>
      <c r="L436" s="15"/>
      <c r="M436" s="15"/>
      <c r="N436" s="16"/>
      <c r="O436" s="21">
        <v>10.647706690000001</v>
      </c>
      <c r="R436" s="22" t="s">
        <v>23</v>
      </c>
      <c r="S436">
        <v>2049</v>
      </c>
      <c r="U436">
        <v>22233.663620497533</v>
      </c>
      <c r="V436">
        <v>7.3514200400580929</v>
      </c>
      <c r="W436" s="23"/>
    </row>
    <row r="437" spans="1:23" x14ac:dyDescent="0.2">
      <c r="A437" s="12" t="s">
        <v>11</v>
      </c>
      <c r="B437" s="24">
        <v>2050</v>
      </c>
      <c r="C437" s="25">
        <f t="shared" si="22"/>
        <v>1365.9517948386735</v>
      </c>
      <c r="D437" s="25">
        <f t="shared" si="23"/>
        <v>30.04256230626363</v>
      </c>
      <c r="E437" s="26">
        <f t="shared" si="24"/>
        <v>10.124264162860843</v>
      </c>
      <c r="F437" s="26">
        <f t="shared" si="25"/>
        <v>10.647706690000001</v>
      </c>
      <c r="J437" s="20" t="s">
        <v>23</v>
      </c>
      <c r="K437" s="11">
        <v>2050</v>
      </c>
      <c r="L437" s="15"/>
      <c r="M437" s="15"/>
      <c r="N437" s="16"/>
      <c r="O437" s="21">
        <v>10.647706690000001</v>
      </c>
      <c r="R437" s="22" t="s">
        <v>23</v>
      </c>
      <c r="S437">
        <v>2050</v>
      </c>
      <c r="U437">
        <v>22233.663620497533</v>
      </c>
      <c r="V437">
        <v>7.4926859269648451</v>
      </c>
      <c r="W437" s="23"/>
    </row>
    <row r="438" spans="1:23" x14ac:dyDescent="0.2">
      <c r="A438" s="10" t="s">
        <v>12</v>
      </c>
      <c r="B438" s="24">
        <v>2010</v>
      </c>
      <c r="C438" s="25">
        <f t="shared" si="22"/>
        <v>0</v>
      </c>
      <c r="D438" s="25">
        <f>'O&amp;M, Heat Rates'!$D$13</f>
        <v>122.26</v>
      </c>
      <c r="E438" s="26">
        <f>'O&amp;M, Heat Rates'!$C$13</f>
        <v>2.38</v>
      </c>
      <c r="F438" s="26">
        <f>'O&amp;M, Heat Rates'!$E$13/1000</f>
        <v>10.455</v>
      </c>
      <c r="J438" s="20" t="s">
        <v>12</v>
      </c>
      <c r="K438" s="11">
        <v>2010</v>
      </c>
      <c r="L438" s="15"/>
      <c r="M438" s="11"/>
      <c r="N438" s="16"/>
      <c r="O438" s="21"/>
      <c r="R438" s="22" t="s">
        <v>12</v>
      </c>
      <c r="S438">
        <v>2010</v>
      </c>
      <c r="W438" s="23"/>
    </row>
    <row r="439" spans="1:23" x14ac:dyDescent="0.2">
      <c r="A439" s="10" t="s">
        <v>12</v>
      </c>
      <c r="B439" s="24">
        <v>2011</v>
      </c>
      <c r="C439" s="25">
        <f t="shared" si="22"/>
        <v>0</v>
      </c>
      <c r="D439" s="25">
        <f>'O&amp;M, Heat Rates'!$D$13</f>
        <v>122.26</v>
      </c>
      <c r="E439" s="26">
        <f>'O&amp;M, Heat Rates'!$C$13</f>
        <v>2.38</v>
      </c>
      <c r="F439" s="26">
        <f>'O&amp;M, Heat Rates'!$E$13/1000</f>
        <v>10.455</v>
      </c>
      <c r="J439" s="20" t="s">
        <v>12</v>
      </c>
      <c r="K439" s="11">
        <v>2011</v>
      </c>
      <c r="L439" s="15"/>
      <c r="M439" s="11"/>
      <c r="N439" s="16"/>
      <c r="O439" s="21"/>
      <c r="R439" s="22" t="s">
        <v>12</v>
      </c>
      <c r="S439">
        <v>2011</v>
      </c>
      <c r="W439" s="23"/>
    </row>
    <row r="440" spans="1:23" x14ac:dyDescent="0.2">
      <c r="A440" s="10" t="s">
        <v>12</v>
      </c>
      <c r="B440" s="24">
        <v>2012</v>
      </c>
      <c r="C440" s="25">
        <f t="shared" si="22"/>
        <v>0</v>
      </c>
      <c r="D440" s="25">
        <f>'O&amp;M, Heat Rates'!$D$13</f>
        <v>122.26</v>
      </c>
      <c r="E440" s="26">
        <f>'O&amp;M, Heat Rates'!$C$13</f>
        <v>2.38</v>
      </c>
      <c r="F440" s="26">
        <f>'O&amp;M, Heat Rates'!$E$13/1000</f>
        <v>10.455</v>
      </c>
      <c r="J440" s="20" t="s">
        <v>12</v>
      </c>
      <c r="K440" s="11">
        <v>2012</v>
      </c>
      <c r="L440" s="15"/>
      <c r="M440" s="11"/>
      <c r="N440" s="16"/>
      <c r="O440" s="21"/>
      <c r="R440" s="22" t="s">
        <v>12</v>
      </c>
      <c r="S440">
        <v>2012</v>
      </c>
      <c r="W440" s="23"/>
    </row>
    <row r="441" spans="1:23" x14ac:dyDescent="0.2">
      <c r="A441" s="10" t="s">
        <v>12</v>
      </c>
      <c r="B441" s="24">
        <v>2013</v>
      </c>
      <c r="C441" s="25">
        <f t="shared" si="22"/>
        <v>0</v>
      </c>
      <c r="D441" s="25">
        <f>'O&amp;M, Heat Rates'!$D$13</f>
        <v>122.26</v>
      </c>
      <c r="E441" s="26">
        <f>'O&amp;M, Heat Rates'!$C$13</f>
        <v>2.38</v>
      </c>
      <c r="F441" s="26">
        <f>'O&amp;M, Heat Rates'!$E$13/1000</f>
        <v>10.455</v>
      </c>
      <c r="J441" s="20" t="s">
        <v>12</v>
      </c>
      <c r="K441" s="11">
        <v>2013</v>
      </c>
      <c r="L441" s="15"/>
      <c r="M441" s="11"/>
      <c r="N441" s="16"/>
      <c r="O441" s="21"/>
      <c r="R441" s="22" t="s">
        <v>12</v>
      </c>
      <c r="S441">
        <v>2013</v>
      </c>
      <c r="W441" s="23"/>
    </row>
    <row r="442" spans="1:23" x14ac:dyDescent="0.2">
      <c r="A442" s="10" t="s">
        <v>12</v>
      </c>
      <c r="B442" s="24">
        <v>2014</v>
      </c>
      <c r="C442" s="25">
        <f t="shared" si="22"/>
        <v>0</v>
      </c>
      <c r="D442" s="25">
        <f>'O&amp;M, Heat Rates'!$D$13</f>
        <v>122.26</v>
      </c>
      <c r="E442" s="26">
        <f>'O&amp;M, Heat Rates'!$C$13</f>
        <v>2.38</v>
      </c>
      <c r="F442" s="26">
        <f>'O&amp;M, Heat Rates'!$E$13/1000</f>
        <v>10.455</v>
      </c>
      <c r="J442" s="20" t="s">
        <v>12</v>
      </c>
      <c r="K442" s="11">
        <v>2014</v>
      </c>
      <c r="L442" s="15"/>
      <c r="M442" s="11"/>
      <c r="N442" s="16"/>
      <c r="O442" s="21"/>
      <c r="R442" s="22" t="s">
        <v>12</v>
      </c>
      <c r="S442">
        <v>2014</v>
      </c>
      <c r="W442" s="23"/>
    </row>
    <row r="443" spans="1:23" x14ac:dyDescent="0.2">
      <c r="A443" s="10" t="s">
        <v>12</v>
      </c>
      <c r="B443" s="24">
        <v>2015</v>
      </c>
      <c r="C443" s="25">
        <f t="shared" si="22"/>
        <v>0</v>
      </c>
      <c r="D443" s="25">
        <f>'O&amp;M, Heat Rates'!$D$13</f>
        <v>122.26</v>
      </c>
      <c r="E443" s="26">
        <f>'O&amp;M, Heat Rates'!$C$13</f>
        <v>2.38</v>
      </c>
      <c r="F443" s="26">
        <f>'O&amp;M, Heat Rates'!$E$13/1000</f>
        <v>10.455</v>
      </c>
      <c r="J443" s="20" t="s">
        <v>12</v>
      </c>
      <c r="K443" s="11">
        <v>2015</v>
      </c>
      <c r="L443" s="15"/>
      <c r="M443" s="11"/>
      <c r="N443" s="16"/>
      <c r="O443" s="21"/>
      <c r="R443" s="22" t="s">
        <v>12</v>
      </c>
      <c r="S443">
        <v>2015</v>
      </c>
      <c r="W443" s="23"/>
    </row>
    <row r="444" spans="1:23" x14ac:dyDescent="0.2">
      <c r="A444" s="10" t="s">
        <v>12</v>
      </c>
      <c r="B444" s="24">
        <v>2016</v>
      </c>
      <c r="C444" s="25">
        <f t="shared" si="22"/>
        <v>0</v>
      </c>
      <c r="D444" s="25">
        <f>'O&amp;M, Heat Rates'!$D$13</f>
        <v>122.26</v>
      </c>
      <c r="E444" s="26">
        <f>'O&amp;M, Heat Rates'!$C$13</f>
        <v>2.38</v>
      </c>
      <c r="F444" s="26">
        <f>'O&amp;M, Heat Rates'!$E$13/1000</f>
        <v>10.455</v>
      </c>
      <c r="J444" s="20" t="s">
        <v>12</v>
      </c>
      <c r="K444" s="11">
        <v>2016</v>
      </c>
      <c r="L444" s="15"/>
      <c r="M444" s="11"/>
      <c r="N444" s="16"/>
      <c r="O444" s="21"/>
      <c r="R444" s="22" t="s">
        <v>12</v>
      </c>
      <c r="S444">
        <v>2016</v>
      </c>
      <c r="W444" s="23"/>
    </row>
    <row r="445" spans="1:23" x14ac:dyDescent="0.2">
      <c r="A445" s="10" t="s">
        <v>12</v>
      </c>
      <c r="B445" s="24">
        <v>2017</v>
      </c>
      <c r="C445" s="25">
        <f t="shared" si="22"/>
        <v>0</v>
      </c>
      <c r="D445" s="25">
        <f>'O&amp;M, Heat Rates'!$D$13</f>
        <v>122.26</v>
      </c>
      <c r="E445" s="26">
        <f>'O&amp;M, Heat Rates'!$C$13</f>
        <v>2.38</v>
      </c>
      <c r="F445" s="26">
        <f>'O&amp;M, Heat Rates'!$E$13/1000</f>
        <v>10.455</v>
      </c>
      <c r="J445" s="20" t="s">
        <v>12</v>
      </c>
      <c r="K445" s="11">
        <v>2017</v>
      </c>
      <c r="L445" s="15"/>
      <c r="M445" s="11"/>
      <c r="N445" s="16"/>
      <c r="O445" s="21"/>
      <c r="R445" s="22" t="s">
        <v>12</v>
      </c>
      <c r="S445">
        <v>2017</v>
      </c>
      <c r="W445" s="23"/>
    </row>
    <row r="446" spans="1:23" x14ac:dyDescent="0.2">
      <c r="A446" s="10" t="s">
        <v>12</v>
      </c>
      <c r="B446" s="24">
        <v>2018</v>
      </c>
      <c r="C446" s="25">
        <f t="shared" si="22"/>
        <v>0</v>
      </c>
      <c r="D446" s="25">
        <f>'O&amp;M, Heat Rates'!$D$13</f>
        <v>122.26</v>
      </c>
      <c r="E446" s="26">
        <f>'O&amp;M, Heat Rates'!$C$13</f>
        <v>2.38</v>
      </c>
      <c r="F446" s="26">
        <f>'O&amp;M, Heat Rates'!$E$13/1000</f>
        <v>10.455</v>
      </c>
      <c r="J446" s="20" t="s">
        <v>12</v>
      </c>
      <c r="K446" s="11">
        <v>2018</v>
      </c>
      <c r="L446" s="15"/>
      <c r="M446" s="11"/>
      <c r="N446" s="16"/>
      <c r="O446" s="21"/>
      <c r="R446" s="22" t="s">
        <v>12</v>
      </c>
      <c r="S446">
        <v>2018</v>
      </c>
      <c r="W446" s="23"/>
    </row>
    <row r="447" spans="1:23" x14ac:dyDescent="0.2">
      <c r="A447" s="10" t="s">
        <v>12</v>
      </c>
      <c r="B447" s="24">
        <v>2019</v>
      </c>
      <c r="C447" s="25">
        <f t="shared" si="22"/>
        <v>0</v>
      </c>
      <c r="D447" s="25">
        <f>'O&amp;M, Heat Rates'!$D$13</f>
        <v>122.26</v>
      </c>
      <c r="E447" s="26">
        <f>'O&amp;M, Heat Rates'!$C$13</f>
        <v>2.38</v>
      </c>
      <c r="F447" s="26">
        <f>'O&amp;M, Heat Rates'!$E$13/1000</f>
        <v>10.455</v>
      </c>
      <c r="J447" s="20" t="s">
        <v>12</v>
      </c>
      <c r="K447" s="11">
        <v>2019</v>
      </c>
      <c r="L447" s="15"/>
      <c r="M447" s="11"/>
      <c r="N447" s="16"/>
      <c r="O447" s="21"/>
      <c r="R447" s="22" t="s">
        <v>12</v>
      </c>
      <c r="S447">
        <v>2019</v>
      </c>
      <c r="W447" s="23"/>
    </row>
    <row r="448" spans="1:23" x14ac:dyDescent="0.2">
      <c r="A448" s="10" t="s">
        <v>12</v>
      </c>
      <c r="B448" s="24">
        <v>2020</v>
      </c>
      <c r="C448" s="25">
        <f t="shared" si="22"/>
        <v>0</v>
      </c>
      <c r="D448" s="25">
        <f>'O&amp;M, Heat Rates'!$D$13</f>
        <v>122.26</v>
      </c>
      <c r="E448" s="26">
        <f>'O&amp;M, Heat Rates'!$C$13</f>
        <v>2.38</v>
      </c>
      <c r="F448" s="26">
        <f>'O&amp;M, Heat Rates'!$E$13/1000</f>
        <v>10.455</v>
      </c>
      <c r="J448" s="20" t="s">
        <v>12</v>
      </c>
      <c r="K448" s="11">
        <v>2020</v>
      </c>
      <c r="L448" s="15"/>
      <c r="M448" s="11"/>
      <c r="N448" s="16"/>
      <c r="O448" s="21"/>
      <c r="R448" s="22" t="s">
        <v>12</v>
      </c>
      <c r="S448">
        <v>2020</v>
      </c>
      <c r="W448" s="23"/>
    </row>
    <row r="449" spans="1:23" x14ac:dyDescent="0.2">
      <c r="A449" s="10" t="s">
        <v>12</v>
      </c>
      <c r="B449" s="24">
        <v>2021</v>
      </c>
      <c r="C449" s="25">
        <f t="shared" si="22"/>
        <v>0</v>
      </c>
      <c r="D449" s="25">
        <f>'O&amp;M, Heat Rates'!$D$13</f>
        <v>122.26</v>
      </c>
      <c r="E449" s="26">
        <f>'O&amp;M, Heat Rates'!$C$13</f>
        <v>2.38</v>
      </c>
      <c r="F449" s="26">
        <f>'O&amp;M, Heat Rates'!$E$13/1000</f>
        <v>10.455</v>
      </c>
      <c r="J449" s="20" t="s">
        <v>12</v>
      </c>
      <c r="K449" s="11">
        <v>2021</v>
      </c>
      <c r="L449" s="15"/>
      <c r="M449" s="11"/>
      <c r="N449" s="16"/>
      <c r="O449" s="21"/>
      <c r="R449" s="22" t="s">
        <v>12</v>
      </c>
      <c r="S449">
        <v>2021</v>
      </c>
      <c r="W449" s="23"/>
    </row>
    <row r="450" spans="1:23" x14ac:dyDescent="0.2">
      <c r="A450" s="10" t="s">
        <v>12</v>
      </c>
      <c r="B450" s="24">
        <v>2022</v>
      </c>
      <c r="C450" s="25">
        <f t="shared" si="22"/>
        <v>0</v>
      </c>
      <c r="D450" s="25">
        <f>'O&amp;M, Heat Rates'!$D$13</f>
        <v>122.26</v>
      </c>
      <c r="E450" s="26">
        <f>'O&amp;M, Heat Rates'!$C$13</f>
        <v>2.38</v>
      </c>
      <c r="F450" s="26">
        <f>'O&amp;M, Heat Rates'!$E$13/1000</f>
        <v>10.455</v>
      </c>
      <c r="J450" s="20" t="s">
        <v>12</v>
      </c>
      <c r="K450" s="11">
        <v>2022</v>
      </c>
      <c r="L450" s="15"/>
      <c r="M450" s="11"/>
      <c r="N450" s="16"/>
      <c r="O450" s="21"/>
      <c r="R450" s="22" t="s">
        <v>12</v>
      </c>
      <c r="S450">
        <v>2022</v>
      </c>
      <c r="W450" s="23"/>
    </row>
    <row r="451" spans="1:23" x14ac:dyDescent="0.2">
      <c r="A451" s="10" t="s">
        <v>12</v>
      </c>
      <c r="B451" s="24">
        <v>2023</v>
      </c>
      <c r="C451" s="25">
        <f t="shared" si="22"/>
        <v>0</v>
      </c>
      <c r="D451" s="25">
        <f>'O&amp;M, Heat Rates'!$D$13</f>
        <v>122.26</v>
      </c>
      <c r="E451" s="26">
        <f>'O&amp;M, Heat Rates'!$C$13</f>
        <v>2.38</v>
      </c>
      <c r="F451" s="26">
        <f>'O&amp;M, Heat Rates'!$E$13/1000</f>
        <v>10.455</v>
      </c>
      <c r="J451" s="20" t="s">
        <v>12</v>
      </c>
      <c r="K451" s="11">
        <v>2023</v>
      </c>
      <c r="L451" s="15"/>
      <c r="M451" s="11"/>
      <c r="N451" s="16"/>
      <c r="O451" s="21"/>
      <c r="R451" s="22" t="s">
        <v>12</v>
      </c>
      <c r="S451">
        <v>2023</v>
      </c>
      <c r="W451" s="23"/>
    </row>
    <row r="452" spans="1:23" x14ac:dyDescent="0.2">
      <c r="A452" s="10" t="s">
        <v>12</v>
      </c>
      <c r="B452" s="24">
        <v>2024</v>
      </c>
      <c r="C452" s="25">
        <f t="shared" si="22"/>
        <v>0</v>
      </c>
      <c r="D452" s="25">
        <f>'O&amp;M, Heat Rates'!$D$13</f>
        <v>122.26</v>
      </c>
      <c r="E452" s="26">
        <f>'O&amp;M, Heat Rates'!$C$13</f>
        <v>2.38</v>
      </c>
      <c r="F452" s="26">
        <f>'O&amp;M, Heat Rates'!$E$13/1000</f>
        <v>10.455</v>
      </c>
      <c r="J452" s="20" t="s">
        <v>12</v>
      </c>
      <c r="K452" s="11">
        <v>2024</v>
      </c>
      <c r="L452" s="15"/>
      <c r="M452" s="11"/>
      <c r="N452" s="16"/>
      <c r="O452" s="21"/>
      <c r="R452" s="22" t="s">
        <v>12</v>
      </c>
      <c r="S452">
        <v>2024</v>
      </c>
      <c r="W452" s="23"/>
    </row>
    <row r="453" spans="1:23" x14ac:dyDescent="0.2">
      <c r="A453" s="10" t="s">
        <v>12</v>
      </c>
      <c r="B453" s="24">
        <v>2025</v>
      </c>
      <c r="C453" s="25">
        <f t="shared" ref="C453:C516" si="26">VLOOKUP(A453,$A$45:$AP$61,VLOOKUP(B453,$Z$69:$AA$109,2,FALSE),FALSE)</f>
        <v>8481.2467367153477</v>
      </c>
      <c r="D453" s="25">
        <f>'O&amp;M, Heat Rates'!$D$13</f>
        <v>122.26</v>
      </c>
      <c r="E453" s="26">
        <f>'O&amp;M, Heat Rates'!$C$13</f>
        <v>2.38</v>
      </c>
      <c r="F453" s="26">
        <f>'O&amp;M, Heat Rates'!$E$13/1000</f>
        <v>10.455</v>
      </c>
      <c r="J453" s="20" t="s">
        <v>12</v>
      </c>
      <c r="K453" s="11">
        <v>2025</v>
      </c>
      <c r="L453" s="15"/>
      <c r="M453" s="11"/>
      <c r="N453" s="16"/>
      <c r="O453" s="21"/>
      <c r="R453" s="22" t="s">
        <v>12</v>
      </c>
      <c r="S453">
        <v>2025</v>
      </c>
      <c r="W453" s="23"/>
    </row>
    <row r="454" spans="1:23" x14ac:dyDescent="0.2">
      <c r="A454" s="10" t="s">
        <v>12</v>
      </c>
      <c r="B454" s="24">
        <v>2026</v>
      </c>
      <c r="C454" s="25">
        <f t="shared" si="26"/>
        <v>8302.7724072822912</v>
      </c>
      <c r="D454" s="25">
        <f>'O&amp;M, Heat Rates'!$D$13</f>
        <v>122.26</v>
      </c>
      <c r="E454" s="26">
        <f>'O&amp;M, Heat Rates'!$C$13</f>
        <v>2.38</v>
      </c>
      <c r="F454" s="26">
        <f>'O&amp;M, Heat Rates'!$E$13/1000</f>
        <v>10.455</v>
      </c>
      <c r="J454" s="20" t="s">
        <v>12</v>
      </c>
      <c r="K454" s="11">
        <v>2026</v>
      </c>
      <c r="L454" s="15"/>
      <c r="M454" s="11"/>
      <c r="N454" s="16"/>
      <c r="O454" s="21"/>
      <c r="R454" s="22" t="s">
        <v>12</v>
      </c>
      <c r="S454">
        <v>2026</v>
      </c>
      <c r="W454" s="23"/>
    </row>
    <row r="455" spans="1:23" x14ac:dyDescent="0.2">
      <c r="A455" s="10" t="s">
        <v>12</v>
      </c>
      <c r="B455" s="24">
        <v>2027</v>
      </c>
      <c r="C455" s="25">
        <f t="shared" si="26"/>
        <v>8248.3533402444464</v>
      </c>
      <c r="D455" s="25">
        <f>'O&amp;M, Heat Rates'!$D$13</f>
        <v>122.26</v>
      </c>
      <c r="E455" s="26">
        <f>'O&amp;M, Heat Rates'!$C$13</f>
        <v>2.38</v>
      </c>
      <c r="F455" s="26">
        <f>'O&amp;M, Heat Rates'!$E$13/1000</f>
        <v>10.455</v>
      </c>
      <c r="J455" s="20" t="s">
        <v>12</v>
      </c>
      <c r="K455" s="11">
        <v>2027</v>
      </c>
      <c r="L455" s="15"/>
      <c r="M455" s="11"/>
      <c r="N455" s="16"/>
      <c r="O455" s="21"/>
      <c r="R455" s="22" t="s">
        <v>12</v>
      </c>
      <c r="S455">
        <v>2027</v>
      </c>
      <c r="W455" s="23"/>
    </row>
    <row r="456" spans="1:23" x14ac:dyDescent="0.2">
      <c r="A456" s="10" t="s">
        <v>12</v>
      </c>
      <c r="B456" s="24">
        <v>2028</v>
      </c>
      <c r="C456" s="25">
        <f t="shared" si="26"/>
        <v>8141.026575958731</v>
      </c>
      <c r="D456" s="25">
        <f>'O&amp;M, Heat Rates'!$D$13</f>
        <v>122.26</v>
      </c>
      <c r="E456" s="26">
        <f>'O&amp;M, Heat Rates'!$C$13</f>
        <v>2.38</v>
      </c>
      <c r="F456" s="26">
        <f>'O&amp;M, Heat Rates'!$E$13/1000</f>
        <v>10.455</v>
      </c>
      <c r="J456" s="20" t="s">
        <v>12</v>
      </c>
      <c r="K456" s="11">
        <v>2028</v>
      </c>
      <c r="L456" s="15"/>
      <c r="M456" s="11"/>
      <c r="N456" s="16"/>
      <c r="O456" s="21"/>
      <c r="R456" s="22" t="s">
        <v>12</v>
      </c>
      <c r="S456">
        <v>2028</v>
      </c>
      <c r="W456" s="23"/>
    </row>
    <row r="457" spans="1:23" x14ac:dyDescent="0.2">
      <c r="A457" s="10" t="s">
        <v>12</v>
      </c>
      <c r="B457" s="24">
        <v>2029</v>
      </c>
      <c r="C457" s="25">
        <f t="shared" si="26"/>
        <v>8050.2305686060381</v>
      </c>
      <c r="D457" s="25">
        <f>'O&amp;M, Heat Rates'!$D$13</f>
        <v>122.26</v>
      </c>
      <c r="E457" s="26">
        <f>'O&amp;M, Heat Rates'!$C$13</f>
        <v>2.38</v>
      </c>
      <c r="F457" s="26">
        <f>'O&amp;M, Heat Rates'!$E$13/1000</f>
        <v>10.455</v>
      </c>
      <c r="J457" s="20" t="s">
        <v>12</v>
      </c>
      <c r="K457" s="11">
        <v>2029</v>
      </c>
      <c r="L457" s="15"/>
      <c r="M457" s="11"/>
      <c r="N457" s="16"/>
      <c r="O457" s="21"/>
      <c r="R457" s="22" t="s">
        <v>12</v>
      </c>
      <c r="S457">
        <v>2029</v>
      </c>
      <c r="W457" s="23"/>
    </row>
    <row r="458" spans="1:23" x14ac:dyDescent="0.2">
      <c r="A458" s="10" t="s">
        <v>12</v>
      </c>
      <c r="B458" s="24">
        <v>2030</v>
      </c>
      <c r="C458" s="25">
        <f t="shared" si="26"/>
        <v>7961.6770790418914</v>
      </c>
      <c r="D458" s="25">
        <f>'O&amp;M, Heat Rates'!$D$13</f>
        <v>122.26</v>
      </c>
      <c r="E458" s="26">
        <f>'O&amp;M, Heat Rates'!$C$13</f>
        <v>2.38</v>
      </c>
      <c r="F458" s="26">
        <f>'O&amp;M, Heat Rates'!$E$13/1000</f>
        <v>10.455</v>
      </c>
      <c r="J458" s="20" t="s">
        <v>12</v>
      </c>
      <c r="K458" s="11">
        <v>2030</v>
      </c>
      <c r="L458" s="15"/>
      <c r="M458" s="11"/>
      <c r="N458" s="16"/>
      <c r="O458" s="21"/>
      <c r="R458" s="22" t="s">
        <v>12</v>
      </c>
      <c r="S458">
        <v>2030</v>
      </c>
      <c r="W458" s="23"/>
    </row>
    <row r="459" spans="1:23" x14ac:dyDescent="0.2">
      <c r="A459" s="10" t="s">
        <v>12</v>
      </c>
      <c r="B459" s="24">
        <v>2031</v>
      </c>
      <c r="C459" s="25">
        <f t="shared" si="26"/>
        <v>7900.7677338139838</v>
      </c>
      <c r="D459" s="25">
        <f>'O&amp;M, Heat Rates'!$D$13</f>
        <v>122.26</v>
      </c>
      <c r="E459" s="26">
        <f>'O&amp;M, Heat Rates'!$C$13</f>
        <v>2.38</v>
      </c>
      <c r="F459" s="26">
        <f>'O&amp;M, Heat Rates'!$E$13/1000</f>
        <v>10.455</v>
      </c>
      <c r="J459" s="20" t="s">
        <v>12</v>
      </c>
      <c r="K459" s="11">
        <v>2031</v>
      </c>
      <c r="L459" s="15"/>
      <c r="M459" s="11"/>
      <c r="N459" s="16"/>
      <c r="O459" s="21"/>
      <c r="R459" s="22" t="s">
        <v>12</v>
      </c>
      <c r="S459">
        <v>2031</v>
      </c>
      <c r="W459" s="23"/>
    </row>
    <row r="460" spans="1:23" x14ac:dyDescent="0.2">
      <c r="A460" s="10" t="s">
        <v>12</v>
      </c>
      <c r="B460" s="24">
        <v>2032</v>
      </c>
      <c r="C460" s="25">
        <f t="shared" si="26"/>
        <v>7843.1781393849633</v>
      </c>
      <c r="D460" s="25">
        <f>'O&amp;M, Heat Rates'!$D$13</f>
        <v>122.26</v>
      </c>
      <c r="E460" s="26">
        <f>'O&amp;M, Heat Rates'!$C$13</f>
        <v>2.38</v>
      </c>
      <c r="F460" s="26">
        <f>'O&amp;M, Heat Rates'!$E$13/1000</f>
        <v>10.455</v>
      </c>
      <c r="J460" s="20" t="s">
        <v>12</v>
      </c>
      <c r="K460" s="11">
        <v>2032</v>
      </c>
      <c r="L460" s="15"/>
      <c r="M460" s="11"/>
      <c r="N460" s="16"/>
      <c r="O460" s="21"/>
      <c r="R460" s="22" t="s">
        <v>12</v>
      </c>
      <c r="S460">
        <v>2032</v>
      </c>
      <c r="W460" s="23"/>
    </row>
    <row r="461" spans="1:23" x14ac:dyDescent="0.2">
      <c r="A461" s="10" t="s">
        <v>12</v>
      </c>
      <c r="B461" s="24">
        <v>2033</v>
      </c>
      <c r="C461" s="25">
        <f t="shared" si="26"/>
        <v>7787.8239344409303</v>
      </c>
      <c r="D461" s="25">
        <f>'O&amp;M, Heat Rates'!$D$13</f>
        <v>122.26</v>
      </c>
      <c r="E461" s="26">
        <f>'O&amp;M, Heat Rates'!$C$13</f>
        <v>2.38</v>
      </c>
      <c r="F461" s="26">
        <f>'O&amp;M, Heat Rates'!$E$13/1000</f>
        <v>10.455</v>
      </c>
      <c r="J461" s="20" t="s">
        <v>12</v>
      </c>
      <c r="K461" s="11">
        <v>2033</v>
      </c>
      <c r="L461" s="15"/>
      <c r="M461" s="11"/>
      <c r="N461" s="16"/>
      <c r="O461" s="21"/>
      <c r="R461" s="22" t="s">
        <v>12</v>
      </c>
      <c r="S461">
        <v>2033</v>
      </c>
      <c r="W461" s="23"/>
    </row>
    <row r="462" spans="1:23" x14ac:dyDescent="0.2">
      <c r="A462" s="10" t="s">
        <v>12</v>
      </c>
      <c r="B462" s="24">
        <v>2034</v>
      </c>
      <c r="C462" s="25">
        <f t="shared" si="26"/>
        <v>7735.9191027492252</v>
      </c>
      <c r="D462" s="25">
        <f>'O&amp;M, Heat Rates'!$D$13</f>
        <v>122.26</v>
      </c>
      <c r="E462" s="26">
        <f>'O&amp;M, Heat Rates'!$C$13</f>
        <v>2.38</v>
      </c>
      <c r="F462" s="26">
        <f>'O&amp;M, Heat Rates'!$E$13/1000</f>
        <v>10.455</v>
      </c>
      <c r="J462" s="20" t="s">
        <v>12</v>
      </c>
      <c r="K462" s="11">
        <v>2034</v>
      </c>
      <c r="L462" s="15"/>
      <c r="M462" s="11"/>
      <c r="N462" s="16"/>
      <c r="O462" s="21"/>
      <c r="R462" s="22" t="s">
        <v>12</v>
      </c>
      <c r="S462">
        <v>2034</v>
      </c>
      <c r="W462" s="23"/>
    </row>
    <row r="463" spans="1:23" x14ac:dyDescent="0.2">
      <c r="A463" s="10" t="s">
        <v>12</v>
      </c>
      <c r="B463" s="24">
        <v>2035</v>
      </c>
      <c r="C463" s="25">
        <f t="shared" si="26"/>
        <v>7662.4004332860204</v>
      </c>
      <c r="D463" s="25">
        <f>'O&amp;M, Heat Rates'!$D$13</f>
        <v>122.26</v>
      </c>
      <c r="E463" s="26">
        <f>'O&amp;M, Heat Rates'!$C$13</f>
        <v>2.38</v>
      </c>
      <c r="F463" s="26">
        <f>'O&amp;M, Heat Rates'!$E$13/1000</f>
        <v>10.455</v>
      </c>
      <c r="J463" s="20" t="s">
        <v>12</v>
      </c>
      <c r="K463" s="11">
        <v>2035</v>
      </c>
      <c r="L463" s="15"/>
      <c r="M463" s="11"/>
      <c r="N463" s="16"/>
      <c r="O463" s="21"/>
      <c r="R463" s="22" t="s">
        <v>12</v>
      </c>
      <c r="S463">
        <v>2035</v>
      </c>
      <c r="W463" s="23"/>
    </row>
    <row r="464" spans="1:23" x14ac:dyDescent="0.2">
      <c r="A464" s="10" t="s">
        <v>12</v>
      </c>
      <c r="B464" s="24">
        <v>2036</v>
      </c>
      <c r="C464" s="25">
        <f t="shared" si="26"/>
        <v>7582.9532957540359</v>
      </c>
      <c r="D464" s="25">
        <f>'O&amp;M, Heat Rates'!$D$13</f>
        <v>122.26</v>
      </c>
      <c r="E464" s="26">
        <f>'O&amp;M, Heat Rates'!$C$13</f>
        <v>2.38</v>
      </c>
      <c r="F464" s="26">
        <f>'O&amp;M, Heat Rates'!$E$13/1000</f>
        <v>10.455</v>
      </c>
      <c r="J464" s="20" t="s">
        <v>12</v>
      </c>
      <c r="K464" s="11">
        <v>2036</v>
      </c>
      <c r="L464" s="15"/>
      <c r="M464" s="11"/>
      <c r="N464" s="16"/>
      <c r="O464" s="21"/>
      <c r="R464" s="22" t="s">
        <v>12</v>
      </c>
      <c r="S464">
        <v>2036</v>
      </c>
      <c r="W464" s="23"/>
    </row>
    <row r="465" spans="1:23" x14ac:dyDescent="0.2">
      <c r="A465" s="10" t="s">
        <v>12</v>
      </c>
      <c r="B465" s="24">
        <v>2037</v>
      </c>
      <c r="C465" s="25">
        <f t="shared" si="26"/>
        <v>7515.7031039431158</v>
      </c>
      <c r="D465" s="25">
        <f>'O&amp;M, Heat Rates'!$D$13</f>
        <v>122.26</v>
      </c>
      <c r="E465" s="26">
        <f>'O&amp;M, Heat Rates'!$C$13</f>
        <v>2.38</v>
      </c>
      <c r="F465" s="26">
        <f>'O&amp;M, Heat Rates'!$E$13/1000</f>
        <v>10.455</v>
      </c>
      <c r="J465" s="20" t="s">
        <v>12</v>
      </c>
      <c r="K465" s="11">
        <v>2037</v>
      </c>
      <c r="L465" s="15"/>
      <c r="M465" s="11"/>
      <c r="N465" s="16"/>
      <c r="O465" s="21"/>
      <c r="R465" s="22" t="s">
        <v>12</v>
      </c>
      <c r="S465">
        <v>2037</v>
      </c>
      <c r="W465" s="23"/>
    </row>
    <row r="466" spans="1:23" x14ac:dyDescent="0.2">
      <c r="A466" s="10" t="s">
        <v>12</v>
      </c>
      <c r="B466" s="24">
        <v>2038</v>
      </c>
      <c r="C466" s="25">
        <f t="shared" si="26"/>
        <v>7454.6334275222189</v>
      </c>
      <c r="D466" s="25">
        <f>'O&amp;M, Heat Rates'!$D$13</f>
        <v>122.26</v>
      </c>
      <c r="E466" s="26">
        <f>'O&amp;M, Heat Rates'!$C$13</f>
        <v>2.38</v>
      </c>
      <c r="F466" s="26">
        <f>'O&amp;M, Heat Rates'!$E$13/1000</f>
        <v>10.455</v>
      </c>
      <c r="J466" s="20" t="s">
        <v>12</v>
      </c>
      <c r="K466" s="11">
        <v>2038</v>
      </c>
      <c r="L466" s="15"/>
      <c r="M466" s="11"/>
      <c r="N466" s="16"/>
      <c r="O466" s="21"/>
      <c r="R466" s="22" t="s">
        <v>12</v>
      </c>
      <c r="S466">
        <v>2038</v>
      </c>
      <c r="W466" s="23"/>
    </row>
    <row r="467" spans="1:23" x14ac:dyDescent="0.2">
      <c r="A467" s="10" t="s">
        <v>12</v>
      </c>
      <c r="B467" s="24">
        <v>2039</v>
      </c>
      <c r="C467" s="25">
        <f t="shared" si="26"/>
        <v>7388.0344359517885</v>
      </c>
      <c r="D467" s="25">
        <f>'O&amp;M, Heat Rates'!$D$13</f>
        <v>122.26</v>
      </c>
      <c r="E467" s="26">
        <f>'O&amp;M, Heat Rates'!$C$13</f>
        <v>2.38</v>
      </c>
      <c r="F467" s="26">
        <f>'O&amp;M, Heat Rates'!$E$13/1000</f>
        <v>10.455</v>
      </c>
      <c r="J467" s="20" t="s">
        <v>12</v>
      </c>
      <c r="K467" s="11">
        <v>2039</v>
      </c>
      <c r="L467" s="15"/>
      <c r="M467" s="11"/>
      <c r="N467" s="16"/>
      <c r="O467" s="21"/>
      <c r="R467" s="22" t="s">
        <v>12</v>
      </c>
      <c r="S467">
        <v>2039</v>
      </c>
      <c r="W467" s="23"/>
    </row>
    <row r="468" spans="1:23" x14ac:dyDescent="0.2">
      <c r="A468" s="10" t="s">
        <v>12</v>
      </c>
      <c r="B468" s="24">
        <v>2040</v>
      </c>
      <c r="C468" s="25">
        <f t="shared" si="26"/>
        <v>7323.9060052432342</v>
      </c>
      <c r="D468" s="25">
        <f>'O&amp;M, Heat Rates'!$D$13</f>
        <v>122.26</v>
      </c>
      <c r="E468" s="26">
        <f>'O&amp;M, Heat Rates'!$C$13</f>
        <v>2.38</v>
      </c>
      <c r="F468" s="26">
        <f>'O&amp;M, Heat Rates'!$E$13/1000</f>
        <v>10.455</v>
      </c>
      <c r="J468" s="20" t="s">
        <v>12</v>
      </c>
      <c r="K468" s="11">
        <v>2040</v>
      </c>
      <c r="L468" s="15"/>
      <c r="M468" s="11"/>
      <c r="N468" s="16"/>
      <c r="O468" s="21"/>
      <c r="R468" s="22" t="s">
        <v>12</v>
      </c>
      <c r="S468">
        <v>2040</v>
      </c>
      <c r="W468" s="23"/>
    </row>
    <row r="469" spans="1:23" x14ac:dyDescent="0.2">
      <c r="A469" s="10" t="s">
        <v>12</v>
      </c>
      <c r="B469" s="24">
        <v>2041</v>
      </c>
      <c r="C469" s="25">
        <f t="shared" si="26"/>
        <v>7259.8873357826833</v>
      </c>
      <c r="D469" s="25">
        <f>'O&amp;M, Heat Rates'!$D$13</f>
        <v>122.26</v>
      </c>
      <c r="E469" s="26">
        <f>'O&amp;M, Heat Rates'!$C$13</f>
        <v>2.38</v>
      </c>
      <c r="F469" s="26">
        <f>'O&amp;M, Heat Rates'!$E$13/1000</f>
        <v>10.455</v>
      </c>
      <c r="J469" s="20" t="s">
        <v>12</v>
      </c>
      <c r="K469" s="11">
        <v>2041</v>
      </c>
      <c r="L469" s="15"/>
      <c r="M469" s="11"/>
      <c r="N469" s="16"/>
      <c r="O469" s="21"/>
      <c r="R469" s="22" t="s">
        <v>12</v>
      </c>
      <c r="S469">
        <v>2041</v>
      </c>
      <c r="W469" s="23"/>
    </row>
    <row r="470" spans="1:23" x14ac:dyDescent="0.2">
      <c r="A470" s="10" t="s">
        <v>12</v>
      </c>
      <c r="B470" s="24">
        <v>2042</v>
      </c>
      <c r="C470" s="25">
        <f t="shared" si="26"/>
        <v>7200.1758579196448</v>
      </c>
      <c r="D470" s="25">
        <f>'O&amp;M, Heat Rates'!$D$13</f>
        <v>122.26</v>
      </c>
      <c r="E470" s="26">
        <f>'O&amp;M, Heat Rates'!$C$13</f>
        <v>2.38</v>
      </c>
      <c r="F470" s="26">
        <f>'O&amp;M, Heat Rates'!$E$13/1000</f>
        <v>10.455</v>
      </c>
      <c r="J470" s="20" t="s">
        <v>12</v>
      </c>
      <c r="K470" s="11">
        <v>2042</v>
      </c>
      <c r="L470" s="15"/>
      <c r="M470" s="11"/>
      <c r="N470" s="16"/>
      <c r="O470" s="21"/>
      <c r="R470" s="22" t="s">
        <v>12</v>
      </c>
      <c r="S470">
        <v>2042</v>
      </c>
      <c r="W470" s="23"/>
    </row>
    <row r="471" spans="1:23" x14ac:dyDescent="0.2">
      <c r="A471" s="10" t="s">
        <v>12</v>
      </c>
      <c r="B471" s="24">
        <v>2043</v>
      </c>
      <c r="C471" s="25">
        <f t="shared" si="26"/>
        <v>7139.5913431974841</v>
      </c>
      <c r="D471" s="25">
        <f>'O&amp;M, Heat Rates'!$D$13</f>
        <v>122.26</v>
      </c>
      <c r="E471" s="26">
        <f>'O&amp;M, Heat Rates'!$C$13</f>
        <v>2.38</v>
      </c>
      <c r="F471" s="26">
        <f>'O&amp;M, Heat Rates'!$E$13/1000</f>
        <v>10.455</v>
      </c>
      <c r="J471" s="20" t="s">
        <v>12</v>
      </c>
      <c r="K471" s="11">
        <v>2043</v>
      </c>
      <c r="L471" s="15"/>
      <c r="M471" s="11"/>
      <c r="N471" s="16"/>
      <c r="O471" s="21"/>
      <c r="R471" s="22" t="s">
        <v>12</v>
      </c>
      <c r="S471">
        <v>2043</v>
      </c>
      <c r="W471" s="23"/>
    </row>
    <row r="472" spans="1:23" x14ac:dyDescent="0.2">
      <c r="A472" s="10" t="s">
        <v>12</v>
      </c>
      <c r="B472" s="24">
        <v>2044</v>
      </c>
      <c r="C472" s="25">
        <f t="shared" si="26"/>
        <v>7073.3544880207392</v>
      </c>
      <c r="D472" s="25">
        <f>'O&amp;M, Heat Rates'!$D$13</f>
        <v>122.26</v>
      </c>
      <c r="E472" s="26">
        <f>'O&amp;M, Heat Rates'!$C$13</f>
        <v>2.38</v>
      </c>
      <c r="F472" s="26">
        <f>'O&amp;M, Heat Rates'!$E$13/1000</f>
        <v>10.455</v>
      </c>
      <c r="J472" s="20" t="s">
        <v>12</v>
      </c>
      <c r="K472" s="11">
        <v>2044</v>
      </c>
      <c r="L472" s="15"/>
      <c r="M472" s="11"/>
      <c r="N472" s="16"/>
      <c r="O472" s="21"/>
      <c r="R472" s="22" t="s">
        <v>12</v>
      </c>
      <c r="S472">
        <v>2044</v>
      </c>
      <c r="W472" s="23"/>
    </row>
    <row r="473" spans="1:23" x14ac:dyDescent="0.2">
      <c r="A473" s="10" t="s">
        <v>12</v>
      </c>
      <c r="B473" s="24">
        <v>2045</v>
      </c>
      <c r="C473" s="25">
        <f t="shared" si="26"/>
        <v>7012.5963129355769</v>
      </c>
      <c r="D473" s="25">
        <f>'O&amp;M, Heat Rates'!$D$13</f>
        <v>122.26</v>
      </c>
      <c r="E473" s="26">
        <f>'O&amp;M, Heat Rates'!$C$13</f>
        <v>2.38</v>
      </c>
      <c r="F473" s="26">
        <f>'O&amp;M, Heat Rates'!$E$13/1000</f>
        <v>10.455</v>
      </c>
      <c r="J473" s="20" t="s">
        <v>12</v>
      </c>
      <c r="K473" s="11">
        <v>2045</v>
      </c>
      <c r="L473" s="15"/>
      <c r="M473" s="11"/>
      <c r="N473" s="16"/>
      <c r="O473" s="21"/>
      <c r="R473" s="22" t="s">
        <v>12</v>
      </c>
      <c r="S473">
        <v>2045</v>
      </c>
      <c r="W473" s="23"/>
    </row>
    <row r="474" spans="1:23" x14ac:dyDescent="0.2">
      <c r="A474" s="10" t="s">
        <v>12</v>
      </c>
      <c r="B474" s="24">
        <v>2046</v>
      </c>
      <c r="C474" s="25">
        <f t="shared" si="26"/>
        <v>6943.5995711480982</v>
      </c>
      <c r="D474" s="25">
        <f>'O&amp;M, Heat Rates'!$D$13</f>
        <v>122.26</v>
      </c>
      <c r="E474" s="26">
        <f>'O&amp;M, Heat Rates'!$C$13</f>
        <v>2.38</v>
      </c>
      <c r="F474" s="26">
        <f>'O&amp;M, Heat Rates'!$E$13/1000</f>
        <v>10.455</v>
      </c>
      <c r="J474" s="20" t="s">
        <v>12</v>
      </c>
      <c r="K474" s="11">
        <v>2046</v>
      </c>
      <c r="L474" s="15"/>
      <c r="M474" s="11"/>
      <c r="N474" s="16"/>
      <c r="O474" s="21"/>
      <c r="R474" s="22" t="s">
        <v>12</v>
      </c>
      <c r="S474">
        <v>2046</v>
      </c>
      <c r="W474" s="23"/>
    </row>
    <row r="475" spans="1:23" x14ac:dyDescent="0.2">
      <c r="A475" s="10" t="s">
        <v>12</v>
      </c>
      <c r="B475" s="24">
        <v>2047</v>
      </c>
      <c r="C475" s="25">
        <f t="shared" si="26"/>
        <v>6871.7488997239161</v>
      </c>
      <c r="D475" s="25">
        <f>'O&amp;M, Heat Rates'!$D$13</f>
        <v>122.26</v>
      </c>
      <c r="E475" s="26">
        <f>'O&amp;M, Heat Rates'!$C$13</f>
        <v>2.38</v>
      </c>
      <c r="F475" s="26">
        <f>'O&amp;M, Heat Rates'!$E$13/1000</f>
        <v>10.455</v>
      </c>
      <c r="J475" s="20" t="s">
        <v>12</v>
      </c>
      <c r="K475" s="11">
        <v>2047</v>
      </c>
      <c r="L475" s="15"/>
      <c r="M475" s="11"/>
      <c r="N475" s="16"/>
      <c r="O475" s="21"/>
      <c r="R475" s="22" t="s">
        <v>12</v>
      </c>
      <c r="S475">
        <v>2047</v>
      </c>
      <c r="W475" s="23"/>
    </row>
    <row r="476" spans="1:23" x14ac:dyDescent="0.2">
      <c r="A476" s="10" t="s">
        <v>12</v>
      </c>
      <c r="B476" s="24">
        <v>2048</v>
      </c>
      <c r="C476" s="25">
        <f t="shared" si="26"/>
        <v>6806.7327581423751</v>
      </c>
      <c r="D476" s="25">
        <f>'O&amp;M, Heat Rates'!$D$13</f>
        <v>122.26</v>
      </c>
      <c r="E476" s="26">
        <f>'O&amp;M, Heat Rates'!$C$13</f>
        <v>2.38</v>
      </c>
      <c r="F476" s="26">
        <f>'O&amp;M, Heat Rates'!$E$13/1000</f>
        <v>10.455</v>
      </c>
      <c r="J476" s="20" t="s">
        <v>12</v>
      </c>
      <c r="K476" s="11">
        <v>2048</v>
      </c>
      <c r="L476" s="15"/>
      <c r="M476" s="11"/>
      <c r="N476" s="16"/>
      <c r="O476" s="21"/>
      <c r="R476" s="22" t="s">
        <v>12</v>
      </c>
      <c r="S476">
        <v>2048</v>
      </c>
      <c r="W476" s="23"/>
    </row>
    <row r="477" spans="1:23" x14ac:dyDescent="0.2">
      <c r="A477" s="10" t="s">
        <v>12</v>
      </c>
      <c r="B477" s="24">
        <v>2049</v>
      </c>
      <c r="C477" s="25">
        <f t="shared" si="26"/>
        <v>6744.6853817282026</v>
      </c>
      <c r="D477" s="25">
        <f>'O&amp;M, Heat Rates'!$D$13</f>
        <v>122.26</v>
      </c>
      <c r="E477" s="26">
        <f>'O&amp;M, Heat Rates'!$C$13</f>
        <v>2.38</v>
      </c>
      <c r="F477" s="26">
        <f>'O&amp;M, Heat Rates'!$E$13/1000</f>
        <v>10.455</v>
      </c>
      <c r="J477" s="20" t="s">
        <v>12</v>
      </c>
      <c r="K477" s="11">
        <v>2049</v>
      </c>
      <c r="L477" s="15"/>
      <c r="M477" s="11"/>
      <c r="N477" s="16"/>
      <c r="O477" s="21"/>
      <c r="R477" s="22" t="s">
        <v>12</v>
      </c>
      <c r="S477">
        <v>2049</v>
      </c>
      <c r="W477" s="23"/>
    </row>
    <row r="478" spans="1:23" x14ac:dyDescent="0.2">
      <c r="A478" s="10" t="s">
        <v>12</v>
      </c>
      <c r="B478" s="24">
        <v>2050</v>
      </c>
      <c r="C478" s="25">
        <f t="shared" si="26"/>
        <v>6661.7297580773629</v>
      </c>
      <c r="D478" s="25">
        <f>'O&amp;M, Heat Rates'!$D$13</f>
        <v>122.26</v>
      </c>
      <c r="E478" s="26">
        <f>'O&amp;M, Heat Rates'!$C$13</f>
        <v>2.38</v>
      </c>
      <c r="F478" s="26">
        <f>'O&amp;M, Heat Rates'!$E$13/1000</f>
        <v>10.455</v>
      </c>
      <c r="J478" s="20" t="s">
        <v>12</v>
      </c>
      <c r="K478" s="11">
        <v>2050</v>
      </c>
      <c r="L478" s="15"/>
      <c r="M478" s="11"/>
      <c r="N478" s="16"/>
      <c r="O478" s="21"/>
      <c r="R478" s="22" t="s">
        <v>12</v>
      </c>
      <c r="S478">
        <v>2050</v>
      </c>
      <c r="W478" s="23"/>
    </row>
    <row r="479" spans="1:23" x14ac:dyDescent="0.2">
      <c r="A479" s="12" t="s">
        <v>14</v>
      </c>
      <c r="B479" s="24">
        <v>2010</v>
      </c>
      <c r="C479" s="25">
        <f t="shared" si="26"/>
        <v>0</v>
      </c>
      <c r="D479" s="25">
        <f>'O&amp;M, Heat Rates'!$D$16</f>
        <v>126.36</v>
      </c>
      <c r="E479" s="26">
        <f>'O&amp;M, Heat Rates'!$C$16</f>
        <v>4.8499999999999996</v>
      </c>
      <c r="F479" s="26">
        <f>'O&amp;M, Heat Rates'!$E$16/1000</f>
        <v>13.5</v>
      </c>
      <c r="J479" s="20" t="s">
        <v>14</v>
      </c>
      <c r="K479" s="11">
        <v>2010</v>
      </c>
      <c r="L479" s="15"/>
      <c r="M479" s="11"/>
      <c r="N479" s="16"/>
      <c r="O479" s="21"/>
      <c r="R479" s="22" t="s">
        <v>14</v>
      </c>
      <c r="S479">
        <v>2010</v>
      </c>
      <c r="W479" s="23"/>
    </row>
    <row r="480" spans="1:23" x14ac:dyDescent="0.2">
      <c r="A480" s="12" t="s">
        <v>14</v>
      </c>
      <c r="B480" s="24">
        <v>2011</v>
      </c>
      <c r="C480" s="25">
        <f t="shared" si="26"/>
        <v>0</v>
      </c>
      <c r="D480" s="25">
        <f>'O&amp;M, Heat Rates'!$D$16</f>
        <v>126.36</v>
      </c>
      <c r="E480" s="26">
        <f>'O&amp;M, Heat Rates'!$C$16</f>
        <v>4.8499999999999996</v>
      </c>
      <c r="F480" s="26">
        <f>'O&amp;M, Heat Rates'!$E$16/1000</f>
        <v>13.5</v>
      </c>
      <c r="J480" s="20" t="s">
        <v>14</v>
      </c>
      <c r="K480" s="11">
        <v>2011</v>
      </c>
      <c r="L480" s="15"/>
      <c r="M480" s="11"/>
      <c r="N480" s="16"/>
      <c r="O480" s="21"/>
      <c r="R480" s="22" t="s">
        <v>14</v>
      </c>
      <c r="S480">
        <v>2011</v>
      </c>
      <c r="W480" s="23"/>
    </row>
    <row r="481" spans="1:23" x14ac:dyDescent="0.2">
      <c r="A481" s="12" t="s">
        <v>14</v>
      </c>
      <c r="B481" s="24">
        <v>2012</v>
      </c>
      <c r="C481" s="25">
        <f t="shared" si="26"/>
        <v>0</v>
      </c>
      <c r="D481" s="25">
        <f>'O&amp;M, Heat Rates'!$D$16</f>
        <v>126.36</v>
      </c>
      <c r="E481" s="26">
        <f>'O&amp;M, Heat Rates'!$C$16</f>
        <v>4.8499999999999996</v>
      </c>
      <c r="F481" s="26">
        <f>'O&amp;M, Heat Rates'!$E$16/1000</f>
        <v>13.5</v>
      </c>
      <c r="J481" s="20" t="s">
        <v>14</v>
      </c>
      <c r="K481" s="11">
        <v>2012</v>
      </c>
      <c r="L481" s="15"/>
      <c r="M481" s="11"/>
      <c r="N481" s="16"/>
      <c r="O481" s="21"/>
      <c r="R481" s="22" t="s">
        <v>14</v>
      </c>
      <c r="S481">
        <v>2012</v>
      </c>
      <c r="W481" s="23"/>
    </row>
    <row r="482" spans="1:23" x14ac:dyDescent="0.2">
      <c r="A482" s="12" t="s">
        <v>14</v>
      </c>
      <c r="B482" s="24">
        <v>2013</v>
      </c>
      <c r="C482" s="25">
        <f t="shared" si="26"/>
        <v>0</v>
      </c>
      <c r="D482" s="25">
        <f>'O&amp;M, Heat Rates'!$D$16</f>
        <v>126.36</v>
      </c>
      <c r="E482" s="26">
        <f>'O&amp;M, Heat Rates'!$C$16</f>
        <v>4.8499999999999996</v>
      </c>
      <c r="F482" s="26">
        <f>'O&amp;M, Heat Rates'!$E$16/1000</f>
        <v>13.5</v>
      </c>
      <c r="J482" s="20" t="s">
        <v>14</v>
      </c>
      <c r="K482" s="11">
        <v>2013</v>
      </c>
      <c r="L482" s="15"/>
      <c r="M482" s="11"/>
      <c r="N482" s="16"/>
      <c r="O482" s="21"/>
      <c r="R482" s="22" t="s">
        <v>14</v>
      </c>
      <c r="S482">
        <v>2013</v>
      </c>
      <c r="W482" s="23"/>
    </row>
    <row r="483" spans="1:23" x14ac:dyDescent="0.2">
      <c r="A483" s="12" t="s">
        <v>14</v>
      </c>
      <c r="B483" s="24">
        <v>2014</v>
      </c>
      <c r="C483" s="25">
        <f t="shared" si="26"/>
        <v>0</v>
      </c>
      <c r="D483" s="25">
        <f>'O&amp;M, Heat Rates'!$D$16</f>
        <v>126.36</v>
      </c>
      <c r="E483" s="26">
        <f>'O&amp;M, Heat Rates'!$C$16</f>
        <v>4.8499999999999996</v>
      </c>
      <c r="F483" s="26">
        <f>'O&amp;M, Heat Rates'!$E$16/1000</f>
        <v>13.5</v>
      </c>
      <c r="J483" s="20" t="s">
        <v>14</v>
      </c>
      <c r="K483" s="11">
        <v>2014</v>
      </c>
      <c r="L483" s="15"/>
      <c r="M483" s="11"/>
      <c r="N483" s="16"/>
      <c r="O483" s="21"/>
      <c r="R483" s="22" t="s">
        <v>14</v>
      </c>
      <c r="S483">
        <v>2014</v>
      </c>
      <c r="W483" s="23"/>
    </row>
    <row r="484" spans="1:23" x14ac:dyDescent="0.2">
      <c r="A484" s="12" t="s">
        <v>14</v>
      </c>
      <c r="B484" s="24">
        <v>2015</v>
      </c>
      <c r="C484" s="25">
        <f t="shared" si="26"/>
        <v>0</v>
      </c>
      <c r="D484" s="25">
        <f>'O&amp;M, Heat Rates'!$D$16</f>
        <v>126.36</v>
      </c>
      <c r="E484" s="26">
        <f>'O&amp;M, Heat Rates'!$C$16</f>
        <v>4.8499999999999996</v>
      </c>
      <c r="F484" s="26">
        <f>'O&amp;M, Heat Rates'!$E$16/1000</f>
        <v>13.5</v>
      </c>
      <c r="J484" s="20" t="s">
        <v>14</v>
      </c>
      <c r="K484" s="11">
        <v>2015</v>
      </c>
      <c r="L484" s="15"/>
      <c r="M484" s="11"/>
      <c r="N484" s="16"/>
      <c r="O484" s="21"/>
      <c r="R484" s="22" t="s">
        <v>14</v>
      </c>
      <c r="S484">
        <v>2015</v>
      </c>
      <c r="W484" s="23"/>
    </row>
    <row r="485" spans="1:23" x14ac:dyDescent="0.2">
      <c r="A485" s="12" t="s">
        <v>14</v>
      </c>
      <c r="B485" s="24">
        <v>2016</v>
      </c>
      <c r="C485" s="25">
        <f t="shared" si="26"/>
        <v>0</v>
      </c>
      <c r="D485" s="25">
        <f>'O&amp;M, Heat Rates'!$D$16</f>
        <v>126.36</v>
      </c>
      <c r="E485" s="26">
        <f>'O&amp;M, Heat Rates'!$C$16</f>
        <v>4.8499999999999996</v>
      </c>
      <c r="F485" s="26">
        <f>'O&amp;M, Heat Rates'!$E$16/1000</f>
        <v>13.5</v>
      </c>
      <c r="J485" s="20" t="s">
        <v>14</v>
      </c>
      <c r="K485" s="11">
        <v>2016</v>
      </c>
      <c r="L485" s="15"/>
      <c r="M485" s="11"/>
      <c r="N485" s="16"/>
      <c r="O485" s="21"/>
      <c r="R485" s="22" t="s">
        <v>14</v>
      </c>
      <c r="S485">
        <v>2016</v>
      </c>
      <c r="W485" s="23"/>
    </row>
    <row r="486" spans="1:23" x14ac:dyDescent="0.2">
      <c r="A486" s="12" t="s">
        <v>14</v>
      </c>
      <c r="B486" s="24">
        <v>2017</v>
      </c>
      <c r="C486" s="25">
        <f t="shared" si="26"/>
        <v>0</v>
      </c>
      <c r="D486" s="25">
        <f>'O&amp;M, Heat Rates'!$D$16</f>
        <v>126.36</v>
      </c>
      <c r="E486" s="26">
        <f>'O&amp;M, Heat Rates'!$C$16</f>
        <v>4.8499999999999996</v>
      </c>
      <c r="F486" s="26">
        <f>'O&amp;M, Heat Rates'!$E$16/1000</f>
        <v>13.5</v>
      </c>
      <c r="J486" s="20" t="s">
        <v>14</v>
      </c>
      <c r="K486" s="11">
        <v>2017</v>
      </c>
      <c r="L486" s="15"/>
      <c r="M486" s="11"/>
      <c r="N486" s="16"/>
      <c r="O486" s="21"/>
      <c r="R486" s="22" t="s">
        <v>14</v>
      </c>
      <c r="S486">
        <v>2017</v>
      </c>
      <c r="W486" s="23"/>
    </row>
    <row r="487" spans="1:23" x14ac:dyDescent="0.2">
      <c r="A487" s="12" t="s">
        <v>14</v>
      </c>
      <c r="B487" s="24">
        <v>2018</v>
      </c>
      <c r="C487" s="25">
        <f t="shared" si="26"/>
        <v>0</v>
      </c>
      <c r="D487" s="25">
        <f>'O&amp;M, Heat Rates'!$D$16</f>
        <v>126.36</v>
      </c>
      <c r="E487" s="26">
        <f>'O&amp;M, Heat Rates'!$C$16</f>
        <v>4.8499999999999996</v>
      </c>
      <c r="F487" s="26">
        <f>'O&amp;M, Heat Rates'!$E$16/1000</f>
        <v>13.5</v>
      </c>
      <c r="J487" s="20" t="s">
        <v>14</v>
      </c>
      <c r="K487" s="11">
        <v>2018</v>
      </c>
      <c r="L487" s="15"/>
      <c r="M487" s="11"/>
      <c r="N487" s="16"/>
      <c r="O487" s="21"/>
      <c r="R487" s="22" t="s">
        <v>14</v>
      </c>
      <c r="S487">
        <v>2018</v>
      </c>
      <c r="W487" s="23"/>
    </row>
    <row r="488" spans="1:23" x14ac:dyDescent="0.2">
      <c r="A488" s="12" t="s">
        <v>14</v>
      </c>
      <c r="B488" s="24">
        <v>2019</v>
      </c>
      <c r="C488" s="25">
        <f t="shared" si="26"/>
        <v>0</v>
      </c>
      <c r="D488" s="25">
        <f>'O&amp;M, Heat Rates'!$D$16</f>
        <v>126.36</v>
      </c>
      <c r="E488" s="26">
        <f>'O&amp;M, Heat Rates'!$C$16</f>
        <v>4.8499999999999996</v>
      </c>
      <c r="F488" s="26">
        <f>'O&amp;M, Heat Rates'!$E$16/1000</f>
        <v>13.5</v>
      </c>
      <c r="J488" s="20" t="s">
        <v>14</v>
      </c>
      <c r="K488" s="11">
        <v>2019</v>
      </c>
      <c r="L488" s="15"/>
      <c r="M488" s="11"/>
      <c r="N488" s="16"/>
      <c r="O488" s="21"/>
      <c r="R488" s="22" t="s">
        <v>14</v>
      </c>
      <c r="S488">
        <v>2019</v>
      </c>
      <c r="W488" s="23"/>
    </row>
    <row r="489" spans="1:23" x14ac:dyDescent="0.2">
      <c r="A489" s="12" t="s">
        <v>14</v>
      </c>
      <c r="B489" s="24">
        <v>2020</v>
      </c>
      <c r="C489" s="25">
        <f t="shared" si="26"/>
        <v>0</v>
      </c>
      <c r="D489" s="25">
        <f>'O&amp;M, Heat Rates'!$D$16</f>
        <v>126.36</v>
      </c>
      <c r="E489" s="26">
        <f>'O&amp;M, Heat Rates'!$C$16</f>
        <v>4.8499999999999996</v>
      </c>
      <c r="F489" s="26">
        <f>'O&amp;M, Heat Rates'!$E$16/1000</f>
        <v>13.5</v>
      </c>
      <c r="J489" s="20" t="s">
        <v>14</v>
      </c>
      <c r="K489" s="11">
        <v>2020</v>
      </c>
      <c r="L489" s="15"/>
      <c r="M489" s="11"/>
      <c r="N489" s="16"/>
      <c r="O489" s="21"/>
      <c r="R489" s="22" t="s">
        <v>14</v>
      </c>
      <c r="S489">
        <v>2020</v>
      </c>
      <c r="W489" s="23"/>
    </row>
    <row r="490" spans="1:23" x14ac:dyDescent="0.2">
      <c r="A490" s="12" t="s">
        <v>14</v>
      </c>
      <c r="B490" s="24">
        <v>2021</v>
      </c>
      <c r="C490" s="25">
        <f t="shared" si="26"/>
        <v>0</v>
      </c>
      <c r="D490" s="25">
        <f>'O&amp;M, Heat Rates'!$D$16</f>
        <v>126.36</v>
      </c>
      <c r="E490" s="26">
        <f>'O&amp;M, Heat Rates'!$C$16</f>
        <v>4.8499999999999996</v>
      </c>
      <c r="F490" s="26">
        <f>'O&amp;M, Heat Rates'!$E$16/1000</f>
        <v>13.5</v>
      </c>
      <c r="J490" s="20" t="s">
        <v>14</v>
      </c>
      <c r="K490" s="11">
        <v>2021</v>
      </c>
      <c r="L490" s="15"/>
      <c r="M490" s="11"/>
      <c r="N490" s="16"/>
      <c r="O490" s="21"/>
      <c r="R490" s="22" t="s">
        <v>14</v>
      </c>
      <c r="S490">
        <v>2021</v>
      </c>
      <c r="W490" s="23"/>
    </row>
    <row r="491" spans="1:23" x14ac:dyDescent="0.2">
      <c r="A491" s="12" t="s">
        <v>14</v>
      </c>
      <c r="B491" s="24">
        <v>2022</v>
      </c>
      <c r="C491" s="25">
        <f t="shared" si="26"/>
        <v>0</v>
      </c>
      <c r="D491" s="25">
        <f>'O&amp;M, Heat Rates'!$D$16</f>
        <v>126.36</v>
      </c>
      <c r="E491" s="26">
        <f>'O&amp;M, Heat Rates'!$C$16</f>
        <v>4.8499999999999996</v>
      </c>
      <c r="F491" s="26">
        <f>'O&amp;M, Heat Rates'!$E$16/1000</f>
        <v>13.5</v>
      </c>
      <c r="J491" s="20" t="s">
        <v>14</v>
      </c>
      <c r="K491" s="11">
        <v>2022</v>
      </c>
      <c r="L491" s="15"/>
      <c r="M491" s="11"/>
      <c r="N491" s="16"/>
      <c r="O491" s="21"/>
      <c r="R491" s="22" t="s">
        <v>14</v>
      </c>
      <c r="S491">
        <v>2022</v>
      </c>
      <c r="W491" s="23"/>
    </row>
    <row r="492" spans="1:23" x14ac:dyDescent="0.2">
      <c r="A492" s="12" t="s">
        <v>14</v>
      </c>
      <c r="B492" s="24">
        <v>2023</v>
      </c>
      <c r="C492" s="25">
        <f t="shared" si="26"/>
        <v>0</v>
      </c>
      <c r="D492" s="25">
        <f>'O&amp;M, Heat Rates'!$D$16</f>
        <v>126.36</v>
      </c>
      <c r="E492" s="26">
        <f>'O&amp;M, Heat Rates'!$C$16</f>
        <v>4.8499999999999996</v>
      </c>
      <c r="F492" s="26">
        <f>'O&amp;M, Heat Rates'!$E$16/1000</f>
        <v>13.5</v>
      </c>
      <c r="J492" s="20" t="s">
        <v>14</v>
      </c>
      <c r="K492" s="11">
        <v>2023</v>
      </c>
      <c r="L492" s="15"/>
      <c r="M492" s="11"/>
      <c r="N492" s="16"/>
      <c r="O492" s="21"/>
      <c r="R492" s="22" t="s">
        <v>14</v>
      </c>
      <c r="S492">
        <v>2023</v>
      </c>
      <c r="W492" s="23"/>
    </row>
    <row r="493" spans="1:23" x14ac:dyDescent="0.2">
      <c r="A493" s="12" t="s">
        <v>14</v>
      </c>
      <c r="B493" s="24">
        <v>2024</v>
      </c>
      <c r="C493" s="25">
        <f t="shared" si="26"/>
        <v>0</v>
      </c>
      <c r="D493" s="25">
        <f>'O&amp;M, Heat Rates'!$D$16</f>
        <v>126.36</v>
      </c>
      <c r="E493" s="26">
        <f>'O&amp;M, Heat Rates'!$C$16</f>
        <v>4.8499999999999996</v>
      </c>
      <c r="F493" s="26">
        <f>'O&amp;M, Heat Rates'!$E$16/1000</f>
        <v>13.5</v>
      </c>
      <c r="J493" s="20" t="s">
        <v>14</v>
      </c>
      <c r="K493" s="11">
        <v>2024</v>
      </c>
      <c r="L493" s="15"/>
      <c r="M493" s="11"/>
      <c r="N493" s="16"/>
      <c r="O493" s="21"/>
      <c r="R493" s="22" t="s">
        <v>14</v>
      </c>
      <c r="S493">
        <v>2024</v>
      </c>
      <c r="W493" s="23"/>
    </row>
    <row r="494" spans="1:23" x14ac:dyDescent="0.2">
      <c r="A494" s="12" t="s">
        <v>14</v>
      </c>
      <c r="B494" s="24">
        <v>2025</v>
      </c>
      <c r="C494" s="25">
        <f t="shared" si="26"/>
        <v>4956.2358751960001</v>
      </c>
      <c r="D494" s="25">
        <f>'O&amp;M, Heat Rates'!$D$16</f>
        <v>126.36</v>
      </c>
      <c r="E494" s="26">
        <f>'O&amp;M, Heat Rates'!$C$16</f>
        <v>4.8499999999999996</v>
      </c>
      <c r="F494" s="26">
        <f>'O&amp;M, Heat Rates'!$E$16/1000</f>
        <v>13.5</v>
      </c>
      <c r="J494" s="20" t="s">
        <v>14</v>
      </c>
      <c r="K494" s="11">
        <v>2025</v>
      </c>
      <c r="L494" s="15"/>
      <c r="M494" s="11"/>
      <c r="N494" s="16"/>
      <c r="O494" s="21"/>
      <c r="R494" s="22" t="s">
        <v>14</v>
      </c>
      <c r="S494">
        <v>2025</v>
      </c>
      <c r="W494" s="23"/>
    </row>
    <row r="495" spans="1:23" x14ac:dyDescent="0.2">
      <c r="A495" s="12" t="s">
        <v>14</v>
      </c>
      <c r="B495" s="24">
        <v>2026</v>
      </c>
      <c r="C495" s="25">
        <f t="shared" si="26"/>
        <v>4896.7977289590526</v>
      </c>
      <c r="D495" s="25">
        <f>'O&amp;M, Heat Rates'!$D$16</f>
        <v>126.36</v>
      </c>
      <c r="E495" s="26">
        <f>'O&amp;M, Heat Rates'!$C$16</f>
        <v>4.8499999999999996</v>
      </c>
      <c r="F495" s="26">
        <f>'O&amp;M, Heat Rates'!$E$16/1000</f>
        <v>13.5</v>
      </c>
      <c r="J495" s="20" t="s">
        <v>14</v>
      </c>
      <c r="K495" s="11">
        <v>2026</v>
      </c>
      <c r="L495" s="15"/>
      <c r="M495" s="11"/>
      <c r="N495" s="16"/>
      <c r="O495" s="21"/>
      <c r="R495" s="22" t="s">
        <v>14</v>
      </c>
      <c r="S495">
        <v>2026</v>
      </c>
      <c r="W495" s="23"/>
    </row>
    <row r="496" spans="1:23" x14ac:dyDescent="0.2">
      <c r="A496" s="12" t="s">
        <v>14</v>
      </c>
      <c r="B496" s="24">
        <v>2027</v>
      </c>
      <c r="C496" s="25">
        <f t="shared" si="26"/>
        <v>4884.2010170748727</v>
      </c>
      <c r="D496" s="25">
        <f>'O&amp;M, Heat Rates'!$D$16</f>
        <v>126.36</v>
      </c>
      <c r="E496" s="26">
        <f>'O&amp;M, Heat Rates'!$C$16</f>
        <v>4.8499999999999996</v>
      </c>
      <c r="F496" s="26">
        <f>'O&amp;M, Heat Rates'!$E$16/1000</f>
        <v>13.5</v>
      </c>
      <c r="J496" s="20" t="s">
        <v>14</v>
      </c>
      <c r="K496" s="11">
        <v>2027</v>
      </c>
      <c r="L496" s="15"/>
      <c r="M496" s="11"/>
      <c r="N496" s="16"/>
      <c r="O496" s="21"/>
      <c r="R496" s="22" t="s">
        <v>14</v>
      </c>
      <c r="S496">
        <v>2027</v>
      </c>
      <c r="W496" s="23"/>
    </row>
    <row r="497" spans="1:23" x14ac:dyDescent="0.2">
      <c r="A497" s="12" t="s">
        <v>14</v>
      </c>
      <c r="B497" s="24">
        <v>2028</v>
      </c>
      <c r="C497" s="25">
        <f t="shared" si="26"/>
        <v>4840.1992670517375</v>
      </c>
      <c r="D497" s="25">
        <f>'O&amp;M, Heat Rates'!$D$16</f>
        <v>126.36</v>
      </c>
      <c r="E497" s="26">
        <f>'O&amp;M, Heat Rates'!$C$16</f>
        <v>4.8499999999999996</v>
      </c>
      <c r="F497" s="26">
        <f>'O&amp;M, Heat Rates'!$E$16/1000</f>
        <v>13.5</v>
      </c>
      <c r="J497" s="20" t="s">
        <v>14</v>
      </c>
      <c r="K497" s="11">
        <v>2028</v>
      </c>
      <c r="L497" s="15"/>
      <c r="M497" s="11"/>
      <c r="N497" s="16"/>
      <c r="O497" s="21"/>
      <c r="R497" s="22" t="s">
        <v>14</v>
      </c>
      <c r="S497">
        <v>2028</v>
      </c>
      <c r="W497" s="23"/>
    </row>
    <row r="498" spans="1:23" x14ac:dyDescent="0.2">
      <c r="A498" s="12" t="s">
        <v>14</v>
      </c>
      <c r="B498" s="24">
        <v>2029</v>
      </c>
      <c r="C498" s="25">
        <f t="shared" si="26"/>
        <v>4805.8610861779607</v>
      </c>
      <c r="D498" s="25">
        <f>'O&amp;M, Heat Rates'!$D$16</f>
        <v>126.36</v>
      </c>
      <c r="E498" s="26">
        <f>'O&amp;M, Heat Rates'!$C$16</f>
        <v>4.8499999999999996</v>
      </c>
      <c r="F498" s="26">
        <f>'O&amp;M, Heat Rates'!$E$16/1000</f>
        <v>13.5</v>
      </c>
      <c r="J498" s="20" t="s">
        <v>14</v>
      </c>
      <c r="K498" s="11">
        <v>2029</v>
      </c>
      <c r="L498" s="15"/>
      <c r="M498" s="11"/>
      <c r="N498" s="16"/>
      <c r="O498" s="21"/>
      <c r="R498" s="22" t="s">
        <v>14</v>
      </c>
      <c r="S498">
        <v>2029</v>
      </c>
      <c r="W498" s="23"/>
    </row>
    <row r="499" spans="1:23" x14ac:dyDescent="0.2">
      <c r="A499" s="12" t="s">
        <v>14</v>
      </c>
      <c r="B499" s="24">
        <v>2030</v>
      </c>
      <c r="C499" s="25">
        <f t="shared" si="26"/>
        <v>4772.739318424723</v>
      </c>
      <c r="D499" s="25">
        <f>'O&amp;M, Heat Rates'!$D$16</f>
        <v>126.36</v>
      </c>
      <c r="E499" s="26">
        <f>'O&amp;M, Heat Rates'!$C$16</f>
        <v>4.8499999999999996</v>
      </c>
      <c r="F499" s="26">
        <f>'O&amp;M, Heat Rates'!$E$16/1000</f>
        <v>13.5</v>
      </c>
      <c r="J499" s="20" t="s">
        <v>14</v>
      </c>
      <c r="K499" s="11">
        <v>2030</v>
      </c>
      <c r="L499" s="15"/>
      <c r="M499" s="11"/>
      <c r="N499" s="16"/>
      <c r="O499" s="21"/>
      <c r="R499" s="22" t="s">
        <v>14</v>
      </c>
      <c r="S499">
        <v>2030</v>
      </c>
      <c r="W499" s="23"/>
    </row>
    <row r="500" spans="1:23" x14ac:dyDescent="0.2">
      <c r="A500" s="12" t="s">
        <v>14</v>
      </c>
      <c r="B500" s="24">
        <v>2031</v>
      </c>
      <c r="C500" s="25">
        <f t="shared" si="26"/>
        <v>4756.1390020004874</v>
      </c>
      <c r="D500" s="25">
        <f>'O&amp;M, Heat Rates'!$D$16</f>
        <v>126.36</v>
      </c>
      <c r="E500" s="26">
        <f>'O&amp;M, Heat Rates'!$C$16</f>
        <v>4.8499999999999996</v>
      </c>
      <c r="F500" s="26">
        <f>'O&amp;M, Heat Rates'!$E$16/1000</f>
        <v>13.5</v>
      </c>
      <c r="J500" s="20" t="s">
        <v>14</v>
      </c>
      <c r="K500" s="11">
        <v>2031</v>
      </c>
      <c r="L500" s="15"/>
      <c r="M500" s="11"/>
      <c r="N500" s="16"/>
      <c r="O500" s="21"/>
      <c r="R500" s="22" t="s">
        <v>14</v>
      </c>
      <c r="S500">
        <v>2031</v>
      </c>
      <c r="W500" s="23"/>
    </row>
    <row r="501" spans="1:23" x14ac:dyDescent="0.2">
      <c r="A501" s="12" t="s">
        <v>14</v>
      </c>
      <c r="B501" s="24">
        <v>2032</v>
      </c>
      <c r="C501" s="25">
        <f t="shared" si="26"/>
        <v>4741.5644165817675</v>
      </c>
      <c r="D501" s="25">
        <f>'O&amp;M, Heat Rates'!$D$16</f>
        <v>126.36</v>
      </c>
      <c r="E501" s="26">
        <f>'O&amp;M, Heat Rates'!$C$16</f>
        <v>4.8499999999999996</v>
      </c>
      <c r="F501" s="26">
        <f>'O&amp;M, Heat Rates'!$E$16/1000</f>
        <v>13.5</v>
      </c>
      <c r="J501" s="20" t="s">
        <v>14</v>
      </c>
      <c r="K501" s="11">
        <v>2032</v>
      </c>
      <c r="L501" s="15"/>
      <c r="M501" s="11"/>
      <c r="N501" s="16"/>
      <c r="O501" s="21"/>
      <c r="R501" s="22" t="s">
        <v>14</v>
      </c>
      <c r="S501">
        <v>2032</v>
      </c>
      <c r="W501" s="23"/>
    </row>
    <row r="502" spans="1:23" x14ac:dyDescent="0.2">
      <c r="A502" s="12" t="s">
        <v>14</v>
      </c>
      <c r="B502" s="24">
        <v>2033</v>
      </c>
      <c r="C502" s="25">
        <f t="shared" si="26"/>
        <v>4728.383119183809</v>
      </c>
      <c r="D502" s="25">
        <f>'O&amp;M, Heat Rates'!$D$16</f>
        <v>126.36</v>
      </c>
      <c r="E502" s="26">
        <f>'O&amp;M, Heat Rates'!$C$16</f>
        <v>4.8499999999999996</v>
      </c>
      <c r="F502" s="26">
        <f>'O&amp;M, Heat Rates'!$E$16/1000</f>
        <v>13.5</v>
      </c>
      <c r="J502" s="20" t="s">
        <v>14</v>
      </c>
      <c r="K502" s="11">
        <v>2033</v>
      </c>
      <c r="L502" s="15"/>
      <c r="M502" s="11"/>
      <c r="N502" s="16"/>
      <c r="O502" s="21"/>
      <c r="R502" s="22" t="s">
        <v>14</v>
      </c>
      <c r="S502">
        <v>2033</v>
      </c>
      <c r="W502" s="23"/>
    </row>
    <row r="503" spans="1:23" x14ac:dyDescent="0.2">
      <c r="A503" s="12" t="s">
        <v>14</v>
      </c>
      <c r="B503" s="24">
        <v>2034</v>
      </c>
      <c r="C503" s="25">
        <f t="shared" si="26"/>
        <v>4717.3537307091938</v>
      </c>
      <c r="D503" s="25">
        <f>'O&amp;M, Heat Rates'!$D$16</f>
        <v>126.36</v>
      </c>
      <c r="E503" s="26">
        <f>'O&amp;M, Heat Rates'!$C$16</f>
        <v>4.8499999999999996</v>
      </c>
      <c r="F503" s="26">
        <f>'O&amp;M, Heat Rates'!$E$16/1000</f>
        <v>13.5</v>
      </c>
      <c r="J503" s="20" t="s">
        <v>14</v>
      </c>
      <c r="K503" s="11">
        <v>2034</v>
      </c>
      <c r="L503" s="15"/>
      <c r="M503" s="11"/>
      <c r="N503" s="16"/>
      <c r="O503" s="21"/>
      <c r="R503" s="22" t="s">
        <v>14</v>
      </c>
      <c r="S503">
        <v>2034</v>
      </c>
      <c r="W503" s="23"/>
    </row>
    <row r="504" spans="1:23" x14ac:dyDescent="0.2">
      <c r="A504" s="12" t="s">
        <v>14</v>
      </c>
      <c r="B504" s="24">
        <v>2035</v>
      </c>
      <c r="C504" s="25">
        <f t="shared" si="26"/>
        <v>4693.1553115157803</v>
      </c>
      <c r="D504" s="25">
        <f>'O&amp;M, Heat Rates'!$D$16</f>
        <v>126.36</v>
      </c>
      <c r="E504" s="26">
        <f>'O&amp;M, Heat Rates'!$C$16</f>
        <v>4.8499999999999996</v>
      </c>
      <c r="F504" s="26">
        <f>'O&amp;M, Heat Rates'!$E$16/1000</f>
        <v>13.5</v>
      </c>
      <c r="J504" s="20" t="s">
        <v>14</v>
      </c>
      <c r="K504" s="11">
        <v>2035</v>
      </c>
      <c r="L504" s="15"/>
      <c r="M504" s="11"/>
      <c r="N504" s="16"/>
      <c r="O504" s="21"/>
      <c r="R504" s="22" t="s">
        <v>14</v>
      </c>
      <c r="S504">
        <v>2035</v>
      </c>
      <c r="W504" s="23"/>
    </row>
    <row r="505" spans="1:23" x14ac:dyDescent="0.2">
      <c r="A505" s="12" t="s">
        <v>14</v>
      </c>
      <c r="B505" s="24">
        <v>2036</v>
      </c>
      <c r="C505" s="25">
        <f t="shared" si="26"/>
        <v>4665.2629594195887</v>
      </c>
      <c r="D505" s="25">
        <f>'O&amp;M, Heat Rates'!$D$16</f>
        <v>126.36</v>
      </c>
      <c r="E505" s="26">
        <f>'O&amp;M, Heat Rates'!$C$16</f>
        <v>4.8499999999999996</v>
      </c>
      <c r="F505" s="26">
        <f>'O&amp;M, Heat Rates'!$E$16/1000</f>
        <v>13.5</v>
      </c>
      <c r="J505" s="20" t="s">
        <v>14</v>
      </c>
      <c r="K505" s="11">
        <v>2036</v>
      </c>
      <c r="L505" s="15"/>
      <c r="M505" s="11"/>
      <c r="N505" s="16"/>
      <c r="O505" s="21"/>
      <c r="R505" s="22" t="s">
        <v>14</v>
      </c>
      <c r="S505">
        <v>2036</v>
      </c>
      <c r="W505" s="23"/>
    </row>
    <row r="506" spans="1:23" x14ac:dyDescent="0.2">
      <c r="A506" s="12" t="s">
        <v>14</v>
      </c>
      <c r="B506" s="24">
        <v>2037</v>
      </c>
      <c r="C506" s="25">
        <f t="shared" si="26"/>
        <v>4644.8255582018046</v>
      </c>
      <c r="D506" s="25">
        <f>'O&amp;M, Heat Rates'!$D$16</f>
        <v>126.36</v>
      </c>
      <c r="E506" s="26">
        <f>'O&amp;M, Heat Rates'!$C$16</f>
        <v>4.8499999999999996</v>
      </c>
      <c r="F506" s="26">
        <f>'O&amp;M, Heat Rates'!$E$16/1000</f>
        <v>13.5</v>
      </c>
      <c r="J506" s="20" t="s">
        <v>14</v>
      </c>
      <c r="K506" s="11">
        <v>2037</v>
      </c>
      <c r="L506" s="15"/>
      <c r="M506" s="11"/>
      <c r="N506" s="16"/>
      <c r="O506" s="21"/>
      <c r="R506" s="22" t="s">
        <v>14</v>
      </c>
      <c r="S506">
        <v>2037</v>
      </c>
      <c r="W506" s="23"/>
    </row>
    <row r="507" spans="1:23" x14ac:dyDescent="0.2">
      <c r="A507" s="12" t="s">
        <v>14</v>
      </c>
      <c r="B507" s="24">
        <v>2038</v>
      </c>
      <c r="C507" s="25">
        <f t="shared" si="26"/>
        <v>4628.2106870089056</v>
      </c>
      <c r="D507" s="25">
        <f>'O&amp;M, Heat Rates'!$D$16</f>
        <v>126.36</v>
      </c>
      <c r="E507" s="26">
        <f>'O&amp;M, Heat Rates'!$C$16</f>
        <v>4.8499999999999996</v>
      </c>
      <c r="F507" s="26">
        <f>'O&amp;M, Heat Rates'!$E$16/1000</f>
        <v>13.5</v>
      </c>
      <c r="J507" s="20" t="s">
        <v>14</v>
      </c>
      <c r="K507" s="11">
        <v>2038</v>
      </c>
      <c r="L507" s="15"/>
      <c r="M507" s="11"/>
      <c r="N507" s="16"/>
      <c r="O507" s="21"/>
      <c r="R507" s="22" t="s">
        <v>14</v>
      </c>
      <c r="S507">
        <v>2038</v>
      </c>
      <c r="W507" s="23"/>
    </row>
    <row r="508" spans="1:23" x14ac:dyDescent="0.2">
      <c r="A508" s="12" t="s">
        <v>14</v>
      </c>
      <c r="B508" s="24">
        <v>2039</v>
      </c>
      <c r="C508" s="25">
        <f t="shared" si="26"/>
        <v>4608.1674379087572</v>
      </c>
      <c r="D508" s="25">
        <f>'O&amp;M, Heat Rates'!$D$16</f>
        <v>126.36</v>
      </c>
      <c r="E508" s="26">
        <f>'O&amp;M, Heat Rates'!$C$16</f>
        <v>4.8499999999999996</v>
      </c>
      <c r="F508" s="26">
        <f>'O&amp;M, Heat Rates'!$E$16/1000</f>
        <v>13.5</v>
      </c>
      <c r="J508" s="20" t="s">
        <v>14</v>
      </c>
      <c r="K508" s="11">
        <v>2039</v>
      </c>
      <c r="L508" s="15"/>
      <c r="M508" s="11"/>
      <c r="N508" s="16"/>
      <c r="O508" s="21"/>
      <c r="R508" s="22" t="s">
        <v>14</v>
      </c>
      <c r="S508">
        <v>2039</v>
      </c>
      <c r="W508" s="23"/>
    </row>
    <row r="509" spans="1:23" x14ac:dyDescent="0.2">
      <c r="A509" s="12" t="s">
        <v>14</v>
      </c>
      <c r="B509" s="24">
        <v>2040</v>
      </c>
      <c r="C509" s="25">
        <f t="shared" si="26"/>
        <v>4589.6610322752595</v>
      </c>
      <c r="D509" s="25">
        <f>'O&amp;M, Heat Rates'!$D$16</f>
        <v>126.36</v>
      </c>
      <c r="E509" s="26">
        <f>'O&amp;M, Heat Rates'!$C$16</f>
        <v>4.8499999999999996</v>
      </c>
      <c r="F509" s="26">
        <f>'O&amp;M, Heat Rates'!$E$16/1000</f>
        <v>13.5</v>
      </c>
      <c r="J509" s="20" t="s">
        <v>14</v>
      </c>
      <c r="K509" s="11">
        <v>2040</v>
      </c>
      <c r="L509" s="15"/>
      <c r="M509" s="11"/>
      <c r="N509" s="16"/>
      <c r="O509" s="21"/>
      <c r="R509" s="22" t="s">
        <v>14</v>
      </c>
      <c r="S509">
        <v>2040</v>
      </c>
      <c r="W509" s="23"/>
    </row>
    <row r="510" spans="1:23" x14ac:dyDescent="0.2">
      <c r="A510" s="12" t="s">
        <v>14</v>
      </c>
      <c r="B510" s="24">
        <v>2041</v>
      </c>
      <c r="C510" s="25">
        <f t="shared" si="26"/>
        <v>4571.2262396342721</v>
      </c>
      <c r="D510" s="25">
        <f>'O&amp;M, Heat Rates'!$D$16</f>
        <v>126.36</v>
      </c>
      <c r="E510" s="26">
        <f>'O&amp;M, Heat Rates'!$C$16</f>
        <v>4.8499999999999996</v>
      </c>
      <c r="F510" s="26">
        <f>'O&amp;M, Heat Rates'!$E$16/1000</f>
        <v>13.5</v>
      </c>
      <c r="J510" s="20" t="s">
        <v>14</v>
      </c>
      <c r="K510" s="11">
        <v>2041</v>
      </c>
      <c r="L510" s="15"/>
      <c r="M510" s="11"/>
      <c r="N510" s="16"/>
      <c r="O510" s="21"/>
      <c r="R510" s="22" t="s">
        <v>14</v>
      </c>
      <c r="S510">
        <v>2041</v>
      </c>
      <c r="W510" s="23"/>
    </row>
    <row r="511" spans="1:23" x14ac:dyDescent="0.2">
      <c r="A511" s="12" t="s">
        <v>14</v>
      </c>
      <c r="B511" s="24">
        <v>2042</v>
      </c>
      <c r="C511" s="25">
        <f t="shared" si="26"/>
        <v>4555.5201245873513</v>
      </c>
      <c r="D511" s="25">
        <f>'O&amp;M, Heat Rates'!$D$16</f>
        <v>126.36</v>
      </c>
      <c r="E511" s="26">
        <f>'O&amp;M, Heat Rates'!$C$16</f>
        <v>4.8499999999999996</v>
      </c>
      <c r="F511" s="26">
        <f>'O&amp;M, Heat Rates'!$E$16/1000</f>
        <v>13.5</v>
      </c>
      <c r="J511" s="20" t="s">
        <v>14</v>
      </c>
      <c r="K511" s="11">
        <v>2042</v>
      </c>
      <c r="L511" s="15"/>
      <c r="M511" s="11"/>
      <c r="N511" s="16"/>
      <c r="O511" s="21"/>
      <c r="R511" s="22" t="s">
        <v>14</v>
      </c>
      <c r="S511">
        <v>2042</v>
      </c>
      <c r="W511" s="23"/>
    </row>
    <row r="512" spans="1:23" x14ac:dyDescent="0.2">
      <c r="A512" s="12" t="s">
        <v>14</v>
      </c>
      <c r="B512" s="24">
        <v>2043</v>
      </c>
      <c r="C512" s="25">
        <f t="shared" si="26"/>
        <v>4539.2892987238874</v>
      </c>
      <c r="D512" s="25">
        <f>'O&amp;M, Heat Rates'!$D$16</f>
        <v>126.36</v>
      </c>
      <c r="E512" s="26">
        <f>'O&amp;M, Heat Rates'!$C$16</f>
        <v>4.8499999999999996</v>
      </c>
      <c r="F512" s="26">
        <f>'O&amp;M, Heat Rates'!$E$16/1000</f>
        <v>13.5</v>
      </c>
      <c r="J512" s="20" t="s">
        <v>14</v>
      </c>
      <c r="K512" s="11">
        <v>2043</v>
      </c>
      <c r="L512" s="15"/>
      <c r="M512" s="11"/>
      <c r="N512" s="16"/>
      <c r="O512" s="21"/>
      <c r="R512" s="22" t="s">
        <v>14</v>
      </c>
      <c r="S512">
        <v>2043</v>
      </c>
      <c r="W512" s="23"/>
    </row>
    <row r="513" spans="1:23" x14ac:dyDescent="0.2">
      <c r="A513" s="12" t="s">
        <v>14</v>
      </c>
      <c r="B513" s="24">
        <v>2044</v>
      </c>
      <c r="C513" s="25">
        <f t="shared" si="26"/>
        <v>4519.4726674072772</v>
      </c>
      <c r="D513" s="25">
        <f>'O&amp;M, Heat Rates'!$D$16</f>
        <v>126.36</v>
      </c>
      <c r="E513" s="26">
        <f>'O&amp;M, Heat Rates'!$C$16</f>
        <v>4.8499999999999996</v>
      </c>
      <c r="F513" s="26">
        <f>'O&amp;M, Heat Rates'!$E$16/1000</f>
        <v>13.5</v>
      </c>
      <c r="J513" s="20" t="s">
        <v>14</v>
      </c>
      <c r="K513" s="11">
        <v>2044</v>
      </c>
      <c r="L513" s="15"/>
      <c r="M513" s="11"/>
      <c r="N513" s="16"/>
      <c r="O513" s="21"/>
      <c r="R513" s="22" t="s">
        <v>14</v>
      </c>
      <c r="S513">
        <v>2044</v>
      </c>
      <c r="W513" s="23"/>
    </row>
    <row r="514" spans="1:23" x14ac:dyDescent="0.2">
      <c r="A514" s="12" t="s">
        <v>14</v>
      </c>
      <c r="B514" s="24">
        <v>2045</v>
      </c>
      <c r="C514" s="25">
        <f t="shared" si="26"/>
        <v>4503.164816507975</v>
      </c>
      <c r="D514" s="25">
        <f>'O&amp;M, Heat Rates'!$D$16</f>
        <v>126.36</v>
      </c>
      <c r="E514" s="26">
        <f>'O&amp;M, Heat Rates'!$C$16</f>
        <v>4.8499999999999996</v>
      </c>
      <c r="F514" s="26">
        <f>'O&amp;M, Heat Rates'!$E$16/1000</f>
        <v>13.5</v>
      </c>
      <c r="J514" s="20" t="s">
        <v>14</v>
      </c>
      <c r="K514" s="11">
        <v>2045</v>
      </c>
      <c r="L514" s="15"/>
      <c r="M514" s="11"/>
      <c r="N514" s="16"/>
      <c r="O514" s="21"/>
      <c r="R514" s="22" t="s">
        <v>14</v>
      </c>
      <c r="S514">
        <v>2045</v>
      </c>
      <c r="W514" s="23"/>
    </row>
    <row r="515" spans="1:23" x14ac:dyDescent="0.2">
      <c r="A515" s="12" t="s">
        <v>14</v>
      </c>
      <c r="B515" s="24">
        <v>2046</v>
      </c>
      <c r="C515" s="25">
        <f t="shared" si="26"/>
        <v>4481.564765208821</v>
      </c>
      <c r="D515" s="25">
        <f>'O&amp;M, Heat Rates'!$D$16</f>
        <v>126.36</v>
      </c>
      <c r="E515" s="26">
        <f>'O&amp;M, Heat Rates'!$C$16</f>
        <v>4.8499999999999996</v>
      </c>
      <c r="F515" s="26">
        <f>'O&amp;M, Heat Rates'!$E$16/1000</f>
        <v>13.5</v>
      </c>
      <c r="J515" s="20" t="s">
        <v>14</v>
      </c>
      <c r="K515" s="11">
        <v>2046</v>
      </c>
      <c r="L515" s="15"/>
      <c r="M515" s="11"/>
      <c r="N515" s="16"/>
      <c r="O515" s="21"/>
      <c r="R515" s="22" t="s">
        <v>14</v>
      </c>
      <c r="S515">
        <v>2046</v>
      </c>
      <c r="W515" s="23"/>
    </row>
    <row r="516" spans="1:23" x14ac:dyDescent="0.2">
      <c r="A516" s="12" t="s">
        <v>14</v>
      </c>
      <c r="B516" s="24">
        <v>2047</v>
      </c>
      <c r="C516" s="25">
        <f t="shared" si="26"/>
        <v>4458.0847892999309</v>
      </c>
      <c r="D516" s="25">
        <f>'O&amp;M, Heat Rates'!$D$16</f>
        <v>126.36</v>
      </c>
      <c r="E516" s="26">
        <f>'O&amp;M, Heat Rates'!$C$16</f>
        <v>4.8499999999999996</v>
      </c>
      <c r="F516" s="26">
        <f>'O&amp;M, Heat Rates'!$E$16/1000</f>
        <v>13.5</v>
      </c>
      <c r="J516" s="20" t="s">
        <v>14</v>
      </c>
      <c r="K516" s="11">
        <v>2047</v>
      </c>
      <c r="L516" s="15"/>
      <c r="M516" s="11"/>
      <c r="N516" s="16"/>
      <c r="O516" s="21"/>
      <c r="R516" s="22" t="s">
        <v>14</v>
      </c>
      <c r="S516">
        <v>2047</v>
      </c>
      <c r="W516" s="23"/>
    </row>
    <row r="517" spans="1:23" x14ac:dyDescent="0.2">
      <c r="A517" s="12" t="s">
        <v>14</v>
      </c>
      <c r="B517" s="24">
        <v>2048</v>
      </c>
      <c r="C517" s="25">
        <f t="shared" ref="C517:C562" si="27">VLOOKUP(A517,$A$45:$AP$61,VLOOKUP(B517,$Z$69:$AA$109,2,FALSE),FALSE)</f>
        <v>4439.0135564761476</v>
      </c>
      <c r="D517" s="25">
        <f>'O&amp;M, Heat Rates'!$D$16</f>
        <v>126.36</v>
      </c>
      <c r="E517" s="26">
        <f>'O&amp;M, Heat Rates'!$C$16</f>
        <v>4.8499999999999996</v>
      </c>
      <c r="F517" s="26">
        <f>'O&amp;M, Heat Rates'!$E$16/1000</f>
        <v>13.5</v>
      </c>
      <c r="J517" s="20" t="s">
        <v>14</v>
      </c>
      <c r="K517" s="11">
        <v>2048</v>
      </c>
      <c r="L517" s="15"/>
      <c r="M517" s="11"/>
      <c r="N517" s="16"/>
      <c r="O517" s="21"/>
      <c r="R517" s="22" t="s">
        <v>14</v>
      </c>
      <c r="S517">
        <v>2048</v>
      </c>
      <c r="W517" s="23"/>
    </row>
    <row r="518" spans="1:23" x14ac:dyDescent="0.2">
      <c r="A518" s="12" t="s">
        <v>14</v>
      </c>
      <c r="B518" s="24">
        <v>2049</v>
      </c>
      <c r="C518" s="25">
        <f t="shared" si="27"/>
        <v>4421.885385330439</v>
      </c>
      <c r="D518" s="25">
        <f>'O&amp;M, Heat Rates'!$D$16</f>
        <v>126.36</v>
      </c>
      <c r="E518" s="26">
        <f>'O&amp;M, Heat Rates'!$C$16</f>
        <v>4.8499999999999996</v>
      </c>
      <c r="F518" s="26">
        <f>'O&amp;M, Heat Rates'!$E$16/1000</f>
        <v>13.5</v>
      </c>
      <c r="J518" s="20" t="s">
        <v>14</v>
      </c>
      <c r="K518" s="11">
        <v>2049</v>
      </c>
      <c r="L518" s="15"/>
      <c r="M518" s="11"/>
      <c r="N518" s="16"/>
      <c r="O518" s="21"/>
      <c r="R518" s="22" t="s">
        <v>14</v>
      </c>
      <c r="S518">
        <v>2049</v>
      </c>
      <c r="W518" s="23"/>
    </row>
    <row r="519" spans="1:23" x14ac:dyDescent="0.2">
      <c r="A519" s="12" t="s">
        <v>14</v>
      </c>
      <c r="B519" s="24">
        <v>2050</v>
      </c>
      <c r="C519" s="25">
        <f t="shared" si="27"/>
        <v>4390.9945042770405</v>
      </c>
      <c r="D519" s="25">
        <f>'O&amp;M, Heat Rates'!$D$16</f>
        <v>126.36</v>
      </c>
      <c r="E519" s="26">
        <f>'O&amp;M, Heat Rates'!$C$16</f>
        <v>4.8499999999999996</v>
      </c>
      <c r="F519" s="26">
        <f>'O&amp;M, Heat Rates'!$E$16/1000</f>
        <v>13.5</v>
      </c>
      <c r="J519" s="20" t="s">
        <v>14</v>
      </c>
      <c r="K519" s="11">
        <v>2050</v>
      </c>
      <c r="L519" s="15"/>
      <c r="M519" s="11"/>
      <c r="N519" s="16"/>
      <c r="O519" s="21"/>
      <c r="R519" s="22" t="s">
        <v>14</v>
      </c>
      <c r="S519">
        <v>2050</v>
      </c>
      <c r="W519" s="23"/>
    </row>
    <row r="520" spans="1:23" x14ac:dyDescent="0.2">
      <c r="A520" s="12" t="s">
        <v>15</v>
      </c>
      <c r="B520" s="24">
        <v>2010</v>
      </c>
      <c r="C520" s="25">
        <f t="shared" si="27"/>
        <v>0</v>
      </c>
      <c r="D520" s="25">
        <f t="shared" ref="D520:E539" si="28">D192</f>
        <v>36.693179265870199</v>
      </c>
      <c r="E520" s="26">
        <f t="shared" si="28"/>
        <v>6.4962774302295809</v>
      </c>
      <c r="F520" s="26">
        <f>O520</f>
        <v>10.74020434</v>
      </c>
      <c r="J520" s="20" t="s">
        <v>15</v>
      </c>
      <c r="K520" s="11">
        <v>2010</v>
      </c>
      <c r="L520" s="15"/>
      <c r="M520" s="15"/>
      <c r="N520" s="16"/>
      <c r="O520" s="21">
        <v>10.74020434</v>
      </c>
      <c r="R520" s="22" t="s">
        <v>15</v>
      </c>
      <c r="S520">
        <v>2010</v>
      </c>
      <c r="W520" s="23"/>
    </row>
    <row r="521" spans="1:23" x14ac:dyDescent="0.2">
      <c r="A521" s="12" t="s">
        <v>15</v>
      </c>
      <c r="B521" s="24">
        <v>2011</v>
      </c>
      <c r="C521" s="25">
        <f t="shared" si="27"/>
        <v>0</v>
      </c>
      <c r="D521" s="25">
        <f t="shared" si="28"/>
        <v>36.693179265870199</v>
      </c>
      <c r="E521" s="26">
        <f t="shared" si="28"/>
        <v>6.6315049847792462</v>
      </c>
      <c r="F521" s="26">
        <f t="shared" ref="F521:F560" si="29">O521</f>
        <v>10.74020434</v>
      </c>
      <c r="J521" s="20" t="s">
        <v>15</v>
      </c>
      <c r="K521" s="11">
        <v>2011</v>
      </c>
      <c r="L521" s="15"/>
      <c r="M521" s="15"/>
      <c r="N521" s="16"/>
      <c r="O521" s="21">
        <v>10.74020434</v>
      </c>
      <c r="R521" s="22" t="s">
        <v>15</v>
      </c>
      <c r="S521">
        <v>2011</v>
      </c>
      <c r="W521" s="23"/>
    </row>
    <row r="522" spans="1:23" x14ac:dyDescent="0.2">
      <c r="A522" s="12" t="s">
        <v>15</v>
      </c>
      <c r="B522" s="24">
        <v>2012</v>
      </c>
      <c r="C522" s="25">
        <f t="shared" si="27"/>
        <v>0</v>
      </c>
      <c r="D522" s="25">
        <f t="shared" si="28"/>
        <v>36.693179265870199</v>
      </c>
      <c r="E522" s="26">
        <f t="shared" si="28"/>
        <v>6.7667325393289106</v>
      </c>
      <c r="F522" s="26">
        <f t="shared" si="29"/>
        <v>10.74020434</v>
      </c>
      <c r="J522" s="20" t="s">
        <v>15</v>
      </c>
      <c r="K522" s="11">
        <v>2012</v>
      </c>
      <c r="L522" s="15"/>
      <c r="M522" s="15"/>
      <c r="N522" s="16"/>
      <c r="O522" s="21">
        <v>10.74020434</v>
      </c>
      <c r="R522" s="22" t="s">
        <v>15</v>
      </c>
      <c r="S522">
        <v>2012</v>
      </c>
      <c r="W522" s="23"/>
    </row>
    <row r="523" spans="1:23" x14ac:dyDescent="0.2">
      <c r="A523" s="12" t="s">
        <v>15</v>
      </c>
      <c r="B523" s="24">
        <v>2013</v>
      </c>
      <c r="C523" s="25">
        <f t="shared" si="27"/>
        <v>0</v>
      </c>
      <c r="D523" s="25">
        <f t="shared" si="28"/>
        <v>36.693179265870199</v>
      </c>
      <c r="E523" s="26">
        <f t="shared" si="28"/>
        <v>6.9019600938785759</v>
      </c>
      <c r="F523" s="26">
        <f t="shared" si="29"/>
        <v>10.74020434</v>
      </c>
      <c r="J523" s="20" t="s">
        <v>15</v>
      </c>
      <c r="K523" s="11">
        <v>2013</v>
      </c>
      <c r="L523" s="15"/>
      <c r="M523" s="15"/>
      <c r="N523" s="16"/>
      <c r="O523" s="21">
        <v>10.74020434</v>
      </c>
      <c r="R523" s="22" t="s">
        <v>15</v>
      </c>
      <c r="S523">
        <v>2013</v>
      </c>
      <c r="W523" s="23"/>
    </row>
    <row r="524" spans="1:23" x14ac:dyDescent="0.2">
      <c r="A524" s="12" t="s">
        <v>15</v>
      </c>
      <c r="B524" s="24">
        <v>2014</v>
      </c>
      <c r="C524" s="25">
        <f t="shared" si="27"/>
        <v>0</v>
      </c>
      <c r="D524" s="25">
        <f t="shared" si="28"/>
        <v>36.693179265870199</v>
      </c>
      <c r="E524" s="26">
        <f t="shared" si="28"/>
        <v>7.0371876484282403</v>
      </c>
      <c r="F524" s="26">
        <f t="shared" si="29"/>
        <v>10.74020434</v>
      </c>
      <c r="J524" s="20" t="s">
        <v>15</v>
      </c>
      <c r="K524" s="11">
        <v>2014</v>
      </c>
      <c r="L524" s="15"/>
      <c r="M524" s="15"/>
      <c r="N524" s="16"/>
      <c r="O524" s="21">
        <v>10.74020434</v>
      </c>
      <c r="R524" s="22" t="s">
        <v>15</v>
      </c>
      <c r="S524">
        <v>2014</v>
      </c>
      <c r="W524" s="23"/>
    </row>
    <row r="525" spans="1:23" x14ac:dyDescent="0.2">
      <c r="A525" s="12" t="s">
        <v>15</v>
      </c>
      <c r="B525" s="24">
        <v>2015</v>
      </c>
      <c r="C525" s="25">
        <f t="shared" si="27"/>
        <v>0</v>
      </c>
      <c r="D525" s="25">
        <f t="shared" si="28"/>
        <v>36.693179265870199</v>
      </c>
      <c r="E525" s="26">
        <f t="shared" si="28"/>
        <v>7.1724152029779056</v>
      </c>
      <c r="F525" s="26">
        <f t="shared" si="29"/>
        <v>10.74020434</v>
      </c>
      <c r="J525" s="20" t="s">
        <v>15</v>
      </c>
      <c r="K525" s="11">
        <v>2015</v>
      </c>
      <c r="L525" s="15"/>
      <c r="M525" s="15"/>
      <c r="N525" s="16"/>
      <c r="O525" s="21">
        <v>10.74020434</v>
      </c>
      <c r="R525" s="22" t="s">
        <v>15</v>
      </c>
      <c r="S525">
        <v>2015</v>
      </c>
      <c r="W525" s="23"/>
    </row>
    <row r="526" spans="1:23" x14ac:dyDescent="0.2">
      <c r="A526" s="12" t="s">
        <v>15</v>
      </c>
      <c r="B526" s="24">
        <v>2016</v>
      </c>
      <c r="C526" s="25">
        <f t="shared" si="27"/>
        <v>0</v>
      </c>
      <c r="D526" s="25">
        <f t="shared" si="28"/>
        <v>36.693179265870199</v>
      </c>
      <c r="E526" s="26">
        <f t="shared" si="28"/>
        <v>7.3217173500198722</v>
      </c>
      <c r="F526" s="26">
        <f t="shared" si="29"/>
        <v>10.74020434</v>
      </c>
      <c r="J526" s="20" t="s">
        <v>15</v>
      </c>
      <c r="K526" s="11">
        <v>2016</v>
      </c>
      <c r="L526" s="15"/>
      <c r="M526" s="15"/>
      <c r="N526" s="16"/>
      <c r="O526" s="21">
        <v>10.74020434</v>
      </c>
      <c r="R526" s="22" t="s">
        <v>15</v>
      </c>
      <c r="S526">
        <v>2016</v>
      </c>
      <c r="W526" s="23"/>
    </row>
    <row r="527" spans="1:23" x14ac:dyDescent="0.2">
      <c r="A527" s="12" t="s">
        <v>15</v>
      </c>
      <c r="B527" s="24">
        <v>2017</v>
      </c>
      <c r="C527" s="25">
        <f t="shared" si="27"/>
        <v>0</v>
      </c>
      <c r="D527" s="25">
        <f t="shared" si="28"/>
        <v>36.693179265870199</v>
      </c>
      <c r="E527" s="26">
        <f t="shared" si="28"/>
        <v>7.4710194970618389</v>
      </c>
      <c r="F527" s="26">
        <f t="shared" si="29"/>
        <v>10.74020434</v>
      </c>
      <c r="J527" s="20" t="s">
        <v>15</v>
      </c>
      <c r="K527" s="11">
        <v>2017</v>
      </c>
      <c r="L527" s="15"/>
      <c r="M527" s="15"/>
      <c r="N527" s="16"/>
      <c r="O527" s="21">
        <v>10.74020434</v>
      </c>
      <c r="R527" s="22" t="s">
        <v>15</v>
      </c>
      <c r="S527">
        <v>2017</v>
      </c>
      <c r="W527" s="23"/>
    </row>
    <row r="528" spans="1:23" x14ac:dyDescent="0.2">
      <c r="A528" s="12" t="s">
        <v>15</v>
      </c>
      <c r="B528" s="24">
        <v>2018</v>
      </c>
      <c r="C528" s="25">
        <f t="shared" si="27"/>
        <v>0</v>
      </c>
      <c r="D528" s="25">
        <f t="shared" si="28"/>
        <v>36.693179265870199</v>
      </c>
      <c r="E528" s="26">
        <f t="shared" si="28"/>
        <v>7.6203216441038055</v>
      </c>
      <c r="F528" s="26">
        <f t="shared" si="29"/>
        <v>10.74020434</v>
      </c>
      <c r="J528" s="20" t="s">
        <v>15</v>
      </c>
      <c r="K528" s="11">
        <v>2018</v>
      </c>
      <c r="L528" s="15"/>
      <c r="M528" s="15"/>
      <c r="N528" s="16"/>
      <c r="O528" s="21">
        <v>10.74020434</v>
      </c>
      <c r="R528" s="22" t="s">
        <v>15</v>
      </c>
      <c r="S528">
        <v>2018</v>
      </c>
      <c r="W528" s="23"/>
    </row>
    <row r="529" spans="1:23" x14ac:dyDescent="0.2">
      <c r="A529" s="12" t="s">
        <v>15</v>
      </c>
      <c r="B529" s="24">
        <v>2019</v>
      </c>
      <c r="C529" s="25">
        <f t="shared" si="27"/>
        <v>0</v>
      </c>
      <c r="D529" s="25">
        <f t="shared" si="28"/>
        <v>36.693179265870199</v>
      </c>
      <c r="E529" s="26">
        <f t="shared" si="28"/>
        <v>7.7696237911457722</v>
      </c>
      <c r="F529" s="26">
        <f t="shared" si="29"/>
        <v>10.74020434</v>
      </c>
      <c r="J529" s="20" t="s">
        <v>15</v>
      </c>
      <c r="K529" s="11">
        <v>2019</v>
      </c>
      <c r="L529" s="15"/>
      <c r="M529" s="15"/>
      <c r="N529" s="16"/>
      <c r="O529" s="21">
        <v>10.74020434</v>
      </c>
      <c r="R529" s="22" t="s">
        <v>15</v>
      </c>
      <c r="S529">
        <v>2019</v>
      </c>
      <c r="W529" s="23"/>
    </row>
    <row r="530" spans="1:23" x14ac:dyDescent="0.2">
      <c r="A530" s="12" t="s">
        <v>15</v>
      </c>
      <c r="B530" s="24">
        <v>2020</v>
      </c>
      <c r="C530" s="25">
        <f t="shared" si="27"/>
        <v>0</v>
      </c>
      <c r="D530" s="25">
        <f t="shared" si="28"/>
        <v>36.693179265870199</v>
      </c>
      <c r="E530" s="26">
        <f t="shared" si="28"/>
        <v>7.9189259381877388</v>
      </c>
      <c r="F530" s="26">
        <f t="shared" si="29"/>
        <v>10.74020434</v>
      </c>
      <c r="J530" s="20" t="s">
        <v>15</v>
      </c>
      <c r="K530" s="11">
        <v>2020</v>
      </c>
      <c r="L530" s="15"/>
      <c r="M530" s="15"/>
      <c r="N530" s="16"/>
      <c r="O530" s="21">
        <v>10.74020434</v>
      </c>
      <c r="R530" s="22" t="s">
        <v>15</v>
      </c>
      <c r="S530">
        <v>2020</v>
      </c>
      <c r="W530" s="23"/>
    </row>
    <row r="531" spans="1:23" x14ac:dyDescent="0.2">
      <c r="A531" s="12" t="s">
        <v>15</v>
      </c>
      <c r="B531" s="24">
        <v>2021</v>
      </c>
      <c r="C531" s="25">
        <f t="shared" si="27"/>
        <v>0</v>
      </c>
      <c r="D531" s="25">
        <f t="shared" si="28"/>
        <v>36.693179265870199</v>
      </c>
      <c r="E531" s="26">
        <f t="shared" si="28"/>
        <v>8.0837675726133185</v>
      </c>
      <c r="F531" s="26">
        <f t="shared" si="29"/>
        <v>10.74020434</v>
      </c>
      <c r="J531" s="20" t="s">
        <v>15</v>
      </c>
      <c r="K531" s="11">
        <v>2021</v>
      </c>
      <c r="L531" s="15"/>
      <c r="M531" s="15"/>
      <c r="N531" s="16"/>
      <c r="O531" s="21">
        <v>10.74020434</v>
      </c>
      <c r="R531" s="22" t="s">
        <v>15</v>
      </c>
      <c r="S531">
        <v>2021</v>
      </c>
      <c r="W531" s="23"/>
    </row>
    <row r="532" spans="1:23" x14ac:dyDescent="0.2">
      <c r="A532" s="12" t="s">
        <v>15</v>
      </c>
      <c r="B532" s="24">
        <v>2022</v>
      </c>
      <c r="C532" s="25">
        <f t="shared" si="27"/>
        <v>0</v>
      </c>
      <c r="D532" s="25">
        <f t="shared" si="28"/>
        <v>36.693179265870199</v>
      </c>
      <c r="E532" s="26">
        <f t="shared" si="28"/>
        <v>8.2486092070388963</v>
      </c>
      <c r="F532" s="26">
        <f t="shared" si="29"/>
        <v>10.74020434</v>
      </c>
      <c r="J532" s="20" t="s">
        <v>15</v>
      </c>
      <c r="K532" s="11">
        <v>2022</v>
      </c>
      <c r="L532" s="15"/>
      <c r="M532" s="15"/>
      <c r="N532" s="16"/>
      <c r="O532" s="21">
        <v>10.74020434</v>
      </c>
      <c r="R532" s="22" t="s">
        <v>15</v>
      </c>
      <c r="S532">
        <v>2022</v>
      </c>
      <c r="W532" s="23"/>
    </row>
    <row r="533" spans="1:23" x14ac:dyDescent="0.2">
      <c r="A533" s="12" t="s">
        <v>15</v>
      </c>
      <c r="B533" s="24">
        <v>2023</v>
      </c>
      <c r="C533" s="25">
        <f t="shared" si="27"/>
        <v>0</v>
      </c>
      <c r="D533" s="25">
        <f t="shared" si="28"/>
        <v>36.693179265870199</v>
      </c>
      <c r="E533" s="26">
        <f t="shared" si="28"/>
        <v>8.4134508414644742</v>
      </c>
      <c r="F533" s="26">
        <f t="shared" si="29"/>
        <v>10.74020434</v>
      </c>
      <c r="J533" s="20" t="s">
        <v>15</v>
      </c>
      <c r="K533" s="11">
        <v>2023</v>
      </c>
      <c r="L533" s="15"/>
      <c r="M533" s="15"/>
      <c r="N533" s="16"/>
      <c r="O533" s="21">
        <v>10.74020434</v>
      </c>
      <c r="R533" s="22" t="s">
        <v>15</v>
      </c>
      <c r="S533">
        <v>2023</v>
      </c>
      <c r="W533" s="23"/>
    </row>
    <row r="534" spans="1:23" x14ac:dyDescent="0.2">
      <c r="A534" s="12" t="s">
        <v>15</v>
      </c>
      <c r="B534" s="24">
        <v>2024</v>
      </c>
      <c r="C534" s="25">
        <f t="shared" si="27"/>
        <v>0</v>
      </c>
      <c r="D534" s="25">
        <f t="shared" si="28"/>
        <v>36.693179265870199</v>
      </c>
      <c r="E534" s="26">
        <f t="shared" si="28"/>
        <v>8.5782924758900521</v>
      </c>
      <c r="F534" s="26">
        <f t="shared" si="29"/>
        <v>10.74020434</v>
      </c>
      <c r="J534" s="20" t="s">
        <v>15</v>
      </c>
      <c r="K534" s="11">
        <v>2024</v>
      </c>
      <c r="L534" s="15"/>
      <c r="M534" s="15"/>
      <c r="N534" s="16"/>
      <c r="O534" s="21">
        <v>10.74020434</v>
      </c>
      <c r="R534" s="22" t="s">
        <v>15</v>
      </c>
      <c r="S534">
        <v>2024</v>
      </c>
      <c r="W534" s="23"/>
    </row>
    <row r="535" spans="1:23" x14ac:dyDescent="0.2">
      <c r="A535" s="12" t="s">
        <v>15</v>
      </c>
      <c r="B535" s="24">
        <v>2025</v>
      </c>
      <c r="C535" s="25">
        <f t="shared" si="27"/>
        <v>0</v>
      </c>
      <c r="D535" s="25">
        <f t="shared" si="28"/>
        <v>36.693179265870199</v>
      </c>
      <c r="E535" s="26">
        <f t="shared" si="28"/>
        <v>8.7431341103156317</v>
      </c>
      <c r="F535" s="26">
        <f t="shared" si="29"/>
        <v>10.74020434</v>
      </c>
      <c r="J535" s="20" t="s">
        <v>15</v>
      </c>
      <c r="K535" s="11">
        <v>2025</v>
      </c>
      <c r="L535" s="15"/>
      <c r="M535" s="15"/>
      <c r="N535" s="16"/>
      <c r="O535" s="21">
        <v>10.74020434</v>
      </c>
      <c r="R535" s="22" t="s">
        <v>15</v>
      </c>
      <c r="S535">
        <v>2025</v>
      </c>
      <c r="W535" s="23"/>
    </row>
    <row r="536" spans="1:23" x14ac:dyDescent="0.2">
      <c r="A536" s="12" t="s">
        <v>15</v>
      </c>
      <c r="B536" s="24">
        <v>2026</v>
      </c>
      <c r="C536" s="25">
        <f t="shared" si="27"/>
        <v>0</v>
      </c>
      <c r="D536" s="25">
        <f t="shared" si="28"/>
        <v>36.693179265870199</v>
      </c>
      <c r="E536" s="26">
        <f t="shared" si="28"/>
        <v>8.9251325944530251</v>
      </c>
      <c r="F536" s="26">
        <f t="shared" si="29"/>
        <v>10.74020434</v>
      </c>
      <c r="J536" s="20" t="s">
        <v>15</v>
      </c>
      <c r="K536" s="11">
        <v>2026</v>
      </c>
      <c r="L536" s="15"/>
      <c r="M536" s="15"/>
      <c r="N536" s="16"/>
      <c r="O536" s="21">
        <v>10.74020434</v>
      </c>
      <c r="R536" s="22" t="s">
        <v>15</v>
      </c>
      <c r="S536">
        <v>2026</v>
      </c>
      <c r="W536" s="23"/>
    </row>
    <row r="537" spans="1:23" x14ac:dyDescent="0.2">
      <c r="A537" s="12" t="s">
        <v>15</v>
      </c>
      <c r="B537" s="24">
        <v>2027</v>
      </c>
      <c r="C537" s="25">
        <f t="shared" si="27"/>
        <v>0</v>
      </c>
      <c r="D537" s="25">
        <f t="shared" si="28"/>
        <v>36.693179265870199</v>
      </c>
      <c r="E537" s="26">
        <f t="shared" si="28"/>
        <v>9.1071310785904185</v>
      </c>
      <c r="F537" s="26">
        <f t="shared" si="29"/>
        <v>10.74020434</v>
      </c>
      <c r="J537" s="20" t="s">
        <v>15</v>
      </c>
      <c r="K537" s="11">
        <v>2027</v>
      </c>
      <c r="L537" s="15"/>
      <c r="M537" s="15"/>
      <c r="N537" s="16"/>
      <c r="O537" s="21">
        <v>10.74020434</v>
      </c>
      <c r="R537" s="22" t="s">
        <v>15</v>
      </c>
      <c r="S537">
        <v>2027</v>
      </c>
      <c r="W537" s="23"/>
    </row>
    <row r="538" spans="1:23" x14ac:dyDescent="0.2">
      <c r="A538" s="12" t="s">
        <v>15</v>
      </c>
      <c r="B538" s="24">
        <v>2028</v>
      </c>
      <c r="C538" s="25">
        <f t="shared" si="27"/>
        <v>0</v>
      </c>
      <c r="D538" s="25">
        <f t="shared" si="28"/>
        <v>36.693179265870199</v>
      </c>
      <c r="E538" s="26">
        <f t="shared" si="28"/>
        <v>9.2891295627278119</v>
      </c>
      <c r="F538" s="26">
        <f t="shared" si="29"/>
        <v>10.74020434</v>
      </c>
      <c r="J538" s="20" t="s">
        <v>15</v>
      </c>
      <c r="K538" s="11">
        <v>2028</v>
      </c>
      <c r="L538" s="15"/>
      <c r="M538" s="15"/>
      <c r="N538" s="16"/>
      <c r="O538" s="21">
        <v>10.74020434</v>
      </c>
      <c r="R538" s="22" t="s">
        <v>15</v>
      </c>
      <c r="S538">
        <v>2028</v>
      </c>
      <c r="W538" s="23"/>
    </row>
    <row r="539" spans="1:23" x14ac:dyDescent="0.2">
      <c r="A539" s="12" t="s">
        <v>15</v>
      </c>
      <c r="B539" s="24">
        <v>2029</v>
      </c>
      <c r="C539" s="25">
        <f t="shared" si="27"/>
        <v>0</v>
      </c>
      <c r="D539" s="25">
        <f t="shared" si="28"/>
        <v>36.693179265870199</v>
      </c>
      <c r="E539" s="26">
        <f t="shared" si="28"/>
        <v>9.471128046865207</v>
      </c>
      <c r="F539" s="26">
        <f t="shared" si="29"/>
        <v>10.74020434</v>
      </c>
      <c r="J539" s="20" t="s">
        <v>15</v>
      </c>
      <c r="K539" s="11">
        <v>2029</v>
      </c>
      <c r="L539" s="15"/>
      <c r="M539" s="15"/>
      <c r="N539" s="16"/>
      <c r="O539" s="21">
        <v>10.74020434</v>
      </c>
      <c r="R539" s="22" t="s">
        <v>15</v>
      </c>
      <c r="S539">
        <v>2029</v>
      </c>
      <c r="W539" s="23"/>
    </row>
    <row r="540" spans="1:23" x14ac:dyDescent="0.2">
      <c r="A540" s="12" t="s">
        <v>15</v>
      </c>
      <c r="B540" s="24">
        <v>2030</v>
      </c>
      <c r="C540" s="25">
        <f t="shared" si="27"/>
        <v>0</v>
      </c>
      <c r="D540" s="25">
        <f t="shared" ref="D540:E559" si="30">D212</f>
        <v>36.693179265870199</v>
      </c>
      <c r="E540" s="26">
        <f t="shared" si="30"/>
        <v>9.6531265310026004</v>
      </c>
      <c r="F540" s="26">
        <f t="shared" si="29"/>
        <v>10.74020434</v>
      </c>
      <c r="J540" s="20" t="s">
        <v>15</v>
      </c>
      <c r="K540" s="11">
        <v>2030</v>
      </c>
      <c r="L540" s="15"/>
      <c r="M540" s="15"/>
      <c r="N540" s="16"/>
      <c r="O540" s="21">
        <v>10.74020434</v>
      </c>
      <c r="R540" s="22" t="s">
        <v>15</v>
      </c>
      <c r="S540">
        <v>2030</v>
      </c>
      <c r="W540" s="23"/>
    </row>
    <row r="541" spans="1:23" x14ac:dyDescent="0.2">
      <c r="A541" s="12" t="s">
        <v>15</v>
      </c>
      <c r="B541" s="24">
        <v>2031</v>
      </c>
      <c r="C541" s="25">
        <f t="shared" si="27"/>
        <v>0</v>
      </c>
      <c r="D541" s="25">
        <f t="shared" si="30"/>
        <v>36.693179265870199</v>
      </c>
      <c r="E541" s="26">
        <f t="shared" si="30"/>
        <v>9.8540675635501955</v>
      </c>
      <c r="F541" s="26">
        <f t="shared" si="29"/>
        <v>10.74020434</v>
      </c>
      <c r="J541" s="20" t="s">
        <v>15</v>
      </c>
      <c r="K541" s="11">
        <v>2031</v>
      </c>
      <c r="L541" s="15"/>
      <c r="M541" s="15"/>
      <c r="N541" s="16"/>
      <c r="O541" s="21">
        <v>10.74020434</v>
      </c>
      <c r="R541" s="22" t="s">
        <v>15</v>
      </c>
      <c r="S541">
        <v>2031</v>
      </c>
      <c r="W541" s="23"/>
    </row>
    <row r="542" spans="1:23" x14ac:dyDescent="0.2">
      <c r="A542" s="12" t="s">
        <v>15</v>
      </c>
      <c r="B542" s="24">
        <v>2032</v>
      </c>
      <c r="C542" s="25">
        <f t="shared" si="27"/>
        <v>0</v>
      </c>
      <c r="D542" s="25">
        <f t="shared" si="30"/>
        <v>36.693179265870199</v>
      </c>
      <c r="E542" s="26">
        <f t="shared" si="30"/>
        <v>10.055008596097792</v>
      </c>
      <c r="F542" s="26">
        <f t="shared" si="29"/>
        <v>10.74020434</v>
      </c>
      <c r="J542" s="20" t="s">
        <v>15</v>
      </c>
      <c r="K542" s="11">
        <v>2032</v>
      </c>
      <c r="L542" s="15"/>
      <c r="M542" s="15"/>
      <c r="N542" s="16"/>
      <c r="O542" s="21">
        <v>10.74020434</v>
      </c>
      <c r="R542" s="22" t="s">
        <v>15</v>
      </c>
      <c r="S542">
        <v>2032</v>
      </c>
      <c r="W542" s="23"/>
    </row>
    <row r="543" spans="1:23" x14ac:dyDescent="0.2">
      <c r="A543" s="12" t="s">
        <v>15</v>
      </c>
      <c r="B543" s="24">
        <v>2033</v>
      </c>
      <c r="C543" s="25">
        <f t="shared" si="27"/>
        <v>0</v>
      </c>
      <c r="D543" s="25">
        <f t="shared" si="30"/>
        <v>36.693179265870199</v>
      </c>
      <c r="E543" s="26">
        <f t="shared" si="30"/>
        <v>10.255949628645389</v>
      </c>
      <c r="F543" s="26">
        <f t="shared" si="29"/>
        <v>10.74020434</v>
      </c>
      <c r="J543" s="20" t="s">
        <v>15</v>
      </c>
      <c r="K543" s="11">
        <v>2033</v>
      </c>
      <c r="L543" s="15"/>
      <c r="M543" s="15"/>
      <c r="N543" s="16"/>
      <c r="O543" s="21">
        <v>10.74020434</v>
      </c>
      <c r="R543" s="22" t="s">
        <v>15</v>
      </c>
      <c r="S543">
        <v>2033</v>
      </c>
      <c r="W543" s="23"/>
    </row>
    <row r="544" spans="1:23" x14ac:dyDescent="0.2">
      <c r="A544" s="12" t="s">
        <v>15</v>
      </c>
      <c r="B544" s="24">
        <v>2034</v>
      </c>
      <c r="C544" s="25">
        <f t="shared" si="27"/>
        <v>0</v>
      </c>
      <c r="D544" s="25">
        <f t="shared" si="30"/>
        <v>36.693179265870199</v>
      </c>
      <c r="E544" s="26">
        <f t="shared" si="30"/>
        <v>10.456890661192984</v>
      </c>
      <c r="F544" s="26">
        <f t="shared" si="29"/>
        <v>10.74020434</v>
      </c>
      <c r="J544" s="20" t="s">
        <v>15</v>
      </c>
      <c r="K544" s="11">
        <v>2034</v>
      </c>
      <c r="L544" s="15"/>
      <c r="M544" s="15"/>
      <c r="N544" s="16"/>
      <c r="O544" s="21">
        <v>10.74020434</v>
      </c>
      <c r="R544" s="22" t="s">
        <v>15</v>
      </c>
      <c r="S544">
        <v>2034</v>
      </c>
      <c r="W544" s="23"/>
    </row>
    <row r="545" spans="1:23" x14ac:dyDescent="0.2">
      <c r="A545" s="12" t="s">
        <v>15</v>
      </c>
      <c r="B545" s="24">
        <v>2035</v>
      </c>
      <c r="C545" s="25">
        <f t="shared" si="27"/>
        <v>0</v>
      </c>
      <c r="D545" s="25">
        <f t="shared" si="30"/>
        <v>36.693179265870199</v>
      </c>
      <c r="E545" s="26">
        <f t="shared" si="30"/>
        <v>10.657831693740579</v>
      </c>
      <c r="F545" s="26">
        <f t="shared" si="29"/>
        <v>10.74020434</v>
      </c>
      <c r="J545" s="20" t="s">
        <v>15</v>
      </c>
      <c r="K545" s="11">
        <v>2035</v>
      </c>
      <c r="L545" s="15"/>
      <c r="M545" s="15"/>
      <c r="N545" s="16"/>
      <c r="O545" s="21">
        <v>10.74020434</v>
      </c>
      <c r="R545" s="22" t="s">
        <v>15</v>
      </c>
      <c r="S545">
        <v>2035</v>
      </c>
      <c r="W545" s="23"/>
    </row>
    <row r="546" spans="1:23" x14ac:dyDescent="0.2">
      <c r="A546" s="12" t="s">
        <v>15</v>
      </c>
      <c r="B546" s="24">
        <v>2036</v>
      </c>
      <c r="C546" s="25">
        <f t="shared" si="27"/>
        <v>0</v>
      </c>
      <c r="D546" s="25">
        <f t="shared" si="30"/>
        <v>36.693179265870199</v>
      </c>
      <c r="E546" s="26">
        <f t="shared" si="30"/>
        <v>10.879686830351568</v>
      </c>
      <c r="F546" s="26">
        <f t="shared" si="29"/>
        <v>10.74020434</v>
      </c>
      <c r="J546" s="20" t="s">
        <v>15</v>
      </c>
      <c r="K546" s="11">
        <v>2036</v>
      </c>
      <c r="L546" s="15"/>
      <c r="M546" s="15"/>
      <c r="N546" s="16"/>
      <c r="O546" s="21">
        <v>10.74020434</v>
      </c>
      <c r="R546" s="22" t="s">
        <v>15</v>
      </c>
      <c r="S546">
        <v>2036</v>
      </c>
      <c r="W546" s="23"/>
    </row>
    <row r="547" spans="1:23" x14ac:dyDescent="0.2">
      <c r="A547" s="12" t="s">
        <v>15</v>
      </c>
      <c r="B547" s="24">
        <v>2037</v>
      </c>
      <c r="C547" s="25">
        <f t="shared" si="27"/>
        <v>0</v>
      </c>
      <c r="D547" s="25">
        <f t="shared" si="30"/>
        <v>36.693179265870199</v>
      </c>
      <c r="E547" s="26">
        <f t="shared" si="30"/>
        <v>11.101541966962555</v>
      </c>
      <c r="F547" s="26">
        <f t="shared" si="29"/>
        <v>10.74020434</v>
      </c>
      <c r="J547" s="20" t="s">
        <v>15</v>
      </c>
      <c r="K547" s="11">
        <v>2037</v>
      </c>
      <c r="L547" s="15"/>
      <c r="M547" s="15"/>
      <c r="N547" s="16"/>
      <c r="O547" s="21">
        <v>10.74020434</v>
      </c>
      <c r="R547" s="22" t="s">
        <v>15</v>
      </c>
      <c r="S547">
        <v>2037</v>
      </c>
      <c r="W547" s="23"/>
    </row>
    <row r="548" spans="1:23" x14ac:dyDescent="0.2">
      <c r="A548" s="12" t="s">
        <v>15</v>
      </c>
      <c r="B548" s="24">
        <v>2038</v>
      </c>
      <c r="C548" s="25">
        <f t="shared" si="27"/>
        <v>0</v>
      </c>
      <c r="D548" s="25">
        <f t="shared" si="30"/>
        <v>36.693179265870199</v>
      </c>
      <c r="E548" s="26">
        <f t="shared" si="30"/>
        <v>11.323397103573543</v>
      </c>
      <c r="F548" s="26">
        <f t="shared" si="29"/>
        <v>10.74020434</v>
      </c>
      <c r="J548" s="20" t="s">
        <v>15</v>
      </c>
      <c r="K548" s="11">
        <v>2038</v>
      </c>
      <c r="L548" s="15"/>
      <c r="M548" s="15"/>
      <c r="N548" s="16"/>
      <c r="O548" s="21">
        <v>10.74020434</v>
      </c>
      <c r="R548" s="22" t="s">
        <v>15</v>
      </c>
      <c r="S548">
        <v>2038</v>
      </c>
      <c r="W548" s="23"/>
    </row>
    <row r="549" spans="1:23" x14ac:dyDescent="0.2">
      <c r="A549" s="12" t="s">
        <v>15</v>
      </c>
      <c r="B549" s="24">
        <v>2039</v>
      </c>
      <c r="C549" s="25">
        <f t="shared" si="27"/>
        <v>0</v>
      </c>
      <c r="D549" s="25">
        <f t="shared" si="30"/>
        <v>36.693179265870199</v>
      </c>
      <c r="E549" s="26">
        <f t="shared" si="30"/>
        <v>11.54525224018453</v>
      </c>
      <c r="F549" s="26">
        <f t="shared" si="29"/>
        <v>10.74020434</v>
      </c>
      <c r="J549" s="20" t="s">
        <v>15</v>
      </c>
      <c r="K549" s="11">
        <v>2039</v>
      </c>
      <c r="L549" s="15"/>
      <c r="M549" s="15"/>
      <c r="N549" s="16"/>
      <c r="O549" s="21">
        <v>10.74020434</v>
      </c>
      <c r="R549" s="22" t="s">
        <v>15</v>
      </c>
      <c r="S549">
        <v>2039</v>
      </c>
      <c r="W549" s="23"/>
    </row>
    <row r="550" spans="1:23" x14ac:dyDescent="0.2">
      <c r="A550" s="12" t="s">
        <v>15</v>
      </c>
      <c r="B550" s="24">
        <v>2040</v>
      </c>
      <c r="C550" s="25">
        <f t="shared" si="27"/>
        <v>0</v>
      </c>
      <c r="D550" s="25">
        <f t="shared" si="30"/>
        <v>36.693179265870199</v>
      </c>
      <c r="E550" s="26">
        <f t="shared" si="30"/>
        <v>11.767107376795517</v>
      </c>
      <c r="F550" s="26">
        <f t="shared" si="29"/>
        <v>10.74020434</v>
      </c>
      <c r="J550" s="20" t="s">
        <v>15</v>
      </c>
      <c r="K550" s="11">
        <v>2040</v>
      </c>
      <c r="L550" s="15"/>
      <c r="M550" s="15"/>
      <c r="N550" s="16"/>
      <c r="O550" s="21">
        <v>10.74020434</v>
      </c>
      <c r="R550" s="22" t="s">
        <v>15</v>
      </c>
      <c r="S550">
        <v>2040</v>
      </c>
      <c r="W550" s="23"/>
    </row>
    <row r="551" spans="1:23" x14ac:dyDescent="0.2">
      <c r="A551" s="12" t="s">
        <v>15</v>
      </c>
      <c r="B551" s="24">
        <v>2041</v>
      </c>
      <c r="C551" s="25">
        <f t="shared" si="27"/>
        <v>0</v>
      </c>
      <c r="D551" s="25">
        <f t="shared" si="30"/>
        <v>36.693179265870199</v>
      </c>
      <c r="E551" s="26">
        <f t="shared" si="30"/>
        <v>12.01205337421902</v>
      </c>
      <c r="F551" s="26">
        <f t="shared" si="29"/>
        <v>10.74020434</v>
      </c>
      <c r="J551" s="20" t="s">
        <v>15</v>
      </c>
      <c r="K551" s="11">
        <v>2041</v>
      </c>
      <c r="L551" s="15"/>
      <c r="M551" s="15"/>
      <c r="N551" s="16"/>
      <c r="O551" s="21">
        <v>10.74020434</v>
      </c>
      <c r="R551" s="22" t="s">
        <v>15</v>
      </c>
      <c r="S551">
        <v>2041</v>
      </c>
      <c r="W551" s="23"/>
    </row>
    <row r="552" spans="1:23" x14ac:dyDescent="0.2">
      <c r="A552" s="12" t="s">
        <v>15</v>
      </c>
      <c r="B552" s="24">
        <v>2042</v>
      </c>
      <c r="C552" s="25">
        <f t="shared" si="27"/>
        <v>0</v>
      </c>
      <c r="D552" s="25">
        <f t="shared" si="30"/>
        <v>36.693179265870199</v>
      </c>
      <c r="E552" s="26">
        <f t="shared" si="30"/>
        <v>12.256999371642523</v>
      </c>
      <c r="F552" s="26">
        <f t="shared" si="29"/>
        <v>10.74020434</v>
      </c>
      <c r="J552" s="20" t="s">
        <v>15</v>
      </c>
      <c r="K552" s="11">
        <v>2042</v>
      </c>
      <c r="L552" s="15"/>
      <c r="M552" s="15"/>
      <c r="N552" s="16"/>
      <c r="O552" s="21">
        <v>10.74020434</v>
      </c>
      <c r="R552" s="22" t="s">
        <v>15</v>
      </c>
      <c r="S552">
        <v>2042</v>
      </c>
      <c r="W552" s="23"/>
    </row>
    <row r="553" spans="1:23" x14ac:dyDescent="0.2">
      <c r="A553" s="12" t="s">
        <v>15</v>
      </c>
      <c r="B553" s="24">
        <v>2043</v>
      </c>
      <c r="C553" s="25">
        <f t="shared" si="27"/>
        <v>0</v>
      </c>
      <c r="D553" s="25">
        <f t="shared" si="30"/>
        <v>36.693179265870199</v>
      </c>
      <c r="E553" s="26">
        <f t="shared" si="30"/>
        <v>12.50194536906603</v>
      </c>
      <c r="F553" s="26">
        <f t="shared" si="29"/>
        <v>10.74020434</v>
      </c>
      <c r="J553" s="20" t="s">
        <v>15</v>
      </c>
      <c r="K553" s="11">
        <v>2043</v>
      </c>
      <c r="L553" s="15"/>
      <c r="M553" s="15"/>
      <c r="N553" s="16"/>
      <c r="O553" s="21">
        <v>10.74020434</v>
      </c>
      <c r="R553" s="22" t="s">
        <v>15</v>
      </c>
      <c r="S553">
        <v>2043</v>
      </c>
      <c r="W553" s="23"/>
    </row>
    <row r="554" spans="1:23" x14ac:dyDescent="0.2">
      <c r="A554" s="12" t="s">
        <v>15</v>
      </c>
      <c r="B554" s="24">
        <v>2044</v>
      </c>
      <c r="C554" s="25">
        <f t="shared" si="27"/>
        <v>0</v>
      </c>
      <c r="D554" s="25">
        <f t="shared" si="30"/>
        <v>36.693179265870199</v>
      </c>
      <c r="E554" s="26">
        <f t="shared" si="30"/>
        <v>12.746891366489534</v>
      </c>
      <c r="F554" s="26">
        <f t="shared" si="29"/>
        <v>10.74020434</v>
      </c>
      <c r="J554" s="20" t="s">
        <v>15</v>
      </c>
      <c r="K554" s="11">
        <v>2044</v>
      </c>
      <c r="L554" s="15"/>
      <c r="M554" s="15"/>
      <c r="N554" s="16"/>
      <c r="O554" s="21">
        <v>10.74020434</v>
      </c>
      <c r="R554" s="22" t="s">
        <v>15</v>
      </c>
      <c r="S554">
        <v>2044</v>
      </c>
      <c r="W554" s="23"/>
    </row>
    <row r="555" spans="1:23" x14ac:dyDescent="0.2">
      <c r="A555" s="12" t="s">
        <v>15</v>
      </c>
      <c r="B555" s="24">
        <v>2045</v>
      </c>
      <c r="C555" s="25">
        <f t="shared" si="27"/>
        <v>0</v>
      </c>
      <c r="D555" s="25">
        <f t="shared" si="30"/>
        <v>36.693179265870199</v>
      </c>
      <c r="E555" s="26">
        <f t="shared" si="30"/>
        <v>12.991837363913037</v>
      </c>
      <c r="F555" s="26">
        <f t="shared" si="29"/>
        <v>10.74020434</v>
      </c>
      <c r="J555" s="20" t="s">
        <v>15</v>
      </c>
      <c r="K555" s="11">
        <v>2045</v>
      </c>
      <c r="L555" s="15"/>
      <c r="M555" s="15"/>
      <c r="N555" s="16"/>
      <c r="O555" s="21">
        <v>10.74020434</v>
      </c>
      <c r="R555" s="22" t="s">
        <v>15</v>
      </c>
      <c r="S555">
        <v>2045</v>
      </c>
      <c r="W555" s="23"/>
    </row>
    <row r="556" spans="1:23" x14ac:dyDescent="0.2">
      <c r="A556" s="12" t="s">
        <v>15</v>
      </c>
      <c r="B556" s="24">
        <v>2046</v>
      </c>
      <c r="C556" s="25">
        <f t="shared" si="27"/>
        <v>0</v>
      </c>
      <c r="D556" s="25">
        <f t="shared" si="30"/>
        <v>36.693179265870199</v>
      </c>
      <c r="E556" s="26">
        <f t="shared" si="30"/>
        <v>13.262277537489005</v>
      </c>
      <c r="F556" s="26">
        <f t="shared" si="29"/>
        <v>10.74020434</v>
      </c>
      <c r="J556" s="20" t="s">
        <v>15</v>
      </c>
      <c r="K556" s="11">
        <v>2046</v>
      </c>
      <c r="L556" s="15"/>
      <c r="M556" s="15"/>
      <c r="N556" s="16"/>
      <c r="O556" s="21">
        <v>10.74020434</v>
      </c>
      <c r="R556" s="22" t="s">
        <v>15</v>
      </c>
      <c r="S556">
        <v>2046</v>
      </c>
      <c r="W556" s="23"/>
    </row>
    <row r="557" spans="1:23" x14ac:dyDescent="0.2">
      <c r="A557" s="12" t="s">
        <v>15</v>
      </c>
      <c r="B557" s="24">
        <v>2047</v>
      </c>
      <c r="C557" s="25">
        <f t="shared" si="27"/>
        <v>0</v>
      </c>
      <c r="D557" s="25">
        <f t="shared" si="30"/>
        <v>36.693179265870199</v>
      </c>
      <c r="E557" s="26">
        <f t="shared" si="30"/>
        <v>13.532717711064974</v>
      </c>
      <c r="F557" s="26">
        <f t="shared" si="29"/>
        <v>10.74020434</v>
      </c>
      <c r="J557" s="20" t="s">
        <v>15</v>
      </c>
      <c r="K557" s="11">
        <v>2047</v>
      </c>
      <c r="L557" s="15"/>
      <c r="M557" s="15"/>
      <c r="N557" s="16"/>
      <c r="O557" s="21">
        <v>10.74020434</v>
      </c>
      <c r="R557" s="22" t="s">
        <v>15</v>
      </c>
      <c r="S557">
        <v>2047</v>
      </c>
      <c r="W557" s="23"/>
    </row>
    <row r="558" spans="1:23" x14ac:dyDescent="0.2">
      <c r="A558" s="12" t="s">
        <v>15</v>
      </c>
      <c r="B558" s="24">
        <v>2048</v>
      </c>
      <c r="C558" s="25">
        <f t="shared" si="27"/>
        <v>0</v>
      </c>
      <c r="D558" s="25">
        <f t="shared" si="30"/>
        <v>36.693179265870199</v>
      </c>
      <c r="E558" s="26">
        <f t="shared" si="30"/>
        <v>13.803157884640941</v>
      </c>
      <c r="F558" s="26">
        <f t="shared" si="29"/>
        <v>10.74020434</v>
      </c>
      <c r="J558" s="20" t="s">
        <v>15</v>
      </c>
      <c r="K558" s="11">
        <v>2048</v>
      </c>
      <c r="L558" s="15"/>
      <c r="M558" s="15"/>
      <c r="N558" s="16"/>
      <c r="O558" s="21">
        <v>10.74020434</v>
      </c>
      <c r="R558" s="22" t="s">
        <v>15</v>
      </c>
      <c r="S558">
        <v>2048</v>
      </c>
      <c r="W558" s="23"/>
    </row>
    <row r="559" spans="1:23" x14ac:dyDescent="0.2">
      <c r="A559" s="12" t="s">
        <v>15</v>
      </c>
      <c r="B559" s="24">
        <v>2049</v>
      </c>
      <c r="C559" s="25">
        <f t="shared" si="27"/>
        <v>0</v>
      </c>
      <c r="D559" s="25">
        <f t="shared" si="30"/>
        <v>36.693179265870199</v>
      </c>
      <c r="E559" s="26">
        <f t="shared" si="30"/>
        <v>14.073598058216909</v>
      </c>
      <c r="F559" s="26">
        <f t="shared" si="29"/>
        <v>10.74020434</v>
      </c>
      <c r="J559" s="20" t="s">
        <v>15</v>
      </c>
      <c r="K559" s="11">
        <v>2049</v>
      </c>
      <c r="L559" s="15"/>
      <c r="M559" s="15"/>
      <c r="N559" s="16"/>
      <c r="O559" s="21">
        <v>10.74020434</v>
      </c>
      <c r="R559" s="22" t="s">
        <v>15</v>
      </c>
      <c r="S559">
        <v>2049</v>
      </c>
      <c r="W559" s="23"/>
    </row>
    <row r="560" spans="1:23" x14ac:dyDescent="0.2">
      <c r="A560" s="12" t="s">
        <v>15</v>
      </c>
      <c r="B560" s="24">
        <v>2050</v>
      </c>
      <c r="C560" s="25">
        <f t="shared" si="27"/>
        <v>0</v>
      </c>
      <c r="D560" s="25">
        <f t="shared" ref="D560:E560" si="31">D232</f>
        <v>36.693179265870199</v>
      </c>
      <c r="E560" s="26">
        <f t="shared" si="31"/>
        <v>14.344038231792878</v>
      </c>
      <c r="F560" s="26">
        <f t="shared" si="29"/>
        <v>10.74020434</v>
      </c>
      <c r="J560" s="20" t="s">
        <v>15</v>
      </c>
      <c r="K560" s="11">
        <v>2050</v>
      </c>
      <c r="L560" s="15"/>
      <c r="M560" s="15"/>
      <c r="N560" s="16"/>
      <c r="O560" s="21">
        <v>10.74020434</v>
      </c>
      <c r="R560" s="22" t="s">
        <v>15</v>
      </c>
      <c r="S560">
        <v>2050</v>
      </c>
      <c r="W560" s="23"/>
    </row>
    <row r="561" spans="1:23" x14ac:dyDescent="0.2">
      <c r="A561" s="12" t="s">
        <v>16</v>
      </c>
      <c r="B561" s="24">
        <v>2010</v>
      </c>
      <c r="C561" s="25">
        <f t="shared" si="27"/>
        <v>0</v>
      </c>
      <c r="D561" s="25">
        <f>'O&amp;M, Heat Rates'!$D$18</f>
        <v>40.79</v>
      </c>
      <c r="E561" s="26">
        <f>'O&amp;M, Heat Rates'!$C$18</f>
        <v>4.5199999999999996</v>
      </c>
      <c r="F561" s="26">
        <f>O561</f>
        <v>10.701754385964911</v>
      </c>
      <c r="J561" s="20" t="s">
        <v>16</v>
      </c>
      <c r="K561" s="11">
        <v>2010</v>
      </c>
      <c r="L561" s="15"/>
      <c r="M561" s="11"/>
      <c r="N561" s="16"/>
      <c r="O561" s="21">
        <v>10.701754385964911</v>
      </c>
      <c r="R561" s="22" t="s">
        <v>16</v>
      </c>
      <c r="S561">
        <v>2010</v>
      </c>
      <c r="W561" s="23"/>
    </row>
    <row r="562" spans="1:23" x14ac:dyDescent="0.2">
      <c r="A562" s="12" t="s">
        <v>16</v>
      </c>
      <c r="B562" s="24">
        <v>2011</v>
      </c>
      <c r="C562" s="25">
        <f t="shared" si="27"/>
        <v>0</v>
      </c>
      <c r="D562" s="25">
        <f>'O&amp;M, Heat Rates'!$D$18</f>
        <v>40.79</v>
      </c>
      <c r="E562" s="26">
        <f>'O&amp;M, Heat Rates'!$C$18</f>
        <v>4.5199999999999996</v>
      </c>
      <c r="F562" s="26">
        <f t="shared" ref="F562:F601" si="32">O562</f>
        <v>10.495356037151701</v>
      </c>
      <c r="J562" s="20" t="s">
        <v>16</v>
      </c>
      <c r="K562" s="11">
        <v>2011</v>
      </c>
      <c r="L562" s="15"/>
      <c r="M562" s="11"/>
      <c r="N562" s="16"/>
      <c r="O562" s="21">
        <v>10.495356037151701</v>
      </c>
      <c r="R562" s="22" t="s">
        <v>16</v>
      </c>
      <c r="S562">
        <v>2011</v>
      </c>
      <c r="W562" s="23"/>
    </row>
    <row r="563" spans="1:23" x14ac:dyDescent="0.2">
      <c r="A563" s="12" t="s">
        <v>16</v>
      </c>
      <c r="B563" s="24">
        <v>2012</v>
      </c>
      <c r="C563" s="25">
        <f t="shared" ref="C563:C626" si="33">VLOOKUP(A563,$A$45:$AP$61,VLOOKUP(B563,$Z$69:$AA$109,2,FALSE),FALSE)</f>
        <v>0</v>
      </c>
      <c r="D563" s="25">
        <f>'O&amp;M, Heat Rates'!$D$18</f>
        <v>40.79</v>
      </c>
      <c r="E563" s="26">
        <f>'O&amp;M, Heat Rates'!$C$18</f>
        <v>4.5199999999999996</v>
      </c>
      <c r="F563" s="26">
        <f t="shared" si="32"/>
        <v>10.288957688338492</v>
      </c>
      <c r="J563" s="20" t="s">
        <v>16</v>
      </c>
      <c r="K563" s="11">
        <v>2012</v>
      </c>
      <c r="L563" s="15"/>
      <c r="M563" s="11"/>
      <c r="N563" s="16"/>
      <c r="O563" s="21">
        <v>10.288957688338492</v>
      </c>
      <c r="R563" s="22" t="s">
        <v>16</v>
      </c>
      <c r="S563">
        <v>2012</v>
      </c>
      <c r="W563" s="23"/>
    </row>
    <row r="564" spans="1:23" x14ac:dyDescent="0.2">
      <c r="A564" s="12" t="s">
        <v>16</v>
      </c>
      <c r="B564" s="24">
        <v>2013</v>
      </c>
      <c r="C564" s="25">
        <f t="shared" si="33"/>
        <v>0</v>
      </c>
      <c r="D564" s="25">
        <f>'O&amp;M, Heat Rates'!$D$18</f>
        <v>40.79</v>
      </c>
      <c r="E564" s="26">
        <f>'O&amp;M, Heat Rates'!$C$18</f>
        <v>4.5199999999999996</v>
      </c>
      <c r="F564" s="26">
        <f t="shared" si="32"/>
        <v>10.082559339525284</v>
      </c>
      <c r="J564" s="20" t="s">
        <v>16</v>
      </c>
      <c r="K564" s="11">
        <v>2013</v>
      </c>
      <c r="L564" s="15"/>
      <c r="M564" s="11"/>
      <c r="N564" s="16"/>
      <c r="O564" s="21">
        <v>10.082559339525284</v>
      </c>
      <c r="R564" s="22" t="s">
        <v>16</v>
      </c>
      <c r="S564">
        <v>2013</v>
      </c>
      <c r="W564" s="23"/>
    </row>
    <row r="565" spans="1:23" x14ac:dyDescent="0.2">
      <c r="A565" s="12" t="s">
        <v>16</v>
      </c>
      <c r="B565" s="24">
        <v>2014</v>
      </c>
      <c r="C565" s="25">
        <f t="shared" si="33"/>
        <v>0</v>
      </c>
      <c r="D565" s="25">
        <f>'O&amp;M, Heat Rates'!$D$18</f>
        <v>40.79</v>
      </c>
      <c r="E565" s="26">
        <f>'O&amp;M, Heat Rates'!$C$18</f>
        <v>4.5199999999999996</v>
      </c>
      <c r="F565" s="26">
        <f t="shared" si="32"/>
        <v>9.8761609907120746</v>
      </c>
      <c r="J565" s="20" t="s">
        <v>16</v>
      </c>
      <c r="K565" s="11">
        <v>2014</v>
      </c>
      <c r="L565" s="15"/>
      <c r="M565" s="11"/>
      <c r="N565" s="16"/>
      <c r="O565" s="21">
        <v>9.8761609907120746</v>
      </c>
      <c r="R565" s="22" t="s">
        <v>16</v>
      </c>
      <c r="S565">
        <v>2014</v>
      </c>
      <c r="W565" s="23"/>
    </row>
    <row r="566" spans="1:23" x14ac:dyDescent="0.2">
      <c r="A566" s="12" t="s">
        <v>16</v>
      </c>
      <c r="B566" s="24">
        <v>2015</v>
      </c>
      <c r="C566" s="25">
        <f t="shared" si="33"/>
        <v>0</v>
      </c>
      <c r="D566" s="25">
        <f>'O&amp;M, Heat Rates'!$D$18</f>
        <v>40.79</v>
      </c>
      <c r="E566" s="26">
        <f>'O&amp;M, Heat Rates'!$C$18</f>
        <v>4.5199999999999996</v>
      </c>
      <c r="F566" s="26">
        <f t="shared" si="32"/>
        <v>9.6697626418988651</v>
      </c>
      <c r="J566" s="20" t="s">
        <v>16</v>
      </c>
      <c r="K566" s="11">
        <v>2015</v>
      </c>
      <c r="L566" s="15"/>
      <c r="M566" s="11"/>
      <c r="N566" s="16"/>
      <c r="O566" s="21">
        <v>9.6697626418988651</v>
      </c>
      <c r="R566" s="22" t="s">
        <v>16</v>
      </c>
      <c r="S566">
        <v>2015</v>
      </c>
      <c r="W566" s="23"/>
    </row>
    <row r="567" spans="1:23" x14ac:dyDescent="0.2">
      <c r="A567" s="12" t="s">
        <v>16</v>
      </c>
      <c r="B567" s="24">
        <v>2016</v>
      </c>
      <c r="C567" s="25">
        <f t="shared" si="33"/>
        <v>0</v>
      </c>
      <c r="D567" s="25">
        <f>'O&amp;M, Heat Rates'!$D$18</f>
        <v>40.79</v>
      </c>
      <c r="E567" s="26">
        <f>'O&amp;M, Heat Rates'!$C$18</f>
        <v>4.5199999999999996</v>
      </c>
      <c r="F567" s="26">
        <f t="shared" si="32"/>
        <v>9.6697626418988651</v>
      </c>
      <c r="J567" s="20" t="s">
        <v>16</v>
      </c>
      <c r="K567" s="11">
        <v>2016</v>
      </c>
      <c r="L567" s="15"/>
      <c r="M567" s="11"/>
      <c r="N567" s="16"/>
      <c r="O567" s="21">
        <v>9.6697626418988651</v>
      </c>
      <c r="R567" s="22" t="s">
        <v>16</v>
      </c>
      <c r="S567">
        <v>2016</v>
      </c>
      <c r="W567" s="23"/>
    </row>
    <row r="568" spans="1:23" x14ac:dyDescent="0.2">
      <c r="A568" s="12" t="s">
        <v>16</v>
      </c>
      <c r="B568" s="24">
        <v>2017</v>
      </c>
      <c r="C568" s="25">
        <f t="shared" si="33"/>
        <v>0</v>
      </c>
      <c r="D568" s="25">
        <f>'O&amp;M, Heat Rates'!$D$18</f>
        <v>40.79</v>
      </c>
      <c r="E568" s="26">
        <f>'O&amp;M, Heat Rates'!$C$18</f>
        <v>4.5199999999999996</v>
      </c>
      <c r="F568" s="26">
        <f t="shared" si="32"/>
        <v>9.6697626418988651</v>
      </c>
      <c r="J568" s="20" t="s">
        <v>16</v>
      </c>
      <c r="K568" s="11">
        <v>2017</v>
      </c>
      <c r="L568" s="15"/>
      <c r="M568" s="11"/>
      <c r="N568" s="16"/>
      <c r="O568" s="21">
        <v>9.6697626418988651</v>
      </c>
      <c r="R568" s="22" t="s">
        <v>16</v>
      </c>
      <c r="S568">
        <v>2017</v>
      </c>
      <c r="W568" s="23"/>
    </row>
    <row r="569" spans="1:23" x14ac:dyDescent="0.2">
      <c r="A569" s="12" t="s">
        <v>16</v>
      </c>
      <c r="B569" s="24">
        <v>2018</v>
      </c>
      <c r="C569" s="25">
        <f t="shared" si="33"/>
        <v>0</v>
      </c>
      <c r="D569" s="25">
        <f>'O&amp;M, Heat Rates'!$D$18</f>
        <v>40.79</v>
      </c>
      <c r="E569" s="26">
        <f>'O&amp;M, Heat Rates'!$C$18</f>
        <v>4.5199999999999996</v>
      </c>
      <c r="F569" s="26">
        <f t="shared" si="32"/>
        <v>9.6697626418988651</v>
      </c>
      <c r="J569" s="20" t="s">
        <v>16</v>
      </c>
      <c r="K569" s="11">
        <v>2018</v>
      </c>
      <c r="L569" s="15"/>
      <c r="M569" s="11"/>
      <c r="N569" s="16"/>
      <c r="O569" s="21">
        <v>9.6697626418988651</v>
      </c>
      <c r="R569" s="22" t="s">
        <v>16</v>
      </c>
      <c r="S569">
        <v>2018</v>
      </c>
      <c r="W569" s="23"/>
    </row>
    <row r="570" spans="1:23" x14ac:dyDescent="0.2">
      <c r="A570" s="12" t="s">
        <v>16</v>
      </c>
      <c r="B570" s="24">
        <v>2019</v>
      </c>
      <c r="C570" s="25">
        <f t="shared" si="33"/>
        <v>0</v>
      </c>
      <c r="D570" s="25">
        <f>'O&amp;M, Heat Rates'!$D$18</f>
        <v>40.79</v>
      </c>
      <c r="E570" s="26">
        <f>'O&amp;M, Heat Rates'!$C$18</f>
        <v>4.5199999999999996</v>
      </c>
      <c r="F570" s="26">
        <f t="shared" si="32"/>
        <v>9.6697626418988651</v>
      </c>
      <c r="J570" s="20" t="s">
        <v>16</v>
      </c>
      <c r="K570" s="11">
        <v>2019</v>
      </c>
      <c r="L570" s="15"/>
      <c r="M570" s="11"/>
      <c r="N570" s="16"/>
      <c r="O570" s="21">
        <v>9.6697626418988651</v>
      </c>
      <c r="R570" s="22" t="s">
        <v>16</v>
      </c>
      <c r="S570">
        <v>2019</v>
      </c>
      <c r="W570" s="23"/>
    </row>
    <row r="571" spans="1:23" x14ac:dyDescent="0.2">
      <c r="A571" s="12" t="s">
        <v>16</v>
      </c>
      <c r="B571" s="24">
        <v>2020</v>
      </c>
      <c r="C571" s="25">
        <f t="shared" si="33"/>
        <v>0</v>
      </c>
      <c r="D571" s="25">
        <f>'O&amp;M, Heat Rates'!$D$18</f>
        <v>40.79</v>
      </c>
      <c r="E571" s="26">
        <f>'O&amp;M, Heat Rates'!$C$18</f>
        <v>4.5199999999999996</v>
      </c>
      <c r="F571" s="26">
        <f t="shared" si="32"/>
        <v>9.6697626418988651</v>
      </c>
      <c r="J571" s="20" t="s">
        <v>16</v>
      </c>
      <c r="K571" s="11">
        <v>2020</v>
      </c>
      <c r="L571" s="15"/>
      <c r="M571" s="11"/>
      <c r="N571" s="16"/>
      <c r="O571" s="21">
        <v>9.6697626418988651</v>
      </c>
      <c r="R571" s="22" t="s">
        <v>16</v>
      </c>
      <c r="S571">
        <v>2020</v>
      </c>
      <c r="W571" s="23"/>
    </row>
    <row r="572" spans="1:23" x14ac:dyDescent="0.2">
      <c r="A572" s="12" t="s">
        <v>16</v>
      </c>
      <c r="B572" s="24">
        <v>2021</v>
      </c>
      <c r="C572" s="25">
        <f t="shared" si="33"/>
        <v>0</v>
      </c>
      <c r="D572" s="25">
        <f>'O&amp;M, Heat Rates'!$D$18</f>
        <v>40.79</v>
      </c>
      <c r="E572" s="26">
        <f>'O&amp;M, Heat Rates'!$C$18</f>
        <v>4.5199999999999996</v>
      </c>
      <c r="F572" s="26">
        <f t="shared" si="32"/>
        <v>9.5933952528379773</v>
      </c>
      <c r="J572" s="20" t="s">
        <v>16</v>
      </c>
      <c r="K572" s="11">
        <v>2021</v>
      </c>
      <c r="L572" s="15"/>
      <c r="M572" s="11"/>
      <c r="N572" s="16"/>
      <c r="O572" s="21">
        <v>9.5933952528379773</v>
      </c>
      <c r="R572" s="22" t="s">
        <v>16</v>
      </c>
      <c r="S572">
        <v>2021</v>
      </c>
      <c r="W572" s="23"/>
    </row>
    <row r="573" spans="1:23" x14ac:dyDescent="0.2">
      <c r="A573" s="12" t="s">
        <v>16</v>
      </c>
      <c r="B573" s="24">
        <v>2022</v>
      </c>
      <c r="C573" s="25">
        <f t="shared" si="33"/>
        <v>0</v>
      </c>
      <c r="D573" s="25">
        <f>'O&amp;M, Heat Rates'!$D$18</f>
        <v>40.79</v>
      </c>
      <c r="E573" s="26">
        <f>'O&amp;M, Heat Rates'!$C$18</f>
        <v>4.5199999999999996</v>
      </c>
      <c r="F573" s="26">
        <f t="shared" si="32"/>
        <v>9.5170278637770895</v>
      </c>
      <c r="J573" s="20" t="s">
        <v>16</v>
      </c>
      <c r="K573" s="11">
        <v>2022</v>
      </c>
      <c r="L573" s="15"/>
      <c r="M573" s="11"/>
      <c r="N573" s="16"/>
      <c r="O573" s="21">
        <v>9.5170278637770895</v>
      </c>
      <c r="R573" s="22" t="s">
        <v>16</v>
      </c>
      <c r="S573">
        <v>2022</v>
      </c>
      <c r="W573" s="23"/>
    </row>
    <row r="574" spans="1:23" x14ac:dyDescent="0.2">
      <c r="A574" s="12" t="s">
        <v>16</v>
      </c>
      <c r="B574" s="24">
        <v>2023</v>
      </c>
      <c r="C574" s="25">
        <f t="shared" si="33"/>
        <v>0</v>
      </c>
      <c r="D574" s="25">
        <f>'O&amp;M, Heat Rates'!$D$18</f>
        <v>40.79</v>
      </c>
      <c r="E574" s="26">
        <f>'O&amp;M, Heat Rates'!$C$18</f>
        <v>4.5199999999999996</v>
      </c>
      <c r="F574" s="26">
        <f t="shared" si="32"/>
        <v>9.4406604747162035</v>
      </c>
      <c r="J574" s="20" t="s">
        <v>16</v>
      </c>
      <c r="K574" s="11">
        <v>2023</v>
      </c>
      <c r="L574" s="15"/>
      <c r="M574" s="11"/>
      <c r="N574" s="16"/>
      <c r="O574" s="21">
        <v>9.4406604747162035</v>
      </c>
      <c r="R574" s="22" t="s">
        <v>16</v>
      </c>
      <c r="S574">
        <v>2023</v>
      </c>
      <c r="W574" s="23"/>
    </row>
    <row r="575" spans="1:23" x14ac:dyDescent="0.2">
      <c r="A575" s="12" t="s">
        <v>16</v>
      </c>
      <c r="B575" s="24">
        <v>2024</v>
      </c>
      <c r="C575" s="25">
        <f t="shared" si="33"/>
        <v>0</v>
      </c>
      <c r="D575" s="25">
        <f>'O&amp;M, Heat Rates'!$D$18</f>
        <v>40.79</v>
      </c>
      <c r="E575" s="26">
        <f>'O&amp;M, Heat Rates'!$C$18</f>
        <v>4.5199999999999996</v>
      </c>
      <c r="F575" s="26">
        <f t="shared" si="32"/>
        <v>9.3642930856553157</v>
      </c>
      <c r="J575" s="20" t="s">
        <v>16</v>
      </c>
      <c r="K575" s="11">
        <v>2024</v>
      </c>
      <c r="L575" s="15"/>
      <c r="M575" s="11"/>
      <c r="N575" s="16"/>
      <c r="O575" s="21">
        <v>9.3642930856553157</v>
      </c>
      <c r="R575" s="22" t="s">
        <v>16</v>
      </c>
      <c r="S575">
        <v>2024</v>
      </c>
      <c r="W575" s="23"/>
    </row>
    <row r="576" spans="1:23" x14ac:dyDescent="0.2">
      <c r="A576" s="12" t="s">
        <v>16</v>
      </c>
      <c r="B576" s="24">
        <v>2025</v>
      </c>
      <c r="C576" s="25">
        <f t="shared" si="33"/>
        <v>0</v>
      </c>
      <c r="D576" s="25">
        <f>'O&amp;M, Heat Rates'!$D$18</f>
        <v>40.79</v>
      </c>
      <c r="E576" s="26">
        <f>'O&amp;M, Heat Rates'!$C$18</f>
        <v>4.5199999999999996</v>
      </c>
      <c r="F576" s="26">
        <f t="shared" si="32"/>
        <v>9.2879256965944279</v>
      </c>
      <c r="J576" s="20" t="s">
        <v>16</v>
      </c>
      <c r="K576" s="11">
        <v>2025</v>
      </c>
      <c r="L576" s="15"/>
      <c r="M576" s="11"/>
      <c r="N576" s="16"/>
      <c r="O576" s="21">
        <v>9.2879256965944279</v>
      </c>
      <c r="R576" s="22" t="s">
        <v>16</v>
      </c>
      <c r="S576">
        <v>2025</v>
      </c>
      <c r="W576" s="23"/>
    </row>
    <row r="577" spans="1:23" x14ac:dyDescent="0.2">
      <c r="A577" s="12" t="s">
        <v>16</v>
      </c>
      <c r="B577" s="24">
        <v>2026</v>
      </c>
      <c r="C577" s="25">
        <f t="shared" si="33"/>
        <v>0</v>
      </c>
      <c r="D577" s="25">
        <f>'O&amp;M, Heat Rates'!$D$18</f>
        <v>40.79</v>
      </c>
      <c r="E577" s="26">
        <f>'O&amp;M, Heat Rates'!$C$18</f>
        <v>4.5199999999999996</v>
      </c>
      <c r="F577" s="26">
        <f t="shared" si="32"/>
        <v>9.2879256965944279</v>
      </c>
      <c r="J577" s="20" t="s">
        <v>16</v>
      </c>
      <c r="K577" s="11">
        <v>2026</v>
      </c>
      <c r="L577" s="15"/>
      <c r="M577" s="11"/>
      <c r="N577" s="16"/>
      <c r="O577" s="21">
        <v>9.2879256965944279</v>
      </c>
      <c r="R577" s="22" t="s">
        <v>16</v>
      </c>
      <c r="S577">
        <v>2026</v>
      </c>
      <c r="W577" s="23"/>
    </row>
    <row r="578" spans="1:23" x14ac:dyDescent="0.2">
      <c r="A578" s="12" t="s">
        <v>16</v>
      </c>
      <c r="B578" s="24">
        <v>2027</v>
      </c>
      <c r="C578" s="25">
        <f t="shared" si="33"/>
        <v>0</v>
      </c>
      <c r="D578" s="25">
        <f>'O&amp;M, Heat Rates'!$D$18</f>
        <v>40.79</v>
      </c>
      <c r="E578" s="26">
        <f>'O&amp;M, Heat Rates'!$C$18</f>
        <v>4.5199999999999996</v>
      </c>
      <c r="F578" s="26">
        <f t="shared" si="32"/>
        <v>9.2879256965944279</v>
      </c>
      <c r="J578" s="20" t="s">
        <v>16</v>
      </c>
      <c r="K578" s="11">
        <v>2027</v>
      </c>
      <c r="L578" s="15"/>
      <c r="M578" s="11"/>
      <c r="N578" s="16"/>
      <c r="O578" s="21">
        <v>9.2879256965944279</v>
      </c>
      <c r="R578" s="22" t="s">
        <v>16</v>
      </c>
      <c r="S578">
        <v>2027</v>
      </c>
      <c r="W578" s="23"/>
    </row>
    <row r="579" spans="1:23" x14ac:dyDescent="0.2">
      <c r="A579" s="12" t="s">
        <v>16</v>
      </c>
      <c r="B579" s="24">
        <v>2028</v>
      </c>
      <c r="C579" s="25">
        <f t="shared" si="33"/>
        <v>0</v>
      </c>
      <c r="D579" s="25">
        <f>'O&amp;M, Heat Rates'!$D$18</f>
        <v>40.79</v>
      </c>
      <c r="E579" s="26">
        <f>'O&amp;M, Heat Rates'!$C$18</f>
        <v>4.5199999999999996</v>
      </c>
      <c r="F579" s="26">
        <f t="shared" si="32"/>
        <v>9.2879256965944279</v>
      </c>
      <c r="J579" s="20" t="s">
        <v>16</v>
      </c>
      <c r="K579" s="11">
        <v>2028</v>
      </c>
      <c r="L579" s="15"/>
      <c r="M579" s="11"/>
      <c r="N579" s="16"/>
      <c r="O579" s="21">
        <v>9.2879256965944279</v>
      </c>
      <c r="R579" s="22" t="s">
        <v>16</v>
      </c>
      <c r="S579">
        <v>2028</v>
      </c>
      <c r="W579" s="23"/>
    </row>
    <row r="580" spans="1:23" x14ac:dyDescent="0.2">
      <c r="A580" s="12" t="s">
        <v>16</v>
      </c>
      <c r="B580" s="24">
        <v>2029</v>
      </c>
      <c r="C580" s="25">
        <f t="shared" si="33"/>
        <v>0</v>
      </c>
      <c r="D580" s="25">
        <f>'O&amp;M, Heat Rates'!$D$18</f>
        <v>40.79</v>
      </c>
      <c r="E580" s="26">
        <f>'O&amp;M, Heat Rates'!$C$18</f>
        <v>4.5199999999999996</v>
      </c>
      <c r="F580" s="26">
        <f t="shared" si="32"/>
        <v>9.2879256965944279</v>
      </c>
      <c r="J580" s="20" t="s">
        <v>16</v>
      </c>
      <c r="K580" s="11">
        <v>2029</v>
      </c>
      <c r="L580" s="15"/>
      <c r="M580" s="11"/>
      <c r="N580" s="16"/>
      <c r="O580" s="21">
        <v>9.2879256965944279</v>
      </c>
      <c r="R580" s="22" t="s">
        <v>16</v>
      </c>
      <c r="S580">
        <v>2029</v>
      </c>
      <c r="W580" s="23"/>
    </row>
    <row r="581" spans="1:23" x14ac:dyDescent="0.2">
      <c r="A581" s="12" t="s">
        <v>16</v>
      </c>
      <c r="B581" s="24">
        <v>2030</v>
      </c>
      <c r="C581" s="25">
        <f t="shared" si="33"/>
        <v>0</v>
      </c>
      <c r="D581" s="25">
        <f>'O&amp;M, Heat Rates'!$D$18</f>
        <v>40.79</v>
      </c>
      <c r="E581" s="26">
        <f>'O&amp;M, Heat Rates'!$C$18</f>
        <v>4.5199999999999996</v>
      </c>
      <c r="F581" s="26">
        <f t="shared" si="32"/>
        <v>9.2879256965944279</v>
      </c>
      <c r="J581" s="20" t="s">
        <v>16</v>
      </c>
      <c r="K581" s="11">
        <v>2030</v>
      </c>
      <c r="L581" s="15"/>
      <c r="M581" s="11"/>
      <c r="N581" s="16"/>
      <c r="O581" s="21">
        <v>9.2879256965944279</v>
      </c>
      <c r="R581" s="22" t="s">
        <v>16</v>
      </c>
      <c r="S581">
        <v>2030</v>
      </c>
      <c r="W581" s="23"/>
    </row>
    <row r="582" spans="1:23" x14ac:dyDescent="0.2">
      <c r="A582" s="12" t="s">
        <v>16</v>
      </c>
      <c r="B582" s="24">
        <v>2031</v>
      </c>
      <c r="C582" s="25">
        <f t="shared" si="33"/>
        <v>0</v>
      </c>
      <c r="D582" s="25">
        <f>'O&amp;M, Heat Rates'!$D$18</f>
        <v>40.79</v>
      </c>
      <c r="E582" s="26">
        <f>'O&amp;M, Heat Rates'!$C$18</f>
        <v>4.5199999999999996</v>
      </c>
      <c r="F582" s="26">
        <f t="shared" si="32"/>
        <v>9.2879256965944279</v>
      </c>
      <c r="J582" s="20" t="s">
        <v>16</v>
      </c>
      <c r="K582" s="11">
        <v>2031</v>
      </c>
      <c r="L582" s="15"/>
      <c r="M582" s="11"/>
      <c r="N582" s="16"/>
      <c r="O582" s="21">
        <v>9.2879256965944279</v>
      </c>
      <c r="R582" s="22" t="s">
        <v>16</v>
      </c>
      <c r="S582">
        <v>2031</v>
      </c>
      <c r="W582" s="23"/>
    </row>
    <row r="583" spans="1:23" x14ac:dyDescent="0.2">
      <c r="A583" s="12" t="s">
        <v>16</v>
      </c>
      <c r="B583" s="24">
        <v>2032</v>
      </c>
      <c r="C583" s="25">
        <f t="shared" si="33"/>
        <v>0</v>
      </c>
      <c r="D583" s="25">
        <f>'O&amp;M, Heat Rates'!$D$18</f>
        <v>40.79</v>
      </c>
      <c r="E583" s="26">
        <f>'O&amp;M, Heat Rates'!$C$18</f>
        <v>4.5199999999999996</v>
      </c>
      <c r="F583" s="26">
        <f t="shared" si="32"/>
        <v>9.2879256965944279</v>
      </c>
      <c r="J583" s="20" t="s">
        <v>16</v>
      </c>
      <c r="K583" s="11">
        <v>2032</v>
      </c>
      <c r="L583" s="15"/>
      <c r="M583" s="11"/>
      <c r="N583" s="16"/>
      <c r="O583" s="21">
        <v>9.2879256965944279</v>
      </c>
      <c r="R583" s="22" t="s">
        <v>16</v>
      </c>
      <c r="S583">
        <v>2032</v>
      </c>
      <c r="W583" s="23"/>
    </row>
    <row r="584" spans="1:23" x14ac:dyDescent="0.2">
      <c r="A584" s="12" t="s">
        <v>16</v>
      </c>
      <c r="B584" s="24">
        <v>2033</v>
      </c>
      <c r="C584" s="25">
        <f t="shared" si="33"/>
        <v>0</v>
      </c>
      <c r="D584" s="25">
        <f>'O&amp;M, Heat Rates'!$D$18</f>
        <v>40.79</v>
      </c>
      <c r="E584" s="26">
        <f>'O&amp;M, Heat Rates'!$C$18</f>
        <v>4.5199999999999996</v>
      </c>
      <c r="F584" s="26">
        <f t="shared" si="32"/>
        <v>9.2879256965944279</v>
      </c>
      <c r="J584" s="20" t="s">
        <v>16</v>
      </c>
      <c r="K584" s="11">
        <v>2033</v>
      </c>
      <c r="L584" s="15"/>
      <c r="M584" s="11"/>
      <c r="N584" s="16"/>
      <c r="O584" s="21">
        <v>9.2879256965944279</v>
      </c>
      <c r="R584" s="22" t="s">
        <v>16</v>
      </c>
      <c r="S584">
        <v>2033</v>
      </c>
      <c r="W584" s="23"/>
    </row>
    <row r="585" spans="1:23" x14ac:dyDescent="0.2">
      <c r="A585" s="12" t="s">
        <v>16</v>
      </c>
      <c r="B585" s="24">
        <v>2034</v>
      </c>
      <c r="C585" s="25">
        <f t="shared" si="33"/>
        <v>0</v>
      </c>
      <c r="D585" s="25">
        <f>'O&amp;M, Heat Rates'!$D$18</f>
        <v>40.79</v>
      </c>
      <c r="E585" s="26">
        <f>'O&amp;M, Heat Rates'!$C$18</f>
        <v>4.5199999999999996</v>
      </c>
      <c r="F585" s="26">
        <f t="shared" si="32"/>
        <v>9.2879256965944279</v>
      </c>
      <c r="J585" s="20" t="s">
        <v>16</v>
      </c>
      <c r="K585" s="11">
        <v>2034</v>
      </c>
      <c r="L585" s="15"/>
      <c r="M585" s="11"/>
      <c r="N585" s="16"/>
      <c r="O585" s="21">
        <v>9.2879256965944279</v>
      </c>
      <c r="R585" s="22" t="s">
        <v>16</v>
      </c>
      <c r="S585">
        <v>2034</v>
      </c>
      <c r="W585" s="23"/>
    </row>
    <row r="586" spans="1:23" x14ac:dyDescent="0.2">
      <c r="A586" s="12" t="s">
        <v>16</v>
      </c>
      <c r="B586" s="24">
        <v>2035</v>
      </c>
      <c r="C586" s="25">
        <f t="shared" si="33"/>
        <v>0</v>
      </c>
      <c r="D586" s="25">
        <f>'O&amp;M, Heat Rates'!$D$18</f>
        <v>40.79</v>
      </c>
      <c r="E586" s="26">
        <f>'O&amp;M, Heat Rates'!$C$18</f>
        <v>4.5199999999999996</v>
      </c>
      <c r="F586" s="26">
        <f t="shared" si="32"/>
        <v>9.2879256965944279</v>
      </c>
      <c r="J586" s="20" t="s">
        <v>16</v>
      </c>
      <c r="K586" s="11">
        <v>2035</v>
      </c>
      <c r="L586" s="15"/>
      <c r="M586" s="11"/>
      <c r="N586" s="16"/>
      <c r="O586" s="21">
        <v>9.2879256965944279</v>
      </c>
      <c r="R586" s="22" t="s">
        <v>16</v>
      </c>
      <c r="S586">
        <v>2035</v>
      </c>
      <c r="W586" s="23"/>
    </row>
    <row r="587" spans="1:23" x14ac:dyDescent="0.2">
      <c r="A587" s="12" t="s">
        <v>16</v>
      </c>
      <c r="B587" s="24">
        <v>2036</v>
      </c>
      <c r="C587" s="25">
        <f t="shared" si="33"/>
        <v>0</v>
      </c>
      <c r="D587" s="25">
        <f>'O&amp;M, Heat Rates'!$D$18</f>
        <v>40.79</v>
      </c>
      <c r="E587" s="26">
        <f>'O&amp;M, Heat Rates'!$C$18</f>
        <v>4.5199999999999996</v>
      </c>
      <c r="F587" s="26">
        <f t="shared" si="32"/>
        <v>9.2879256965944279</v>
      </c>
      <c r="J587" s="20" t="s">
        <v>16</v>
      </c>
      <c r="K587" s="11">
        <v>2036</v>
      </c>
      <c r="L587" s="15"/>
      <c r="M587" s="11"/>
      <c r="N587" s="16"/>
      <c r="O587" s="21">
        <v>9.2879256965944279</v>
      </c>
      <c r="R587" s="22" t="s">
        <v>16</v>
      </c>
      <c r="S587">
        <v>2036</v>
      </c>
      <c r="W587" s="23"/>
    </row>
    <row r="588" spans="1:23" x14ac:dyDescent="0.2">
      <c r="A588" s="12" t="s">
        <v>16</v>
      </c>
      <c r="B588" s="24">
        <v>2037</v>
      </c>
      <c r="C588" s="25">
        <f t="shared" si="33"/>
        <v>0</v>
      </c>
      <c r="D588" s="25">
        <f>'O&amp;M, Heat Rates'!$D$18</f>
        <v>40.79</v>
      </c>
      <c r="E588" s="26">
        <f>'O&amp;M, Heat Rates'!$C$18</f>
        <v>4.5199999999999996</v>
      </c>
      <c r="F588" s="26">
        <f t="shared" si="32"/>
        <v>9.2879256965944279</v>
      </c>
      <c r="J588" s="20" t="s">
        <v>16</v>
      </c>
      <c r="K588" s="11">
        <v>2037</v>
      </c>
      <c r="L588" s="15"/>
      <c r="M588" s="11"/>
      <c r="N588" s="16"/>
      <c r="O588" s="21">
        <v>9.2879256965944279</v>
      </c>
      <c r="R588" s="22" t="s">
        <v>16</v>
      </c>
      <c r="S588">
        <v>2037</v>
      </c>
      <c r="W588" s="23"/>
    </row>
    <row r="589" spans="1:23" x14ac:dyDescent="0.2">
      <c r="A589" s="12" t="s">
        <v>16</v>
      </c>
      <c r="B589" s="24">
        <v>2038</v>
      </c>
      <c r="C589" s="25">
        <f t="shared" si="33"/>
        <v>0</v>
      </c>
      <c r="D589" s="25">
        <f>'O&amp;M, Heat Rates'!$D$18</f>
        <v>40.79</v>
      </c>
      <c r="E589" s="26">
        <f>'O&amp;M, Heat Rates'!$C$18</f>
        <v>4.5199999999999996</v>
      </c>
      <c r="F589" s="26">
        <f t="shared" si="32"/>
        <v>9.2879256965944279</v>
      </c>
      <c r="J589" s="20" t="s">
        <v>16</v>
      </c>
      <c r="K589" s="11">
        <v>2038</v>
      </c>
      <c r="L589" s="15"/>
      <c r="M589" s="11"/>
      <c r="N589" s="16"/>
      <c r="O589" s="21">
        <v>9.2879256965944279</v>
      </c>
      <c r="R589" s="22" t="s">
        <v>16</v>
      </c>
      <c r="S589">
        <v>2038</v>
      </c>
      <c r="W589" s="23"/>
    </row>
    <row r="590" spans="1:23" x14ac:dyDescent="0.2">
      <c r="A590" s="12" t="s">
        <v>16</v>
      </c>
      <c r="B590" s="24">
        <v>2039</v>
      </c>
      <c r="C590" s="25">
        <f t="shared" si="33"/>
        <v>0</v>
      </c>
      <c r="D590" s="25">
        <f>'O&amp;M, Heat Rates'!$D$18</f>
        <v>40.79</v>
      </c>
      <c r="E590" s="26">
        <f>'O&amp;M, Heat Rates'!$C$18</f>
        <v>4.5199999999999996</v>
      </c>
      <c r="F590" s="26">
        <f t="shared" si="32"/>
        <v>9.2879256965944279</v>
      </c>
      <c r="J590" s="20" t="s">
        <v>16</v>
      </c>
      <c r="K590" s="11">
        <v>2039</v>
      </c>
      <c r="L590" s="15"/>
      <c r="M590" s="11"/>
      <c r="N590" s="16"/>
      <c r="O590" s="21">
        <v>9.2879256965944279</v>
      </c>
      <c r="R590" s="22" t="s">
        <v>16</v>
      </c>
      <c r="S590">
        <v>2039</v>
      </c>
      <c r="W590" s="23"/>
    </row>
    <row r="591" spans="1:23" x14ac:dyDescent="0.2">
      <c r="A591" s="12" t="s">
        <v>16</v>
      </c>
      <c r="B591" s="24">
        <v>2040</v>
      </c>
      <c r="C591" s="25">
        <f t="shared" si="33"/>
        <v>0</v>
      </c>
      <c r="D591" s="25">
        <f>'O&amp;M, Heat Rates'!$D$18</f>
        <v>40.79</v>
      </c>
      <c r="E591" s="26">
        <f>'O&amp;M, Heat Rates'!$C$18</f>
        <v>4.5199999999999996</v>
      </c>
      <c r="F591" s="26">
        <f t="shared" si="32"/>
        <v>9.2879256965944279</v>
      </c>
      <c r="J591" s="20" t="s">
        <v>16</v>
      </c>
      <c r="K591" s="11">
        <v>2040</v>
      </c>
      <c r="L591" s="15"/>
      <c r="M591" s="11"/>
      <c r="N591" s="16"/>
      <c r="O591" s="21">
        <v>9.2879256965944279</v>
      </c>
      <c r="R591" s="22" t="s">
        <v>16</v>
      </c>
      <c r="S591">
        <v>2040</v>
      </c>
      <c r="W591" s="23"/>
    </row>
    <row r="592" spans="1:23" x14ac:dyDescent="0.2">
      <c r="A592" s="12" t="s">
        <v>16</v>
      </c>
      <c r="B592" s="24">
        <v>2041</v>
      </c>
      <c r="C592" s="25">
        <f t="shared" si="33"/>
        <v>0</v>
      </c>
      <c r="D592" s="25">
        <f>'O&amp;M, Heat Rates'!$D$18</f>
        <v>40.79</v>
      </c>
      <c r="E592" s="26">
        <f>'O&amp;M, Heat Rates'!$C$18</f>
        <v>4.5199999999999996</v>
      </c>
      <c r="F592" s="26">
        <f t="shared" si="32"/>
        <v>9.2879256965944279</v>
      </c>
      <c r="J592" s="20" t="s">
        <v>16</v>
      </c>
      <c r="K592" s="11">
        <v>2041</v>
      </c>
      <c r="L592" s="15"/>
      <c r="M592" s="11"/>
      <c r="N592" s="16"/>
      <c r="O592" s="21">
        <v>9.2879256965944279</v>
      </c>
      <c r="R592" s="22" t="s">
        <v>16</v>
      </c>
      <c r="S592">
        <v>2041</v>
      </c>
      <c r="W592" s="23"/>
    </row>
    <row r="593" spans="1:23" x14ac:dyDescent="0.2">
      <c r="A593" s="12" t="s">
        <v>16</v>
      </c>
      <c r="B593" s="24">
        <v>2042</v>
      </c>
      <c r="C593" s="25">
        <f t="shared" si="33"/>
        <v>0</v>
      </c>
      <c r="D593" s="25">
        <f>'O&amp;M, Heat Rates'!$D$18</f>
        <v>40.79</v>
      </c>
      <c r="E593" s="26">
        <f>'O&amp;M, Heat Rates'!$C$18</f>
        <v>4.5199999999999996</v>
      </c>
      <c r="F593" s="26">
        <f t="shared" si="32"/>
        <v>9.2879256965944279</v>
      </c>
      <c r="J593" s="20" t="s">
        <v>16</v>
      </c>
      <c r="K593" s="11">
        <v>2042</v>
      </c>
      <c r="L593" s="15"/>
      <c r="M593" s="11"/>
      <c r="N593" s="16"/>
      <c r="O593" s="21">
        <v>9.2879256965944279</v>
      </c>
      <c r="R593" s="22" t="s">
        <v>16</v>
      </c>
      <c r="S593">
        <v>2042</v>
      </c>
      <c r="W593" s="23"/>
    </row>
    <row r="594" spans="1:23" x14ac:dyDescent="0.2">
      <c r="A594" s="12" t="s">
        <v>16</v>
      </c>
      <c r="B594" s="24">
        <v>2043</v>
      </c>
      <c r="C594" s="25">
        <f t="shared" si="33"/>
        <v>0</v>
      </c>
      <c r="D594" s="25">
        <f>'O&amp;M, Heat Rates'!$D$18</f>
        <v>40.79</v>
      </c>
      <c r="E594" s="26">
        <f>'O&amp;M, Heat Rates'!$C$18</f>
        <v>4.5199999999999996</v>
      </c>
      <c r="F594" s="26">
        <f t="shared" si="32"/>
        <v>9.2879256965944279</v>
      </c>
      <c r="J594" s="20" t="s">
        <v>16</v>
      </c>
      <c r="K594" s="11">
        <v>2043</v>
      </c>
      <c r="L594" s="15"/>
      <c r="M594" s="11"/>
      <c r="N594" s="16"/>
      <c r="O594" s="21">
        <v>9.2879256965944279</v>
      </c>
      <c r="R594" s="22" t="s">
        <v>16</v>
      </c>
      <c r="S594">
        <v>2043</v>
      </c>
      <c r="W594" s="23"/>
    </row>
    <row r="595" spans="1:23" x14ac:dyDescent="0.2">
      <c r="A595" s="12" t="s">
        <v>16</v>
      </c>
      <c r="B595" s="24">
        <v>2044</v>
      </c>
      <c r="C595" s="25">
        <f t="shared" si="33"/>
        <v>0</v>
      </c>
      <c r="D595" s="25">
        <f>'O&amp;M, Heat Rates'!$D$18</f>
        <v>40.79</v>
      </c>
      <c r="E595" s="26">
        <f>'O&amp;M, Heat Rates'!$C$18</f>
        <v>4.5199999999999996</v>
      </c>
      <c r="F595" s="26">
        <f t="shared" si="32"/>
        <v>9.2879256965944279</v>
      </c>
      <c r="J595" s="20" t="s">
        <v>16</v>
      </c>
      <c r="K595" s="11">
        <v>2044</v>
      </c>
      <c r="L595" s="15"/>
      <c r="M595" s="11"/>
      <c r="N595" s="16"/>
      <c r="O595" s="21">
        <v>9.2879256965944279</v>
      </c>
      <c r="R595" s="22" t="s">
        <v>16</v>
      </c>
      <c r="S595">
        <v>2044</v>
      </c>
      <c r="W595" s="23"/>
    </row>
    <row r="596" spans="1:23" x14ac:dyDescent="0.2">
      <c r="A596" s="12" t="s">
        <v>16</v>
      </c>
      <c r="B596" s="24">
        <v>2045</v>
      </c>
      <c r="C596" s="25">
        <f t="shared" si="33"/>
        <v>0</v>
      </c>
      <c r="D596" s="25">
        <f>'O&amp;M, Heat Rates'!$D$18</f>
        <v>40.79</v>
      </c>
      <c r="E596" s="26">
        <f>'O&amp;M, Heat Rates'!$C$18</f>
        <v>4.5199999999999996</v>
      </c>
      <c r="F596" s="26">
        <f t="shared" si="32"/>
        <v>9.2879256965944279</v>
      </c>
      <c r="J596" s="20" t="s">
        <v>16</v>
      </c>
      <c r="K596" s="11">
        <v>2045</v>
      </c>
      <c r="L596" s="15"/>
      <c r="M596" s="11"/>
      <c r="N596" s="16"/>
      <c r="O596" s="21">
        <v>9.2879256965944279</v>
      </c>
      <c r="R596" s="22" t="s">
        <v>16</v>
      </c>
      <c r="S596">
        <v>2045</v>
      </c>
      <c r="W596" s="23"/>
    </row>
    <row r="597" spans="1:23" x14ac:dyDescent="0.2">
      <c r="A597" s="12" t="s">
        <v>16</v>
      </c>
      <c r="B597" s="24">
        <v>2046</v>
      </c>
      <c r="C597" s="25">
        <f t="shared" si="33"/>
        <v>0</v>
      </c>
      <c r="D597" s="25">
        <f>'O&amp;M, Heat Rates'!$D$18</f>
        <v>40.79</v>
      </c>
      <c r="E597" s="26">
        <f>'O&amp;M, Heat Rates'!$C$18</f>
        <v>4.5199999999999996</v>
      </c>
      <c r="F597" s="26">
        <f t="shared" si="32"/>
        <v>9.2879256965944279</v>
      </c>
      <c r="J597" s="20" t="s">
        <v>16</v>
      </c>
      <c r="K597" s="11">
        <v>2046</v>
      </c>
      <c r="L597" s="15"/>
      <c r="M597" s="11"/>
      <c r="N597" s="16"/>
      <c r="O597" s="21">
        <v>9.2879256965944279</v>
      </c>
      <c r="R597" s="22" t="s">
        <v>16</v>
      </c>
      <c r="S597">
        <v>2046</v>
      </c>
      <c r="W597" s="23"/>
    </row>
    <row r="598" spans="1:23" x14ac:dyDescent="0.2">
      <c r="A598" s="12" t="s">
        <v>16</v>
      </c>
      <c r="B598" s="24">
        <v>2047</v>
      </c>
      <c r="C598" s="25">
        <f t="shared" si="33"/>
        <v>0</v>
      </c>
      <c r="D598" s="25">
        <f>'O&amp;M, Heat Rates'!$D$18</f>
        <v>40.79</v>
      </c>
      <c r="E598" s="26">
        <f>'O&amp;M, Heat Rates'!$C$18</f>
        <v>4.5199999999999996</v>
      </c>
      <c r="F598" s="26">
        <f t="shared" si="32"/>
        <v>9.2879256965944279</v>
      </c>
      <c r="J598" s="20" t="s">
        <v>16</v>
      </c>
      <c r="K598" s="11">
        <v>2047</v>
      </c>
      <c r="L598" s="15"/>
      <c r="M598" s="11"/>
      <c r="N598" s="16"/>
      <c r="O598" s="21">
        <v>9.2879256965944279</v>
      </c>
      <c r="R598" s="22" t="s">
        <v>16</v>
      </c>
      <c r="S598">
        <v>2047</v>
      </c>
      <c r="W598" s="23"/>
    </row>
    <row r="599" spans="1:23" x14ac:dyDescent="0.2">
      <c r="A599" s="12" t="s">
        <v>16</v>
      </c>
      <c r="B599" s="24">
        <v>2048</v>
      </c>
      <c r="C599" s="25">
        <f t="shared" si="33"/>
        <v>0</v>
      </c>
      <c r="D599" s="25">
        <f>'O&amp;M, Heat Rates'!$D$18</f>
        <v>40.79</v>
      </c>
      <c r="E599" s="26">
        <f>'O&amp;M, Heat Rates'!$C$18</f>
        <v>4.5199999999999996</v>
      </c>
      <c r="F599" s="26">
        <f t="shared" si="32"/>
        <v>9.2879256965944279</v>
      </c>
      <c r="J599" s="20" t="s">
        <v>16</v>
      </c>
      <c r="K599" s="11">
        <v>2048</v>
      </c>
      <c r="L599" s="15"/>
      <c r="M599" s="11"/>
      <c r="N599" s="16"/>
      <c r="O599" s="21">
        <v>9.2879256965944279</v>
      </c>
      <c r="R599" s="22" t="s">
        <v>16</v>
      </c>
      <c r="S599">
        <v>2048</v>
      </c>
      <c r="W599" s="23"/>
    </row>
    <row r="600" spans="1:23" x14ac:dyDescent="0.2">
      <c r="A600" s="12" t="s">
        <v>16</v>
      </c>
      <c r="B600" s="24">
        <v>2049</v>
      </c>
      <c r="C600" s="25">
        <f t="shared" si="33"/>
        <v>0</v>
      </c>
      <c r="D600" s="25">
        <f>'O&amp;M, Heat Rates'!$D$18</f>
        <v>40.79</v>
      </c>
      <c r="E600" s="26">
        <f>'O&amp;M, Heat Rates'!$C$18</f>
        <v>4.5199999999999996</v>
      </c>
      <c r="F600" s="26">
        <f t="shared" si="32"/>
        <v>9.2879256965944279</v>
      </c>
      <c r="J600" s="20" t="s">
        <v>16</v>
      </c>
      <c r="K600" s="11">
        <v>2049</v>
      </c>
      <c r="L600" s="15"/>
      <c r="M600" s="11"/>
      <c r="N600" s="16"/>
      <c r="O600" s="21">
        <v>9.2879256965944279</v>
      </c>
      <c r="R600" s="22" t="s">
        <v>16</v>
      </c>
      <c r="S600">
        <v>2049</v>
      </c>
      <c r="W600" s="23"/>
    </row>
    <row r="601" spans="1:23" x14ac:dyDescent="0.2">
      <c r="A601" s="12" t="s">
        <v>16</v>
      </c>
      <c r="B601" s="24">
        <v>2050</v>
      </c>
      <c r="C601" s="25">
        <f t="shared" si="33"/>
        <v>0</v>
      </c>
      <c r="D601" s="25">
        <f>'O&amp;M, Heat Rates'!$D$18</f>
        <v>40.79</v>
      </c>
      <c r="E601" s="26">
        <f>'O&amp;M, Heat Rates'!$C$18</f>
        <v>4.5199999999999996</v>
      </c>
      <c r="F601" s="26">
        <f t="shared" si="32"/>
        <v>9.2879256965944279</v>
      </c>
      <c r="J601" s="20" t="s">
        <v>16</v>
      </c>
      <c r="K601" s="11">
        <v>2050</v>
      </c>
      <c r="L601" s="15"/>
      <c r="M601" s="11"/>
      <c r="N601" s="16"/>
      <c r="O601" s="21">
        <v>9.2879256965944279</v>
      </c>
      <c r="R601" s="22" t="s">
        <v>16</v>
      </c>
      <c r="S601">
        <v>2050</v>
      </c>
      <c r="W601" s="23"/>
    </row>
    <row r="602" spans="1:23" x14ac:dyDescent="0.2">
      <c r="A602" s="12" t="s">
        <v>17</v>
      </c>
      <c r="B602" s="24">
        <v>2010</v>
      </c>
      <c r="C602" s="25">
        <f t="shared" si="33"/>
        <v>0</v>
      </c>
      <c r="D602" s="25">
        <f>'O&amp;M, Heat Rates'!$D$19</f>
        <v>20.2</v>
      </c>
      <c r="E602" s="26">
        <f>'O&amp;M, Heat Rates'!$C$19</f>
        <v>6.23</v>
      </c>
      <c r="F602" s="26">
        <f>'O&amp;M, Heat Rates'!$E$19/1000</f>
        <v>8.5129999999999999</v>
      </c>
      <c r="J602" s="20" t="s">
        <v>17</v>
      </c>
      <c r="K602" s="11">
        <v>2010</v>
      </c>
      <c r="L602" s="15"/>
      <c r="M602" s="11"/>
      <c r="N602" s="16"/>
      <c r="O602" s="21"/>
      <c r="R602" s="22" t="s">
        <v>17</v>
      </c>
      <c r="S602">
        <v>2010</v>
      </c>
      <c r="W602" s="23"/>
    </row>
    <row r="603" spans="1:23" x14ac:dyDescent="0.2">
      <c r="A603" s="12" t="s">
        <v>17</v>
      </c>
      <c r="B603" s="24">
        <v>2011</v>
      </c>
      <c r="C603" s="25">
        <f t="shared" si="33"/>
        <v>0</v>
      </c>
      <c r="D603" s="25">
        <f>'O&amp;M, Heat Rates'!$D$19</f>
        <v>20.2</v>
      </c>
      <c r="E603" s="26">
        <f>'O&amp;M, Heat Rates'!$C$19</f>
        <v>6.23</v>
      </c>
      <c r="F603" s="26">
        <f>'O&amp;M, Heat Rates'!$E$19/1000</f>
        <v>8.5129999999999999</v>
      </c>
      <c r="J603" s="20" t="s">
        <v>17</v>
      </c>
      <c r="K603" s="11">
        <v>2011</v>
      </c>
      <c r="L603" s="15"/>
      <c r="M603" s="11"/>
      <c r="N603" s="16"/>
      <c r="O603" s="21"/>
      <c r="R603" s="22" t="s">
        <v>17</v>
      </c>
      <c r="S603">
        <v>2011</v>
      </c>
      <c r="W603" s="23"/>
    </row>
    <row r="604" spans="1:23" x14ac:dyDescent="0.2">
      <c r="A604" s="12" t="s">
        <v>17</v>
      </c>
      <c r="B604" s="24">
        <v>2012</v>
      </c>
      <c r="C604" s="25">
        <f t="shared" si="33"/>
        <v>0</v>
      </c>
      <c r="D604" s="25">
        <f>'O&amp;M, Heat Rates'!$D$19</f>
        <v>20.2</v>
      </c>
      <c r="E604" s="26">
        <f>'O&amp;M, Heat Rates'!$C$19</f>
        <v>6.23</v>
      </c>
      <c r="F604" s="26">
        <f>'O&amp;M, Heat Rates'!$E$19/1000</f>
        <v>8.5129999999999999</v>
      </c>
      <c r="J604" s="20" t="s">
        <v>17</v>
      </c>
      <c r="K604" s="11">
        <v>2012</v>
      </c>
      <c r="L604" s="15"/>
      <c r="M604" s="11"/>
      <c r="N604" s="16"/>
      <c r="O604" s="21"/>
      <c r="R604" s="22" t="s">
        <v>17</v>
      </c>
      <c r="S604">
        <v>2012</v>
      </c>
      <c r="W604" s="23"/>
    </row>
    <row r="605" spans="1:23" x14ac:dyDescent="0.2">
      <c r="A605" s="12" t="s">
        <v>17</v>
      </c>
      <c r="B605" s="24">
        <v>2013</v>
      </c>
      <c r="C605" s="25">
        <f t="shared" si="33"/>
        <v>0</v>
      </c>
      <c r="D605" s="25">
        <f>'O&amp;M, Heat Rates'!$D$19</f>
        <v>20.2</v>
      </c>
      <c r="E605" s="26">
        <f>'O&amp;M, Heat Rates'!$C$19</f>
        <v>6.23</v>
      </c>
      <c r="F605" s="26">
        <f>'O&amp;M, Heat Rates'!$E$19/1000</f>
        <v>8.5129999999999999</v>
      </c>
      <c r="J605" s="20" t="s">
        <v>17</v>
      </c>
      <c r="K605" s="11">
        <v>2013</v>
      </c>
      <c r="L605" s="15"/>
      <c r="M605" s="11"/>
      <c r="N605" s="16"/>
      <c r="O605" s="21"/>
      <c r="R605" s="22" t="s">
        <v>17</v>
      </c>
      <c r="S605">
        <v>2013</v>
      </c>
      <c r="W605" s="23"/>
    </row>
    <row r="606" spans="1:23" x14ac:dyDescent="0.2">
      <c r="A606" s="12" t="s">
        <v>17</v>
      </c>
      <c r="B606" s="24">
        <v>2014</v>
      </c>
      <c r="C606" s="25">
        <f t="shared" si="33"/>
        <v>0</v>
      </c>
      <c r="D606" s="25">
        <f>'O&amp;M, Heat Rates'!$D$19</f>
        <v>20.2</v>
      </c>
      <c r="E606" s="26">
        <f>'O&amp;M, Heat Rates'!$C$19</f>
        <v>6.23</v>
      </c>
      <c r="F606" s="26">
        <f>'O&amp;M, Heat Rates'!$E$19/1000</f>
        <v>8.5129999999999999</v>
      </c>
      <c r="J606" s="20" t="s">
        <v>17</v>
      </c>
      <c r="K606" s="11">
        <v>2014</v>
      </c>
      <c r="L606" s="15"/>
      <c r="M606" s="11"/>
      <c r="N606" s="16"/>
      <c r="O606" s="21"/>
      <c r="R606" s="22" t="s">
        <v>17</v>
      </c>
      <c r="S606">
        <v>2014</v>
      </c>
      <c r="W606" s="23"/>
    </row>
    <row r="607" spans="1:23" x14ac:dyDescent="0.2">
      <c r="A607" s="12" t="s">
        <v>17</v>
      </c>
      <c r="B607" s="24">
        <v>2015</v>
      </c>
      <c r="C607" s="25">
        <f t="shared" si="33"/>
        <v>0</v>
      </c>
      <c r="D607" s="25">
        <f>'O&amp;M, Heat Rates'!$D$19</f>
        <v>20.2</v>
      </c>
      <c r="E607" s="26">
        <f>'O&amp;M, Heat Rates'!$C$19</f>
        <v>6.23</v>
      </c>
      <c r="F607" s="26">
        <f>'O&amp;M, Heat Rates'!$E$19/1000</f>
        <v>8.5129999999999999</v>
      </c>
      <c r="J607" s="20" t="s">
        <v>17</v>
      </c>
      <c r="K607" s="11">
        <v>2015</v>
      </c>
      <c r="L607" s="15"/>
      <c r="M607" s="11"/>
      <c r="N607" s="16"/>
      <c r="O607" s="21"/>
      <c r="R607" s="22" t="s">
        <v>17</v>
      </c>
      <c r="S607">
        <v>2015</v>
      </c>
      <c r="W607" s="23"/>
    </row>
    <row r="608" spans="1:23" x14ac:dyDescent="0.2">
      <c r="A608" s="12" t="s">
        <v>17</v>
      </c>
      <c r="B608" s="24">
        <v>2016</v>
      </c>
      <c r="C608" s="25">
        <f t="shared" si="33"/>
        <v>0</v>
      </c>
      <c r="D608" s="25">
        <f>'O&amp;M, Heat Rates'!$D$19</f>
        <v>20.2</v>
      </c>
      <c r="E608" s="26">
        <f>'O&amp;M, Heat Rates'!$C$19</f>
        <v>6.23</v>
      </c>
      <c r="F608" s="26">
        <f>'O&amp;M, Heat Rates'!$E$19/1000</f>
        <v>8.5129999999999999</v>
      </c>
      <c r="J608" s="20" t="s">
        <v>17</v>
      </c>
      <c r="K608" s="11">
        <v>2016</v>
      </c>
      <c r="L608" s="15"/>
      <c r="M608" s="11"/>
      <c r="N608" s="16"/>
      <c r="O608" s="21"/>
      <c r="R608" s="22" t="s">
        <v>17</v>
      </c>
      <c r="S608">
        <v>2016</v>
      </c>
      <c r="W608" s="23"/>
    </row>
    <row r="609" spans="1:23" x14ac:dyDescent="0.2">
      <c r="A609" s="12" t="s">
        <v>17</v>
      </c>
      <c r="B609" s="24">
        <v>2017</v>
      </c>
      <c r="C609" s="25">
        <f t="shared" si="33"/>
        <v>0</v>
      </c>
      <c r="D609" s="25">
        <f>'O&amp;M, Heat Rates'!$D$19</f>
        <v>20.2</v>
      </c>
      <c r="E609" s="26">
        <f>'O&amp;M, Heat Rates'!$C$19</f>
        <v>6.23</v>
      </c>
      <c r="F609" s="26">
        <f>'O&amp;M, Heat Rates'!$E$19/1000</f>
        <v>8.5129999999999999</v>
      </c>
      <c r="J609" s="20" t="s">
        <v>17</v>
      </c>
      <c r="K609" s="11">
        <v>2017</v>
      </c>
      <c r="L609" s="15"/>
      <c r="M609" s="11"/>
      <c r="N609" s="16"/>
      <c r="O609" s="21"/>
      <c r="R609" s="22" t="s">
        <v>17</v>
      </c>
      <c r="S609">
        <v>2017</v>
      </c>
      <c r="W609" s="23"/>
    </row>
    <row r="610" spans="1:23" x14ac:dyDescent="0.2">
      <c r="A610" s="12" t="s">
        <v>17</v>
      </c>
      <c r="B610" s="24">
        <v>2018</v>
      </c>
      <c r="C610" s="25">
        <f t="shared" si="33"/>
        <v>0</v>
      </c>
      <c r="D610" s="25">
        <f>'O&amp;M, Heat Rates'!$D$19</f>
        <v>20.2</v>
      </c>
      <c r="E610" s="26">
        <f>'O&amp;M, Heat Rates'!$C$19</f>
        <v>6.23</v>
      </c>
      <c r="F610" s="26">
        <f>'O&amp;M, Heat Rates'!$E$19/1000</f>
        <v>8.5129999999999999</v>
      </c>
      <c r="J610" s="20" t="s">
        <v>17</v>
      </c>
      <c r="K610" s="11">
        <v>2018</v>
      </c>
      <c r="L610" s="15"/>
      <c r="M610" s="11"/>
      <c r="N610" s="16"/>
      <c r="O610" s="21"/>
      <c r="R610" s="22" t="s">
        <v>17</v>
      </c>
      <c r="S610">
        <v>2018</v>
      </c>
      <c r="W610" s="23"/>
    </row>
    <row r="611" spans="1:23" x14ac:dyDescent="0.2">
      <c r="A611" s="12" t="s">
        <v>17</v>
      </c>
      <c r="B611" s="24">
        <v>2019</v>
      </c>
      <c r="C611" s="25">
        <f t="shared" si="33"/>
        <v>0</v>
      </c>
      <c r="D611" s="25">
        <f>'O&amp;M, Heat Rates'!$D$19</f>
        <v>20.2</v>
      </c>
      <c r="E611" s="26">
        <f>'O&amp;M, Heat Rates'!$C$19</f>
        <v>6.23</v>
      </c>
      <c r="F611" s="26">
        <f>'O&amp;M, Heat Rates'!$E$19/1000</f>
        <v>8.5129999999999999</v>
      </c>
      <c r="J611" s="20" t="s">
        <v>17</v>
      </c>
      <c r="K611" s="11">
        <v>2019</v>
      </c>
      <c r="L611" s="15"/>
      <c r="M611" s="11"/>
      <c r="N611" s="16"/>
      <c r="O611" s="21"/>
      <c r="R611" s="22" t="s">
        <v>17</v>
      </c>
      <c r="S611">
        <v>2019</v>
      </c>
      <c r="W611" s="23"/>
    </row>
    <row r="612" spans="1:23" x14ac:dyDescent="0.2">
      <c r="A612" s="12" t="s">
        <v>17</v>
      </c>
      <c r="B612" s="24">
        <v>2020</v>
      </c>
      <c r="C612" s="25">
        <f t="shared" si="33"/>
        <v>0</v>
      </c>
      <c r="D612" s="25">
        <f>'O&amp;M, Heat Rates'!$D$19</f>
        <v>20.2</v>
      </c>
      <c r="E612" s="26">
        <f>'O&amp;M, Heat Rates'!$C$19</f>
        <v>6.23</v>
      </c>
      <c r="F612" s="26">
        <f>'O&amp;M, Heat Rates'!$E$19/1000</f>
        <v>8.5129999999999999</v>
      </c>
      <c r="J612" s="20" t="s">
        <v>17</v>
      </c>
      <c r="K612" s="11">
        <v>2020</v>
      </c>
      <c r="L612" s="15"/>
      <c r="M612" s="11"/>
      <c r="N612" s="16"/>
      <c r="O612" s="21"/>
      <c r="R612" s="22" t="s">
        <v>17</v>
      </c>
      <c r="S612">
        <v>2020</v>
      </c>
      <c r="W612" s="23"/>
    </row>
    <row r="613" spans="1:23" x14ac:dyDescent="0.2">
      <c r="A613" s="12" t="s">
        <v>17</v>
      </c>
      <c r="B613" s="24">
        <v>2021</v>
      </c>
      <c r="C613" s="25">
        <f t="shared" si="33"/>
        <v>0</v>
      </c>
      <c r="D613" s="25">
        <f>'O&amp;M, Heat Rates'!$D$19</f>
        <v>20.2</v>
      </c>
      <c r="E613" s="26">
        <f>'O&amp;M, Heat Rates'!$C$19</f>
        <v>6.23</v>
      </c>
      <c r="F613" s="26">
        <f>'O&amp;M, Heat Rates'!$E$19/1000</f>
        <v>8.5129999999999999</v>
      </c>
      <c r="J613" s="20" t="s">
        <v>17</v>
      </c>
      <c r="K613" s="11">
        <v>2021</v>
      </c>
      <c r="L613" s="15"/>
      <c r="M613" s="11"/>
      <c r="N613" s="16"/>
      <c r="O613" s="21"/>
      <c r="R613" s="22" t="s">
        <v>17</v>
      </c>
      <c r="S613">
        <v>2021</v>
      </c>
      <c r="W613" s="23"/>
    </row>
    <row r="614" spans="1:23" x14ac:dyDescent="0.2">
      <c r="A614" s="12" t="s">
        <v>17</v>
      </c>
      <c r="B614" s="24">
        <v>2022</v>
      </c>
      <c r="C614" s="25">
        <f t="shared" si="33"/>
        <v>0</v>
      </c>
      <c r="D614" s="25">
        <f>'O&amp;M, Heat Rates'!$D$19</f>
        <v>20.2</v>
      </c>
      <c r="E614" s="26">
        <f>'O&amp;M, Heat Rates'!$C$19</f>
        <v>6.23</v>
      </c>
      <c r="F614" s="26">
        <f>'O&amp;M, Heat Rates'!$E$19/1000</f>
        <v>8.5129999999999999</v>
      </c>
      <c r="J614" s="20" t="s">
        <v>17</v>
      </c>
      <c r="K614" s="11">
        <v>2022</v>
      </c>
      <c r="L614" s="15"/>
      <c r="M614" s="11"/>
      <c r="N614" s="16"/>
      <c r="O614" s="21"/>
      <c r="R614" s="22" t="s">
        <v>17</v>
      </c>
      <c r="S614">
        <v>2022</v>
      </c>
      <c r="W614" s="23"/>
    </row>
    <row r="615" spans="1:23" x14ac:dyDescent="0.2">
      <c r="A615" s="12" t="s">
        <v>17</v>
      </c>
      <c r="B615" s="24">
        <v>2023</v>
      </c>
      <c r="C615" s="25">
        <f t="shared" si="33"/>
        <v>0</v>
      </c>
      <c r="D615" s="25">
        <f>'O&amp;M, Heat Rates'!$D$19</f>
        <v>20.2</v>
      </c>
      <c r="E615" s="26">
        <f>'O&amp;M, Heat Rates'!$C$19</f>
        <v>6.23</v>
      </c>
      <c r="F615" s="26">
        <f>'O&amp;M, Heat Rates'!$E$19/1000</f>
        <v>8.5129999999999999</v>
      </c>
      <c r="J615" s="20" t="s">
        <v>17</v>
      </c>
      <c r="K615" s="11">
        <v>2023</v>
      </c>
      <c r="L615" s="15"/>
      <c r="M615" s="11"/>
      <c r="N615" s="16"/>
      <c r="O615" s="21"/>
      <c r="R615" s="22" t="s">
        <v>17</v>
      </c>
      <c r="S615">
        <v>2023</v>
      </c>
      <c r="W615" s="23"/>
    </row>
    <row r="616" spans="1:23" x14ac:dyDescent="0.2">
      <c r="A616" s="12" t="s">
        <v>17</v>
      </c>
      <c r="B616" s="24">
        <v>2024</v>
      </c>
      <c r="C616" s="25">
        <f t="shared" si="33"/>
        <v>0</v>
      </c>
      <c r="D616" s="25">
        <f>'O&amp;M, Heat Rates'!$D$19</f>
        <v>20.2</v>
      </c>
      <c r="E616" s="26">
        <f>'O&amp;M, Heat Rates'!$C$19</f>
        <v>6.23</v>
      </c>
      <c r="F616" s="26">
        <f>'O&amp;M, Heat Rates'!$E$19/1000</f>
        <v>8.5129999999999999</v>
      </c>
      <c r="J616" s="20" t="s">
        <v>17</v>
      </c>
      <c r="K616" s="11">
        <v>2024</v>
      </c>
      <c r="L616" s="15"/>
      <c r="M616" s="11"/>
      <c r="N616" s="16"/>
      <c r="O616" s="21"/>
      <c r="R616" s="22" t="s">
        <v>17</v>
      </c>
      <c r="S616">
        <v>2024</v>
      </c>
      <c r="W616" s="23"/>
    </row>
    <row r="617" spans="1:23" x14ac:dyDescent="0.2">
      <c r="A617" s="12" t="s">
        <v>17</v>
      </c>
      <c r="B617" s="24">
        <v>2025</v>
      </c>
      <c r="C617" s="25">
        <f t="shared" si="33"/>
        <v>0</v>
      </c>
      <c r="D617" s="25">
        <f>'O&amp;M, Heat Rates'!$D$19</f>
        <v>20.2</v>
      </c>
      <c r="E617" s="26">
        <f>'O&amp;M, Heat Rates'!$C$19</f>
        <v>6.23</v>
      </c>
      <c r="F617" s="26">
        <f>'O&amp;M, Heat Rates'!$E$19/1000</f>
        <v>8.5129999999999999</v>
      </c>
      <c r="J617" s="20" t="s">
        <v>17</v>
      </c>
      <c r="K617" s="11">
        <v>2025</v>
      </c>
      <c r="L617" s="15"/>
      <c r="M617" s="11"/>
      <c r="N617" s="16"/>
      <c r="O617" s="21"/>
      <c r="R617" s="22" t="s">
        <v>17</v>
      </c>
      <c r="S617">
        <v>2025</v>
      </c>
      <c r="W617" s="23"/>
    </row>
    <row r="618" spans="1:23" x14ac:dyDescent="0.2">
      <c r="A618" s="12" t="s">
        <v>17</v>
      </c>
      <c r="B618" s="24">
        <v>2026</v>
      </c>
      <c r="C618" s="25">
        <f t="shared" si="33"/>
        <v>0</v>
      </c>
      <c r="D618" s="25">
        <f>'O&amp;M, Heat Rates'!$D$19</f>
        <v>20.2</v>
      </c>
      <c r="E618" s="26">
        <f>'O&amp;M, Heat Rates'!$C$19</f>
        <v>6.23</v>
      </c>
      <c r="F618" s="26">
        <f>'O&amp;M, Heat Rates'!$E$19/1000</f>
        <v>8.5129999999999999</v>
      </c>
      <c r="J618" s="20" t="s">
        <v>17</v>
      </c>
      <c r="K618" s="11">
        <v>2026</v>
      </c>
      <c r="L618" s="15"/>
      <c r="M618" s="11"/>
      <c r="N618" s="16"/>
      <c r="O618" s="21"/>
      <c r="R618" s="22" t="s">
        <v>17</v>
      </c>
      <c r="S618">
        <v>2026</v>
      </c>
      <c r="W618" s="23"/>
    </row>
    <row r="619" spans="1:23" x14ac:dyDescent="0.2">
      <c r="A619" s="12" t="s">
        <v>17</v>
      </c>
      <c r="B619" s="24">
        <v>2027</v>
      </c>
      <c r="C619" s="25">
        <f t="shared" si="33"/>
        <v>0</v>
      </c>
      <c r="D619" s="25">
        <f>'O&amp;M, Heat Rates'!$D$19</f>
        <v>20.2</v>
      </c>
      <c r="E619" s="26">
        <f>'O&amp;M, Heat Rates'!$C$19</f>
        <v>6.23</v>
      </c>
      <c r="F619" s="26">
        <f>'O&amp;M, Heat Rates'!$E$19/1000</f>
        <v>8.5129999999999999</v>
      </c>
      <c r="J619" s="20" t="s">
        <v>17</v>
      </c>
      <c r="K619" s="11">
        <v>2027</v>
      </c>
      <c r="L619" s="15"/>
      <c r="M619" s="11"/>
      <c r="N619" s="16"/>
      <c r="O619" s="21"/>
      <c r="R619" s="22" t="s">
        <v>17</v>
      </c>
      <c r="S619">
        <v>2027</v>
      </c>
      <c r="W619" s="23"/>
    </row>
    <row r="620" spans="1:23" x14ac:dyDescent="0.2">
      <c r="A620" s="12" t="s">
        <v>17</v>
      </c>
      <c r="B620" s="24">
        <v>2028</v>
      </c>
      <c r="C620" s="25">
        <f t="shared" si="33"/>
        <v>0</v>
      </c>
      <c r="D620" s="25">
        <f>'O&amp;M, Heat Rates'!$D$19</f>
        <v>20.2</v>
      </c>
      <c r="E620" s="26">
        <f>'O&amp;M, Heat Rates'!$C$19</f>
        <v>6.23</v>
      </c>
      <c r="F620" s="26">
        <f>'O&amp;M, Heat Rates'!$E$19/1000</f>
        <v>8.5129999999999999</v>
      </c>
      <c r="J620" s="20" t="s">
        <v>17</v>
      </c>
      <c r="K620" s="11">
        <v>2028</v>
      </c>
      <c r="L620" s="15"/>
      <c r="M620" s="11"/>
      <c r="N620" s="16"/>
      <c r="O620" s="21"/>
      <c r="R620" s="22" t="s">
        <v>17</v>
      </c>
      <c r="S620">
        <v>2028</v>
      </c>
      <c r="W620" s="23"/>
    </row>
    <row r="621" spans="1:23" x14ac:dyDescent="0.2">
      <c r="A621" s="12" t="s">
        <v>17</v>
      </c>
      <c r="B621" s="24">
        <v>2029</v>
      </c>
      <c r="C621" s="25">
        <f t="shared" si="33"/>
        <v>0</v>
      </c>
      <c r="D621" s="25">
        <f>'O&amp;M, Heat Rates'!$D$19</f>
        <v>20.2</v>
      </c>
      <c r="E621" s="26">
        <f>'O&amp;M, Heat Rates'!$C$19</f>
        <v>6.23</v>
      </c>
      <c r="F621" s="26">
        <f>'O&amp;M, Heat Rates'!$E$19/1000</f>
        <v>8.5129999999999999</v>
      </c>
      <c r="J621" s="20" t="s">
        <v>17</v>
      </c>
      <c r="K621" s="11">
        <v>2029</v>
      </c>
      <c r="L621" s="15"/>
      <c r="M621" s="11"/>
      <c r="N621" s="16"/>
      <c r="O621" s="21"/>
      <c r="R621" s="22" t="s">
        <v>17</v>
      </c>
      <c r="S621">
        <v>2029</v>
      </c>
      <c r="W621" s="23"/>
    </row>
    <row r="622" spans="1:23" x14ac:dyDescent="0.2">
      <c r="A622" s="12" t="s">
        <v>17</v>
      </c>
      <c r="B622" s="24">
        <v>2030</v>
      </c>
      <c r="C622" s="25">
        <f t="shared" si="33"/>
        <v>0</v>
      </c>
      <c r="D622" s="25">
        <f>'O&amp;M, Heat Rates'!$D$19</f>
        <v>20.2</v>
      </c>
      <c r="E622" s="26">
        <f>'O&amp;M, Heat Rates'!$C$19</f>
        <v>6.23</v>
      </c>
      <c r="F622" s="26">
        <f>'O&amp;M, Heat Rates'!$E$19/1000</f>
        <v>8.5129999999999999</v>
      </c>
      <c r="J622" s="20" t="s">
        <v>17</v>
      </c>
      <c r="K622" s="11">
        <v>2030</v>
      </c>
      <c r="L622" s="15"/>
      <c r="M622" s="11"/>
      <c r="N622" s="16"/>
      <c r="O622" s="21"/>
      <c r="R622" s="22" t="s">
        <v>17</v>
      </c>
      <c r="S622">
        <v>2030</v>
      </c>
      <c r="W622" s="23"/>
    </row>
    <row r="623" spans="1:23" x14ac:dyDescent="0.2">
      <c r="A623" s="12" t="s">
        <v>17</v>
      </c>
      <c r="B623" s="24">
        <v>2031</v>
      </c>
      <c r="C623" s="25">
        <f t="shared" si="33"/>
        <v>0</v>
      </c>
      <c r="D623" s="25">
        <f>'O&amp;M, Heat Rates'!$D$19</f>
        <v>20.2</v>
      </c>
      <c r="E623" s="26">
        <f>'O&amp;M, Heat Rates'!$C$19</f>
        <v>6.23</v>
      </c>
      <c r="F623" s="26">
        <f>'O&amp;M, Heat Rates'!$E$19/1000</f>
        <v>8.5129999999999999</v>
      </c>
      <c r="J623" s="20" t="s">
        <v>17</v>
      </c>
      <c r="K623" s="11">
        <v>2031</v>
      </c>
      <c r="L623" s="15"/>
      <c r="M623" s="11"/>
      <c r="N623" s="16"/>
      <c r="O623" s="21"/>
      <c r="R623" s="22" t="s">
        <v>17</v>
      </c>
      <c r="S623">
        <v>2031</v>
      </c>
      <c r="W623" s="23"/>
    </row>
    <row r="624" spans="1:23" x14ac:dyDescent="0.2">
      <c r="A624" s="12" t="s">
        <v>17</v>
      </c>
      <c r="B624" s="24">
        <v>2032</v>
      </c>
      <c r="C624" s="25">
        <f t="shared" si="33"/>
        <v>0</v>
      </c>
      <c r="D624" s="25">
        <f>'O&amp;M, Heat Rates'!$D$19</f>
        <v>20.2</v>
      </c>
      <c r="E624" s="26">
        <f>'O&amp;M, Heat Rates'!$C$19</f>
        <v>6.23</v>
      </c>
      <c r="F624" s="26">
        <f>'O&amp;M, Heat Rates'!$E$19/1000</f>
        <v>8.5129999999999999</v>
      </c>
      <c r="J624" s="20" t="s">
        <v>17</v>
      </c>
      <c r="K624" s="11">
        <v>2032</v>
      </c>
      <c r="L624" s="15"/>
      <c r="M624" s="11"/>
      <c r="N624" s="16"/>
      <c r="O624" s="21"/>
      <c r="R624" s="22" t="s">
        <v>17</v>
      </c>
      <c r="S624">
        <v>2032</v>
      </c>
      <c r="W624" s="23"/>
    </row>
    <row r="625" spans="1:23" x14ac:dyDescent="0.2">
      <c r="A625" s="12" t="s">
        <v>17</v>
      </c>
      <c r="B625" s="24">
        <v>2033</v>
      </c>
      <c r="C625" s="25">
        <f t="shared" si="33"/>
        <v>0</v>
      </c>
      <c r="D625" s="25">
        <f>'O&amp;M, Heat Rates'!$D$19</f>
        <v>20.2</v>
      </c>
      <c r="E625" s="26">
        <f>'O&amp;M, Heat Rates'!$C$19</f>
        <v>6.23</v>
      </c>
      <c r="F625" s="26">
        <f>'O&amp;M, Heat Rates'!$E$19/1000</f>
        <v>8.5129999999999999</v>
      </c>
      <c r="J625" s="20" t="s">
        <v>17</v>
      </c>
      <c r="K625" s="11">
        <v>2033</v>
      </c>
      <c r="L625" s="15"/>
      <c r="M625" s="11"/>
      <c r="N625" s="16"/>
      <c r="O625" s="21"/>
      <c r="R625" s="22" t="s">
        <v>17</v>
      </c>
      <c r="S625">
        <v>2033</v>
      </c>
      <c r="W625" s="23"/>
    </row>
    <row r="626" spans="1:23" x14ac:dyDescent="0.2">
      <c r="A626" s="12" t="s">
        <v>17</v>
      </c>
      <c r="B626" s="24">
        <v>2034</v>
      </c>
      <c r="C626" s="25">
        <f t="shared" si="33"/>
        <v>0</v>
      </c>
      <c r="D626" s="25">
        <f>'O&amp;M, Heat Rates'!$D$19</f>
        <v>20.2</v>
      </c>
      <c r="E626" s="26">
        <f>'O&amp;M, Heat Rates'!$C$19</f>
        <v>6.23</v>
      </c>
      <c r="F626" s="26">
        <f>'O&amp;M, Heat Rates'!$E$19/1000</f>
        <v>8.5129999999999999</v>
      </c>
      <c r="J626" s="20" t="s">
        <v>17</v>
      </c>
      <c r="K626" s="11">
        <v>2034</v>
      </c>
      <c r="L626" s="15"/>
      <c r="M626" s="11"/>
      <c r="N626" s="16"/>
      <c r="O626" s="21"/>
      <c r="R626" s="22" t="s">
        <v>17</v>
      </c>
      <c r="S626">
        <v>2034</v>
      </c>
      <c r="W626" s="23"/>
    </row>
    <row r="627" spans="1:23" x14ac:dyDescent="0.2">
      <c r="A627" s="12" t="s">
        <v>17</v>
      </c>
      <c r="B627" s="24">
        <v>2035</v>
      </c>
      <c r="C627" s="25">
        <f t="shared" ref="C627:C642" si="34">VLOOKUP(A627,$A$45:$AP$61,VLOOKUP(B627,$Z$69:$AA$109,2,FALSE),FALSE)</f>
        <v>0</v>
      </c>
      <c r="D627" s="25">
        <f>'O&amp;M, Heat Rates'!$D$19</f>
        <v>20.2</v>
      </c>
      <c r="E627" s="26">
        <f>'O&amp;M, Heat Rates'!$C$19</f>
        <v>6.23</v>
      </c>
      <c r="F627" s="26">
        <f>'O&amp;M, Heat Rates'!$E$19/1000</f>
        <v>8.5129999999999999</v>
      </c>
      <c r="J627" s="20" t="s">
        <v>17</v>
      </c>
      <c r="K627" s="11">
        <v>2035</v>
      </c>
      <c r="L627" s="15"/>
      <c r="M627" s="11"/>
      <c r="N627" s="16"/>
      <c r="O627" s="21"/>
      <c r="R627" s="22" t="s">
        <v>17</v>
      </c>
      <c r="S627">
        <v>2035</v>
      </c>
      <c r="W627" s="23"/>
    </row>
    <row r="628" spans="1:23" x14ac:dyDescent="0.2">
      <c r="A628" s="12" t="s">
        <v>17</v>
      </c>
      <c r="B628" s="24">
        <v>2036</v>
      </c>
      <c r="C628" s="25">
        <f t="shared" si="34"/>
        <v>0</v>
      </c>
      <c r="D628" s="25">
        <f>'O&amp;M, Heat Rates'!$D$19</f>
        <v>20.2</v>
      </c>
      <c r="E628" s="26">
        <f>'O&amp;M, Heat Rates'!$C$19</f>
        <v>6.23</v>
      </c>
      <c r="F628" s="26">
        <f>'O&amp;M, Heat Rates'!$E$19/1000</f>
        <v>8.5129999999999999</v>
      </c>
      <c r="J628" s="20" t="s">
        <v>17</v>
      </c>
      <c r="K628" s="11">
        <v>2036</v>
      </c>
      <c r="L628" s="15"/>
      <c r="M628" s="11"/>
      <c r="N628" s="16"/>
      <c r="O628" s="21"/>
      <c r="R628" s="22" t="s">
        <v>17</v>
      </c>
      <c r="S628">
        <v>2036</v>
      </c>
      <c r="W628" s="23"/>
    </row>
    <row r="629" spans="1:23" x14ac:dyDescent="0.2">
      <c r="A629" s="12" t="s">
        <v>17</v>
      </c>
      <c r="B629" s="24">
        <v>2037</v>
      </c>
      <c r="C629" s="25">
        <f t="shared" si="34"/>
        <v>0</v>
      </c>
      <c r="D629" s="25">
        <f>'O&amp;M, Heat Rates'!$D$19</f>
        <v>20.2</v>
      </c>
      <c r="E629" s="26">
        <f>'O&amp;M, Heat Rates'!$C$19</f>
        <v>6.23</v>
      </c>
      <c r="F629" s="26">
        <f>'O&amp;M, Heat Rates'!$E$19/1000</f>
        <v>8.5129999999999999</v>
      </c>
      <c r="J629" s="20" t="s">
        <v>17</v>
      </c>
      <c r="K629" s="11">
        <v>2037</v>
      </c>
      <c r="L629" s="15"/>
      <c r="M629" s="11"/>
      <c r="N629" s="16"/>
      <c r="O629" s="21"/>
      <c r="R629" s="22" t="s">
        <v>17</v>
      </c>
      <c r="S629">
        <v>2037</v>
      </c>
      <c r="W629" s="23"/>
    </row>
    <row r="630" spans="1:23" x14ac:dyDescent="0.2">
      <c r="A630" s="12" t="s">
        <v>17</v>
      </c>
      <c r="B630" s="24">
        <v>2038</v>
      </c>
      <c r="C630" s="25">
        <f t="shared" si="34"/>
        <v>0</v>
      </c>
      <c r="D630" s="25">
        <f>'O&amp;M, Heat Rates'!$D$19</f>
        <v>20.2</v>
      </c>
      <c r="E630" s="26">
        <f>'O&amp;M, Heat Rates'!$C$19</f>
        <v>6.23</v>
      </c>
      <c r="F630" s="26">
        <f>'O&amp;M, Heat Rates'!$E$19/1000</f>
        <v>8.5129999999999999</v>
      </c>
      <c r="J630" s="20" t="s">
        <v>17</v>
      </c>
      <c r="K630" s="11">
        <v>2038</v>
      </c>
      <c r="L630" s="15"/>
      <c r="M630" s="11"/>
      <c r="N630" s="16"/>
      <c r="O630" s="21"/>
      <c r="R630" s="22" t="s">
        <v>17</v>
      </c>
      <c r="S630">
        <v>2038</v>
      </c>
      <c r="W630" s="23"/>
    </row>
    <row r="631" spans="1:23" x14ac:dyDescent="0.2">
      <c r="A631" s="12" t="s">
        <v>17</v>
      </c>
      <c r="B631" s="24">
        <v>2039</v>
      </c>
      <c r="C631" s="25">
        <f t="shared" si="34"/>
        <v>0</v>
      </c>
      <c r="D631" s="25">
        <f>'O&amp;M, Heat Rates'!$D$19</f>
        <v>20.2</v>
      </c>
      <c r="E631" s="26">
        <f>'O&amp;M, Heat Rates'!$C$19</f>
        <v>6.23</v>
      </c>
      <c r="F631" s="26">
        <f>'O&amp;M, Heat Rates'!$E$19/1000</f>
        <v>8.5129999999999999</v>
      </c>
      <c r="J631" s="20" t="s">
        <v>17</v>
      </c>
      <c r="K631" s="11">
        <v>2039</v>
      </c>
      <c r="L631" s="15"/>
      <c r="M631" s="11"/>
      <c r="N631" s="16"/>
      <c r="O631" s="21"/>
      <c r="R631" s="22" t="s">
        <v>17</v>
      </c>
      <c r="S631">
        <v>2039</v>
      </c>
      <c r="W631" s="23"/>
    </row>
    <row r="632" spans="1:23" x14ac:dyDescent="0.2">
      <c r="A632" s="12" t="s">
        <v>17</v>
      </c>
      <c r="B632" s="24">
        <v>2040</v>
      </c>
      <c r="C632" s="25">
        <f t="shared" si="34"/>
        <v>0</v>
      </c>
      <c r="D632" s="25">
        <f>'O&amp;M, Heat Rates'!$D$19</f>
        <v>20.2</v>
      </c>
      <c r="E632" s="26">
        <f>'O&amp;M, Heat Rates'!$C$19</f>
        <v>6.23</v>
      </c>
      <c r="F632" s="26">
        <f>'O&amp;M, Heat Rates'!$E$19/1000</f>
        <v>8.5129999999999999</v>
      </c>
      <c r="J632" s="20" t="s">
        <v>17</v>
      </c>
      <c r="K632" s="11">
        <v>2040</v>
      </c>
      <c r="L632" s="15"/>
      <c r="M632" s="11"/>
      <c r="N632" s="16"/>
      <c r="O632" s="21"/>
      <c r="R632" s="22" t="s">
        <v>17</v>
      </c>
      <c r="S632">
        <v>2040</v>
      </c>
      <c r="W632" s="23"/>
    </row>
    <row r="633" spans="1:23" x14ac:dyDescent="0.2">
      <c r="A633" s="12" t="s">
        <v>17</v>
      </c>
      <c r="B633" s="24">
        <v>2041</v>
      </c>
      <c r="C633" s="25">
        <f t="shared" si="34"/>
        <v>0</v>
      </c>
      <c r="D633" s="25">
        <f>'O&amp;M, Heat Rates'!$D$19</f>
        <v>20.2</v>
      </c>
      <c r="E633" s="26">
        <f>'O&amp;M, Heat Rates'!$C$19</f>
        <v>6.23</v>
      </c>
      <c r="F633" s="26">
        <f>'O&amp;M, Heat Rates'!$E$19/1000</f>
        <v>8.5129999999999999</v>
      </c>
      <c r="J633" s="20" t="s">
        <v>17</v>
      </c>
      <c r="K633" s="11">
        <v>2041</v>
      </c>
      <c r="L633" s="15"/>
      <c r="M633" s="11"/>
      <c r="N633" s="16"/>
      <c r="O633" s="21"/>
      <c r="R633" s="22" t="s">
        <v>17</v>
      </c>
      <c r="S633">
        <v>2041</v>
      </c>
      <c r="W633" s="23"/>
    </row>
    <row r="634" spans="1:23" x14ac:dyDescent="0.2">
      <c r="A634" s="12" t="s">
        <v>17</v>
      </c>
      <c r="B634" s="24">
        <v>2042</v>
      </c>
      <c r="C634" s="25">
        <f t="shared" si="34"/>
        <v>0</v>
      </c>
      <c r="D634" s="25">
        <f>'O&amp;M, Heat Rates'!$D$19</f>
        <v>20.2</v>
      </c>
      <c r="E634" s="26">
        <f>'O&amp;M, Heat Rates'!$C$19</f>
        <v>6.23</v>
      </c>
      <c r="F634" s="26">
        <f>'O&amp;M, Heat Rates'!$E$19/1000</f>
        <v>8.5129999999999999</v>
      </c>
      <c r="J634" s="20" t="s">
        <v>17</v>
      </c>
      <c r="K634" s="11">
        <v>2042</v>
      </c>
      <c r="L634" s="15"/>
      <c r="M634" s="11"/>
      <c r="N634" s="16"/>
      <c r="O634" s="21"/>
      <c r="R634" s="22" t="s">
        <v>17</v>
      </c>
      <c r="S634">
        <v>2042</v>
      </c>
      <c r="W634" s="23"/>
    </row>
    <row r="635" spans="1:23" x14ac:dyDescent="0.2">
      <c r="A635" s="12" t="s">
        <v>17</v>
      </c>
      <c r="B635" s="24">
        <v>2043</v>
      </c>
      <c r="C635" s="25">
        <f t="shared" si="34"/>
        <v>0</v>
      </c>
      <c r="D635" s="25">
        <f>'O&amp;M, Heat Rates'!$D$19</f>
        <v>20.2</v>
      </c>
      <c r="E635" s="26">
        <f>'O&amp;M, Heat Rates'!$C$19</f>
        <v>6.23</v>
      </c>
      <c r="F635" s="26">
        <f>'O&amp;M, Heat Rates'!$E$19/1000</f>
        <v>8.5129999999999999</v>
      </c>
      <c r="J635" s="20" t="s">
        <v>17</v>
      </c>
      <c r="K635" s="11">
        <v>2043</v>
      </c>
      <c r="L635" s="15"/>
      <c r="M635" s="11"/>
      <c r="N635" s="16"/>
      <c r="O635" s="21"/>
      <c r="R635" s="22" t="s">
        <v>17</v>
      </c>
      <c r="S635">
        <v>2043</v>
      </c>
      <c r="W635" s="23"/>
    </row>
    <row r="636" spans="1:23" x14ac:dyDescent="0.2">
      <c r="A636" s="12" t="s">
        <v>17</v>
      </c>
      <c r="B636" s="24">
        <v>2044</v>
      </c>
      <c r="C636" s="25">
        <f t="shared" si="34"/>
        <v>0</v>
      </c>
      <c r="D636" s="25">
        <f>'O&amp;M, Heat Rates'!$D$19</f>
        <v>20.2</v>
      </c>
      <c r="E636" s="26">
        <f>'O&amp;M, Heat Rates'!$C$19</f>
        <v>6.23</v>
      </c>
      <c r="F636" s="26">
        <f>'O&amp;M, Heat Rates'!$E$19/1000</f>
        <v>8.5129999999999999</v>
      </c>
      <c r="J636" s="20" t="s">
        <v>17</v>
      </c>
      <c r="K636" s="11">
        <v>2044</v>
      </c>
      <c r="L636" s="15"/>
      <c r="M636" s="11"/>
      <c r="N636" s="16"/>
      <c r="O636" s="21"/>
      <c r="R636" s="22" t="s">
        <v>17</v>
      </c>
      <c r="S636">
        <v>2044</v>
      </c>
      <c r="W636" s="23"/>
    </row>
    <row r="637" spans="1:23" x14ac:dyDescent="0.2">
      <c r="A637" s="12" t="s">
        <v>17</v>
      </c>
      <c r="B637" s="24">
        <v>2045</v>
      </c>
      <c r="C637" s="25">
        <f t="shared" si="34"/>
        <v>0</v>
      </c>
      <c r="D637" s="25">
        <f>'O&amp;M, Heat Rates'!$D$19</f>
        <v>20.2</v>
      </c>
      <c r="E637" s="26">
        <f>'O&amp;M, Heat Rates'!$C$19</f>
        <v>6.23</v>
      </c>
      <c r="F637" s="26">
        <f>'O&amp;M, Heat Rates'!$E$19/1000</f>
        <v>8.5129999999999999</v>
      </c>
      <c r="J637" s="20" t="s">
        <v>17</v>
      </c>
      <c r="K637" s="11">
        <v>2045</v>
      </c>
      <c r="L637" s="15"/>
      <c r="M637" s="11"/>
      <c r="N637" s="16"/>
      <c r="O637" s="21"/>
      <c r="R637" s="22" t="s">
        <v>17</v>
      </c>
      <c r="S637">
        <v>2045</v>
      </c>
      <c r="W637" s="23"/>
    </row>
    <row r="638" spans="1:23" x14ac:dyDescent="0.2">
      <c r="A638" s="12" t="s">
        <v>17</v>
      </c>
      <c r="B638" s="24">
        <v>2046</v>
      </c>
      <c r="C638" s="25">
        <f t="shared" si="34"/>
        <v>0</v>
      </c>
      <c r="D638" s="25">
        <f>'O&amp;M, Heat Rates'!$D$19</f>
        <v>20.2</v>
      </c>
      <c r="E638" s="26">
        <f>'O&amp;M, Heat Rates'!$C$19</f>
        <v>6.23</v>
      </c>
      <c r="F638" s="26">
        <f>'O&amp;M, Heat Rates'!$E$19/1000</f>
        <v>8.5129999999999999</v>
      </c>
      <c r="J638" s="20" t="s">
        <v>17</v>
      </c>
      <c r="K638" s="11">
        <v>2046</v>
      </c>
      <c r="L638" s="15"/>
      <c r="M638" s="11"/>
      <c r="N638" s="16"/>
      <c r="O638" s="21"/>
      <c r="R638" s="22" t="s">
        <v>17</v>
      </c>
      <c r="S638">
        <v>2046</v>
      </c>
      <c r="W638" s="23"/>
    </row>
    <row r="639" spans="1:23" x14ac:dyDescent="0.2">
      <c r="A639" s="12" t="s">
        <v>17</v>
      </c>
      <c r="B639" s="24">
        <v>2047</v>
      </c>
      <c r="C639" s="25">
        <f t="shared" si="34"/>
        <v>0</v>
      </c>
      <c r="D639" s="25">
        <f>'O&amp;M, Heat Rates'!$D$19</f>
        <v>20.2</v>
      </c>
      <c r="E639" s="26">
        <f>'O&amp;M, Heat Rates'!$C$19</f>
        <v>6.23</v>
      </c>
      <c r="F639" s="26">
        <f>'O&amp;M, Heat Rates'!$E$19/1000</f>
        <v>8.5129999999999999</v>
      </c>
      <c r="J639" s="20" t="s">
        <v>17</v>
      </c>
      <c r="K639" s="11">
        <v>2047</v>
      </c>
      <c r="L639" s="15"/>
      <c r="M639" s="11"/>
      <c r="N639" s="16"/>
      <c r="O639" s="21"/>
      <c r="R639" s="22" t="s">
        <v>17</v>
      </c>
      <c r="S639">
        <v>2047</v>
      </c>
      <c r="W639" s="23"/>
    </row>
    <row r="640" spans="1:23" x14ac:dyDescent="0.2">
      <c r="A640" s="12" t="s">
        <v>17</v>
      </c>
      <c r="B640" s="24">
        <v>2048</v>
      </c>
      <c r="C640" s="25">
        <f t="shared" si="34"/>
        <v>0</v>
      </c>
      <c r="D640" s="25">
        <f>'O&amp;M, Heat Rates'!$D$19</f>
        <v>20.2</v>
      </c>
      <c r="E640" s="26">
        <f>'O&amp;M, Heat Rates'!$C$19</f>
        <v>6.23</v>
      </c>
      <c r="F640" s="26">
        <f>'O&amp;M, Heat Rates'!$E$19/1000</f>
        <v>8.5129999999999999</v>
      </c>
      <c r="J640" s="20" t="s">
        <v>17</v>
      </c>
      <c r="K640" s="11">
        <v>2048</v>
      </c>
      <c r="L640" s="15"/>
      <c r="M640" s="11"/>
      <c r="N640" s="16"/>
      <c r="O640" s="21"/>
      <c r="R640" s="22" t="s">
        <v>17</v>
      </c>
      <c r="S640">
        <v>2048</v>
      </c>
      <c r="W640" s="23"/>
    </row>
    <row r="641" spans="1:23" x14ac:dyDescent="0.2">
      <c r="A641" s="12" t="s">
        <v>17</v>
      </c>
      <c r="B641" s="24">
        <v>2049</v>
      </c>
      <c r="C641" s="25">
        <f t="shared" si="34"/>
        <v>0</v>
      </c>
      <c r="D641" s="25">
        <f>'O&amp;M, Heat Rates'!$D$19</f>
        <v>20.2</v>
      </c>
      <c r="E641" s="26">
        <f>'O&amp;M, Heat Rates'!$C$19</f>
        <v>6.23</v>
      </c>
      <c r="F641" s="26">
        <f>'O&amp;M, Heat Rates'!$E$19/1000</f>
        <v>8.5129999999999999</v>
      </c>
      <c r="J641" s="20" t="s">
        <v>17</v>
      </c>
      <c r="K641" s="11">
        <v>2049</v>
      </c>
      <c r="L641" s="15"/>
      <c r="M641" s="11"/>
      <c r="N641" s="16"/>
      <c r="O641" s="21"/>
      <c r="R641" s="22" t="s">
        <v>17</v>
      </c>
      <c r="S641">
        <v>2049</v>
      </c>
      <c r="W641" s="23"/>
    </row>
    <row r="642" spans="1:23" x14ac:dyDescent="0.2">
      <c r="A642" s="12" t="s">
        <v>17</v>
      </c>
      <c r="B642" s="24">
        <v>2050</v>
      </c>
      <c r="C642" s="25">
        <f t="shared" si="34"/>
        <v>0</v>
      </c>
      <c r="D642" s="25">
        <f>'O&amp;M, Heat Rates'!$D$19</f>
        <v>20.2</v>
      </c>
      <c r="E642" s="26">
        <f>'O&amp;M, Heat Rates'!$C$19</f>
        <v>6.23</v>
      </c>
      <c r="F642" s="26">
        <f>'O&amp;M, Heat Rates'!$E$19/1000</f>
        <v>8.5129999999999999</v>
      </c>
      <c r="J642" s="20" t="s">
        <v>17</v>
      </c>
      <c r="K642" s="11">
        <v>2050</v>
      </c>
      <c r="L642" s="15"/>
      <c r="M642" s="11"/>
      <c r="N642" s="16"/>
      <c r="O642" s="21"/>
      <c r="R642" s="22" t="s">
        <v>17</v>
      </c>
      <c r="S642">
        <v>2050</v>
      </c>
      <c r="W642" s="23"/>
    </row>
  </sheetData>
  <conditionalFormatting sqref="A8">
    <cfRule type="notContainsBlanks" dxfId="0" priority="1">
      <formula>LEN(TRIM(A8))&gt;0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67"/>
  <sheetViews>
    <sheetView topLeftCell="A9" workbookViewId="0">
      <selection activeCell="N46" sqref="N46"/>
    </sheetView>
  </sheetViews>
  <sheetFormatPr defaultRowHeight="12.75" x14ac:dyDescent="0.2"/>
  <cols>
    <col min="1" max="1" width="12.140625" bestFit="1" customWidth="1"/>
    <col min="2" max="2" width="12.140625" customWidth="1"/>
    <col min="3" max="3" width="12.28515625" bestFit="1" customWidth="1"/>
    <col min="4" max="4" width="9.85546875" bestFit="1" customWidth="1"/>
    <col min="5" max="5" width="13.5703125" bestFit="1" customWidth="1"/>
  </cols>
  <sheetData>
    <row r="1" spans="1:10" ht="13.5" thickBot="1" x14ac:dyDescent="0.25">
      <c r="A1" s="2" t="s">
        <v>1</v>
      </c>
      <c r="B1" s="9"/>
      <c r="C1" s="9" t="s">
        <v>28</v>
      </c>
      <c r="D1" s="9" t="s">
        <v>29</v>
      </c>
      <c r="E1" s="9" t="s">
        <v>40</v>
      </c>
      <c r="F1" s="9" t="s">
        <v>30</v>
      </c>
      <c r="G1" s="9" t="s">
        <v>33</v>
      </c>
    </row>
    <row r="2" spans="1:10" x14ac:dyDescent="0.2">
      <c r="A2" s="4" t="s">
        <v>2</v>
      </c>
      <c r="B2" s="11"/>
      <c r="C2">
        <v>1.4</v>
      </c>
      <c r="D2">
        <v>42.01</v>
      </c>
      <c r="E2">
        <v>0</v>
      </c>
      <c r="F2">
        <v>0</v>
      </c>
      <c r="G2">
        <f>(E2-F2)/($G$25-$G$24)</f>
        <v>0</v>
      </c>
    </row>
    <row r="3" spans="1:10" x14ac:dyDescent="0.2">
      <c r="A3" s="5" t="s">
        <v>3</v>
      </c>
      <c r="B3" s="11"/>
      <c r="C3">
        <f>AVERAGE(4.72,4.52)</f>
        <v>4.6199999999999992</v>
      </c>
      <c r="D3">
        <f>AVERAGE(16.38,7.04)</f>
        <v>11.709999999999999</v>
      </c>
      <c r="E3">
        <f>AVERAGE(9124,9905)</f>
        <v>9514.5</v>
      </c>
      <c r="F3">
        <f>E3</f>
        <v>9514.5</v>
      </c>
      <c r="G3">
        <f>(E3-F3)/($G$25-$G$24)</f>
        <v>0</v>
      </c>
      <c r="J3" t="s">
        <v>76</v>
      </c>
    </row>
    <row r="4" spans="1:10" x14ac:dyDescent="0.2">
      <c r="A4" s="5" t="s">
        <v>4</v>
      </c>
      <c r="B4" s="11"/>
      <c r="C4">
        <f>AVERAGE(2.56,1.88)</f>
        <v>2.2199999999999998</v>
      </c>
      <c r="D4">
        <f>AVERAGE(14.17,12.26)</f>
        <v>13.215</v>
      </c>
      <c r="E4">
        <f>AVERAGE(6431,6370)</f>
        <v>6400.5</v>
      </c>
      <c r="F4">
        <f>E4</f>
        <v>6400.5</v>
      </c>
      <c r="G4">
        <f>(E4-F4)/($G$25-$G$24)</f>
        <v>0</v>
      </c>
      <c r="J4" t="s">
        <v>77</v>
      </c>
    </row>
    <row r="5" spans="1:10" x14ac:dyDescent="0.2">
      <c r="A5" s="5" t="s">
        <v>5</v>
      </c>
      <c r="B5" s="11"/>
      <c r="C5">
        <v>5.87</v>
      </c>
      <c r="D5">
        <v>27.74</v>
      </c>
      <c r="E5">
        <v>7124</v>
      </c>
      <c r="F5">
        <f>E5</f>
        <v>7124</v>
      </c>
      <c r="G5">
        <f>(E5-F5)/($G$25-$G$24)</f>
        <v>0</v>
      </c>
    </row>
    <row r="6" spans="1:10" x14ac:dyDescent="0.2">
      <c r="A6" s="5" t="s">
        <v>6</v>
      </c>
      <c r="B6" s="11"/>
      <c r="C6" s="9" t="s">
        <v>31</v>
      </c>
      <c r="D6" s="9" t="s">
        <v>31</v>
      </c>
      <c r="E6" s="9" t="s">
        <v>31</v>
      </c>
      <c r="F6" s="9" t="s">
        <v>31</v>
      </c>
    </row>
    <row r="7" spans="1:10" x14ac:dyDescent="0.2">
      <c r="A7" s="5" t="s">
        <v>7</v>
      </c>
      <c r="B7" s="11"/>
      <c r="C7" s="9" t="s">
        <v>31</v>
      </c>
      <c r="D7" s="9" t="s">
        <v>31</v>
      </c>
      <c r="E7" s="9" t="s">
        <v>31</v>
      </c>
      <c r="F7" s="9" t="s">
        <v>31</v>
      </c>
    </row>
    <row r="8" spans="1:10" x14ac:dyDescent="0.2">
      <c r="A8" s="5" t="s">
        <v>8</v>
      </c>
      <c r="B8" s="11"/>
      <c r="C8">
        <v>4.5199999999999996</v>
      </c>
      <c r="D8">
        <v>40.79</v>
      </c>
      <c r="E8">
        <v>8638</v>
      </c>
      <c r="F8">
        <v>8638</v>
      </c>
      <c r="G8">
        <f>(E8-F8)/($G$25-$G$24)</f>
        <v>0</v>
      </c>
    </row>
    <row r="9" spans="1:10" x14ac:dyDescent="0.2">
      <c r="A9" s="5" t="s">
        <v>9</v>
      </c>
      <c r="B9" s="11"/>
      <c r="C9" s="32">
        <v>8.0225267333529597</v>
      </c>
      <c r="D9" s="32">
        <f>57079.9443618202/1000</f>
        <v>57.079944361820196</v>
      </c>
      <c r="E9">
        <v>8700</v>
      </c>
      <c r="F9">
        <v>7450</v>
      </c>
      <c r="G9">
        <f>(E9-F9)/($G$25-$G$24)</f>
        <v>113.63636363636364</v>
      </c>
    </row>
    <row r="10" spans="1:10" x14ac:dyDescent="0.2">
      <c r="A10" s="5" t="s">
        <v>10</v>
      </c>
      <c r="B10" s="11"/>
      <c r="C10">
        <v>11.03</v>
      </c>
      <c r="D10" s="9">
        <v>59.85</v>
      </c>
      <c r="E10" s="9">
        <v>12507</v>
      </c>
      <c r="F10" s="9">
        <v>12507</v>
      </c>
      <c r="G10">
        <f>(E10-F10)/($G$25-$G$24)</f>
        <v>0</v>
      </c>
    </row>
    <row r="11" spans="1:10" x14ac:dyDescent="0.2">
      <c r="A11" s="5" t="s">
        <v>70</v>
      </c>
      <c r="B11" s="11"/>
      <c r="C11">
        <v>7.11</v>
      </c>
      <c r="D11" s="9">
        <v>54.57</v>
      </c>
      <c r="E11" s="9">
        <v>9751</v>
      </c>
      <c r="F11" s="9">
        <f>E11</f>
        <v>9751</v>
      </c>
    </row>
    <row r="12" spans="1:10" x14ac:dyDescent="0.2">
      <c r="A12" s="5" t="s">
        <v>11</v>
      </c>
      <c r="B12" s="11"/>
      <c r="C12" s="9" t="s">
        <v>31</v>
      </c>
      <c r="D12" s="9" t="s">
        <v>31</v>
      </c>
      <c r="E12" s="9" t="s">
        <v>31</v>
      </c>
      <c r="F12" s="9" t="s">
        <v>31</v>
      </c>
    </row>
    <row r="13" spans="1:10" x14ac:dyDescent="0.2">
      <c r="A13" s="5" t="s">
        <v>12</v>
      </c>
      <c r="B13" s="11"/>
      <c r="C13">
        <v>2.38</v>
      </c>
      <c r="D13">
        <v>122.26</v>
      </c>
      <c r="E13">
        <v>10455</v>
      </c>
      <c r="F13">
        <f>E13</f>
        <v>10455</v>
      </c>
      <c r="G13">
        <f>(E13-F13)/($G$25-$G$24)</f>
        <v>0</v>
      </c>
    </row>
    <row r="14" spans="1:10" x14ac:dyDescent="0.2">
      <c r="A14" s="5" t="s">
        <v>71</v>
      </c>
      <c r="B14" s="11"/>
      <c r="C14">
        <v>3.02</v>
      </c>
      <c r="D14">
        <v>95.48</v>
      </c>
      <c r="E14">
        <v>10455</v>
      </c>
      <c r="F14">
        <f>E14</f>
        <v>10455</v>
      </c>
      <c r="G14">
        <f>(E14-F14)/($G$25-$G$24)</f>
        <v>0</v>
      </c>
    </row>
    <row r="15" spans="1:10" x14ac:dyDescent="0.2">
      <c r="A15" s="6" t="s">
        <v>13</v>
      </c>
      <c r="B15" s="11"/>
      <c r="C15">
        <v>1.17</v>
      </c>
      <c r="D15">
        <v>137.5</v>
      </c>
      <c r="E15">
        <v>0</v>
      </c>
      <c r="F15">
        <v>0</v>
      </c>
      <c r="G15">
        <f>(E15-F15)/($G$25-$G$24)</f>
        <v>0</v>
      </c>
    </row>
    <row r="16" spans="1:10" x14ac:dyDescent="0.2">
      <c r="A16" s="5" t="s">
        <v>14</v>
      </c>
      <c r="B16" s="11"/>
      <c r="C16">
        <v>4.8499999999999996</v>
      </c>
      <c r="D16">
        <v>126.36</v>
      </c>
      <c r="E16">
        <v>13500</v>
      </c>
      <c r="F16">
        <v>13500</v>
      </c>
      <c r="G16">
        <f>(E16-F16)/($G$25-$G$24)</f>
        <v>0</v>
      </c>
    </row>
    <row r="17" spans="1:7" x14ac:dyDescent="0.2">
      <c r="A17" s="5" t="s">
        <v>15</v>
      </c>
      <c r="B17" s="11"/>
      <c r="C17" s="9" t="s">
        <v>31</v>
      </c>
      <c r="D17" s="9" t="s">
        <v>31</v>
      </c>
      <c r="E17" s="9" t="s">
        <v>31</v>
      </c>
      <c r="F17" s="9" t="s">
        <v>31</v>
      </c>
    </row>
    <row r="18" spans="1:7" x14ac:dyDescent="0.2">
      <c r="A18" s="5" t="s">
        <v>16</v>
      </c>
      <c r="B18" s="11"/>
      <c r="C18">
        <f>C8</f>
        <v>4.5199999999999996</v>
      </c>
      <c r="D18">
        <f t="shared" ref="D18" si="0">D8</f>
        <v>40.79</v>
      </c>
      <c r="E18" s="9" t="s">
        <v>31</v>
      </c>
      <c r="F18" s="9" t="s">
        <v>31</v>
      </c>
    </row>
    <row r="19" spans="1:7" x14ac:dyDescent="0.2">
      <c r="A19" s="5" t="s">
        <v>17</v>
      </c>
      <c r="B19" s="11"/>
      <c r="C19" s="9">
        <v>6.23</v>
      </c>
      <c r="D19" s="9">
        <v>20.2</v>
      </c>
      <c r="E19" s="9">
        <v>8513</v>
      </c>
      <c r="F19" s="9">
        <v>8513</v>
      </c>
      <c r="G19">
        <f>(E19-F19)/($G$25-$G$24)</f>
        <v>0</v>
      </c>
    </row>
    <row r="20" spans="1:7" x14ac:dyDescent="0.2">
      <c r="A20" s="5" t="s">
        <v>18</v>
      </c>
      <c r="B20" s="11"/>
      <c r="C20" s="9" t="s">
        <v>31</v>
      </c>
      <c r="D20" s="9" t="s">
        <v>31</v>
      </c>
      <c r="E20" s="9" t="s">
        <v>31</v>
      </c>
      <c r="F20" s="9" t="s">
        <v>31</v>
      </c>
    </row>
    <row r="21" spans="1:7" x14ac:dyDescent="0.2">
      <c r="A21" s="5" t="s">
        <v>19</v>
      </c>
      <c r="B21" s="11"/>
      <c r="C21">
        <v>0</v>
      </c>
      <c r="D21">
        <v>24.68</v>
      </c>
      <c r="E21">
        <v>9271</v>
      </c>
      <c r="F21">
        <v>9271</v>
      </c>
      <c r="G21">
        <f>(E21-F21)/($G$25-$G$24)</f>
        <v>0</v>
      </c>
    </row>
    <row r="23" spans="1:7" x14ac:dyDescent="0.2">
      <c r="A23" s="14" t="s">
        <v>34</v>
      </c>
      <c r="B23" s="11"/>
    </row>
    <row r="24" spans="1:7" x14ac:dyDescent="0.2">
      <c r="A24">
        <f>B15</f>
        <v>0</v>
      </c>
      <c r="F24" t="s">
        <v>43</v>
      </c>
      <c r="G24">
        <v>2019</v>
      </c>
    </row>
    <row r="25" spans="1:7" x14ac:dyDescent="0.2">
      <c r="F25" t="s">
        <v>44</v>
      </c>
      <c r="G25">
        <v>2030</v>
      </c>
    </row>
    <row r="31" spans="1:7" x14ac:dyDescent="0.2">
      <c r="E31" t="s">
        <v>45</v>
      </c>
    </row>
    <row r="32" spans="1:7" x14ac:dyDescent="0.2">
      <c r="D32">
        <v>2015</v>
      </c>
      <c r="E32">
        <v>9750</v>
      </c>
    </row>
    <row r="33" spans="4:14" x14ac:dyDescent="0.2">
      <c r="D33">
        <v>2016</v>
      </c>
      <c r="E33">
        <v>9750</v>
      </c>
    </row>
    <row r="34" spans="4:14" x14ac:dyDescent="0.2">
      <c r="D34">
        <v>2017</v>
      </c>
      <c r="E34">
        <v>9750</v>
      </c>
    </row>
    <row r="35" spans="4:14" x14ac:dyDescent="0.2">
      <c r="D35">
        <v>2018</v>
      </c>
      <c r="E35">
        <f>E34-($E$34-$E$47)/13</f>
        <v>9709.3076923076915</v>
      </c>
    </row>
    <row r="36" spans="4:14" x14ac:dyDescent="0.2">
      <c r="D36">
        <v>2019</v>
      </c>
      <c r="E36">
        <f t="shared" ref="E36:E46" si="1">E35-($E$34-$E$47)/13</f>
        <v>9668.6153846153829</v>
      </c>
    </row>
    <row r="37" spans="4:14" x14ac:dyDescent="0.2">
      <c r="D37">
        <v>2020</v>
      </c>
      <c r="E37">
        <f t="shared" si="1"/>
        <v>9627.9230769230744</v>
      </c>
    </row>
    <row r="38" spans="4:14" x14ac:dyDescent="0.2">
      <c r="D38">
        <v>2021</v>
      </c>
      <c r="E38">
        <f t="shared" si="1"/>
        <v>9587.2307692307659</v>
      </c>
    </row>
    <row r="39" spans="4:14" x14ac:dyDescent="0.2">
      <c r="D39">
        <v>2022</v>
      </c>
      <c r="E39">
        <f t="shared" si="1"/>
        <v>9546.5384615384573</v>
      </c>
    </row>
    <row r="40" spans="4:14" x14ac:dyDescent="0.2">
      <c r="D40">
        <v>2023</v>
      </c>
      <c r="E40">
        <f t="shared" si="1"/>
        <v>9505.8461538461488</v>
      </c>
      <c r="N40" t="s">
        <v>80</v>
      </c>
    </row>
    <row r="41" spans="4:14" x14ac:dyDescent="0.2">
      <c r="D41">
        <v>2024</v>
      </c>
      <c r="E41">
        <f t="shared" si="1"/>
        <v>9465.1538461538403</v>
      </c>
      <c r="K41" t="s">
        <v>78</v>
      </c>
      <c r="L41">
        <v>141.5</v>
      </c>
      <c r="M41">
        <f>L41*1.2/1.08</f>
        <v>157.2222222222222</v>
      </c>
      <c r="N41">
        <f>ROUND(M41,2)</f>
        <v>157.22</v>
      </c>
    </row>
    <row r="42" spans="4:14" x14ac:dyDescent="0.2">
      <c r="D42">
        <v>2025</v>
      </c>
      <c r="E42">
        <f t="shared" si="1"/>
        <v>9424.4615384615317</v>
      </c>
      <c r="K42" t="s">
        <v>12</v>
      </c>
      <c r="L42">
        <v>136.91</v>
      </c>
      <c r="M42">
        <f>L42*1.2/1.08</f>
        <v>152.12222222222221</v>
      </c>
      <c r="N42">
        <f>ROUND(M42,2)</f>
        <v>152.12</v>
      </c>
    </row>
    <row r="43" spans="4:14" x14ac:dyDescent="0.2">
      <c r="D43">
        <v>2026</v>
      </c>
      <c r="E43">
        <f t="shared" si="1"/>
        <v>9383.7692307692232</v>
      </c>
      <c r="K43" t="s">
        <v>79</v>
      </c>
      <c r="L43">
        <v>106.92</v>
      </c>
      <c r="M43">
        <f>L43*1.2/1.08</f>
        <v>118.8</v>
      </c>
      <c r="N43">
        <f>ROUND(M43,2)</f>
        <v>118.8</v>
      </c>
    </row>
    <row r="44" spans="4:14" x14ac:dyDescent="0.2">
      <c r="D44">
        <v>2027</v>
      </c>
      <c r="E44">
        <f t="shared" si="1"/>
        <v>9343.0769230769147</v>
      </c>
    </row>
    <row r="45" spans="4:14" x14ac:dyDescent="0.2">
      <c r="D45">
        <v>2028</v>
      </c>
      <c r="E45">
        <f t="shared" si="1"/>
        <v>9302.3846153846061</v>
      </c>
      <c r="N45" t="s">
        <v>81</v>
      </c>
    </row>
    <row r="46" spans="4:14" x14ac:dyDescent="0.2">
      <c r="D46">
        <v>2029</v>
      </c>
      <c r="E46">
        <f t="shared" si="1"/>
        <v>9261.6923076922976</v>
      </c>
      <c r="K46" t="s">
        <v>78</v>
      </c>
      <c r="L46">
        <v>5.44</v>
      </c>
      <c r="M46">
        <f>L46/1.08</f>
        <v>5.0370370370370372</v>
      </c>
      <c r="N46">
        <f>ROUND(M46,2)</f>
        <v>5.04</v>
      </c>
    </row>
    <row r="47" spans="4:14" x14ac:dyDescent="0.2">
      <c r="D47">
        <v>2030</v>
      </c>
      <c r="E47">
        <v>9221</v>
      </c>
      <c r="K47" t="s">
        <v>12</v>
      </c>
      <c r="L47">
        <v>2.67</v>
      </c>
      <c r="M47">
        <f t="shared" ref="M47:M48" si="2">L47/1.08</f>
        <v>2.4722222222222219</v>
      </c>
      <c r="N47">
        <f>ROUND(M47,2)</f>
        <v>2.4700000000000002</v>
      </c>
    </row>
    <row r="48" spans="4:14" x14ac:dyDescent="0.2">
      <c r="D48">
        <v>2031</v>
      </c>
      <c r="E48">
        <v>9221</v>
      </c>
      <c r="K48" t="s">
        <v>79</v>
      </c>
      <c r="L48">
        <v>3.38</v>
      </c>
      <c r="M48">
        <f t="shared" si="2"/>
        <v>3.1296296296296293</v>
      </c>
      <c r="N48">
        <f>ROUND(M48,2)</f>
        <v>3.13</v>
      </c>
    </row>
    <row r="49" spans="4:5" x14ac:dyDescent="0.2">
      <c r="D49">
        <v>2032</v>
      </c>
      <c r="E49">
        <v>9221</v>
      </c>
    </row>
    <row r="50" spans="4:5" x14ac:dyDescent="0.2">
      <c r="D50">
        <v>2033</v>
      </c>
      <c r="E50">
        <v>9221</v>
      </c>
    </row>
    <row r="51" spans="4:5" x14ac:dyDescent="0.2">
      <c r="D51">
        <v>2034</v>
      </c>
      <c r="E51">
        <v>9221</v>
      </c>
    </row>
    <row r="52" spans="4:5" x14ac:dyDescent="0.2">
      <c r="D52">
        <v>2035</v>
      </c>
      <c r="E52">
        <v>9221</v>
      </c>
    </row>
    <row r="53" spans="4:5" x14ac:dyDescent="0.2">
      <c r="D53">
        <v>2036</v>
      </c>
      <c r="E53">
        <v>9221</v>
      </c>
    </row>
    <row r="54" spans="4:5" x14ac:dyDescent="0.2">
      <c r="D54">
        <v>2037</v>
      </c>
      <c r="E54">
        <v>9221</v>
      </c>
    </row>
    <row r="55" spans="4:5" x14ac:dyDescent="0.2">
      <c r="D55">
        <v>2038</v>
      </c>
      <c r="E55">
        <v>9221</v>
      </c>
    </row>
    <row r="56" spans="4:5" x14ac:dyDescent="0.2">
      <c r="D56">
        <v>2039</v>
      </c>
      <c r="E56">
        <v>9221</v>
      </c>
    </row>
    <row r="57" spans="4:5" x14ac:dyDescent="0.2">
      <c r="D57">
        <v>2040</v>
      </c>
      <c r="E57">
        <v>9221</v>
      </c>
    </row>
    <row r="58" spans="4:5" x14ac:dyDescent="0.2">
      <c r="D58">
        <v>2041</v>
      </c>
      <c r="E58">
        <v>9221</v>
      </c>
    </row>
    <row r="59" spans="4:5" x14ac:dyDescent="0.2">
      <c r="D59">
        <v>2042</v>
      </c>
      <c r="E59">
        <v>9221</v>
      </c>
    </row>
    <row r="60" spans="4:5" x14ac:dyDescent="0.2">
      <c r="D60">
        <v>2043</v>
      </c>
      <c r="E60">
        <v>9221</v>
      </c>
    </row>
    <row r="61" spans="4:5" x14ac:dyDescent="0.2">
      <c r="D61">
        <v>2044</v>
      </c>
      <c r="E61">
        <v>9221</v>
      </c>
    </row>
    <row r="62" spans="4:5" x14ac:dyDescent="0.2">
      <c r="D62">
        <v>2045</v>
      </c>
      <c r="E62">
        <v>9221</v>
      </c>
    </row>
    <row r="63" spans="4:5" x14ac:dyDescent="0.2">
      <c r="D63">
        <v>2046</v>
      </c>
      <c r="E63">
        <v>9221</v>
      </c>
    </row>
    <row r="64" spans="4:5" x14ac:dyDescent="0.2">
      <c r="D64">
        <v>2047</v>
      </c>
      <c r="E64">
        <v>9221</v>
      </c>
    </row>
    <row r="65" spans="4:5" x14ac:dyDescent="0.2">
      <c r="D65">
        <v>2048</v>
      </c>
      <c r="E65">
        <v>9221</v>
      </c>
    </row>
    <row r="66" spans="4:5" x14ac:dyDescent="0.2">
      <c r="D66">
        <v>2049</v>
      </c>
      <c r="E66">
        <v>9221</v>
      </c>
    </row>
    <row r="67" spans="4:5" x14ac:dyDescent="0.2">
      <c r="D67">
        <v>2050</v>
      </c>
      <c r="E67">
        <v>9221</v>
      </c>
    </row>
  </sheetData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Capital Costs - R2</vt:lpstr>
      <vt:lpstr>O&amp;M, Heat Rates</vt:lpstr>
    </vt:vector>
  </TitlesOfParts>
  <Company>Skellmo Productions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FtabMan</dc:creator>
  <cp:lastModifiedBy>Cole, Wesley</cp:lastModifiedBy>
  <dcterms:created xsi:type="dcterms:W3CDTF">2007-11-20T11:35:07Z</dcterms:created>
  <dcterms:modified xsi:type="dcterms:W3CDTF">2025-05-07T14:46:47Z</dcterms:modified>
</cp:coreProperties>
</file>