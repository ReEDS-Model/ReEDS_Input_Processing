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codeName="ThisWorkbook" defaultThemeVersion="124226"/>
  <mc:AlternateContent xmlns:mc="http://schemas.openxmlformats.org/markup-compatibility/2006">
    <mc:Choice Requires="x15">
      <x15ac:absPath xmlns:x15ac="http://schemas.microsoft.com/office/spreadsheetml/2010/11/ac" url="C:\ReEDS\ReEDS-2.0_Input_Processing\AEO_Updates\"/>
    </mc:Choice>
  </mc:AlternateContent>
  <xr:revisionPtr revIDLastSave="0" documentId="13_ncr:1_{A7B5F178-97C9-493F-A88B-3A6FAB6AB3C5}" xr6:coauthVersionLast="47" xr6:coauthVersionMax="47" xr10:uidLastSave="{00000000-0000-0000-0000-000000000000}"/>
  <bookViews>
    <workbookView xWindow="28680" yWindow="-120" windowWidth="29040" windowHeight="15720" xr2:uid="{00000000-000D-0000-FFFF-FFFF00000000}"/>
  </bookViews>
  <sheets>
    <sheet name="Prices by Case" sheetId="4" r:id="rId1"/>
    <sheet name="Demand by Case" sheetId="7" r:id="rId2"/>
    <sheet name="NG Alphas" sheetId="8" r:id="rId3"/>
    <sheet name="Price Ratios" sheetId="12" r:id="rId4"/>
    <sheet name="Beta Adjustment" sheetId="13" r:id="rId5"/>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1" i="7" l="1"/>
  <c r="P30" i="7"/>
  <c r="P29" i="7"/>
  <c r="P28" i="7"/>
  <c r="P27" i="7"/>
  <c r="P25" i="7"/>
  <c r="P24" i="7"/>
  <c r="P23" i="7"/>
  <c r="P22" i="7"/>
  <c r="P21" i="7"/>
  <c r="P20" i="7"/>
  <c r="P19" i="7"/>
  <c r="P18" i="7"/>
  <c r="P17" i="7"/>
  <c r="P15" i="7"/>
  <c r="P14" i="7"/>
  <c r="P13" i="7"/>
  <c r="P12" i="7"/>
  <c r="P7" i="7"/>
  <c r="P8" i="7"/>
  <c r="P9" i="7"/>
  <c r="P10" i="7"/>
  <c r="P5" i="7"/>
  <c r="P4" i="7"/>
  <c r="P3" i="7"/>
  <c r="P2" i="7"/>
  <c r="P11" i="7"/>
  <c r="E15" i="8"/>
  <c r="F15" i="8"/>
  <c r="G15" i="8"/>
  <c r="H15" i="8"/>
  <c r="I15" i="8"/>
  <c r="E16" i="8"/>
  <c r="F16" i="8"/>
  <c r="G16" i="8"/>
  <c r="H16" i="8"/>
  <c r="I16" i="8"/>
  <c r="E17" i="8"/>
  <c r="F17" i="8"/>
  <c r="G17" i="8"/>
  <c r="H17" i="8"/>
  <c r="I17" i="8"/>
  <c r="E18" i="8"/>
  <c r="F18" i="8"/>
  <c r="G18" i="8"/>
  <c r="H18" i="8"/>
  <c r="I18" i="8"/>
  <c r="E19" i="8"/>
  <c r="F19" i="8"/>
  <c r="G19" i="8"/>
  <c r="H19" i="8"/>
  <c r="I19" i="8"/>
  <c r="E20" i="8"/>
  <c r="F20" i="8"/>
  <c r="G20" i="8"/>
  <c r="H20" i="8"/>
  <c r="I20" i="8"/>
  <c r="E21" i="8"/>
  <c r="F21" i="8"/>
  <c r="G21" i="8"/>
  <c r="H21" i="8"/>
  <c r="I21" i="8"/>
  <c r="E22" i="8"/>
  <c r="F22" i="8"/>
  <c r="G22" i="8"/>
  <c r="H22" i="8"/>
  <c r="I22" i="8"/>
  <c r="E23" i="8"/>
  <c r="F23" i="8"/>
  <c r="G23" i="8"/>
  <c r="H23" i="8"/>
  <c r="I23" i="8"/>
  <c r="E24" i="8"/>
  <c r="F24" i="8"/>
  <c r="G24" i="8"/>
  <c r="H24" i="8"/>
  <c r="I24" i="8"/>
  <c r="E25" i="8"/>
  <c r="F25" i="8"/>
  <c r="G25" i="8"/>
  <c r="H25" i="8"/>
  <c r="I25" i="8"/>
  <c r="E26" i="8"/>
  <c r="F26" i="8"/>
  <c r="G26" i="8"/>
  <c r="H26" i="8"/>
  <c r="I26" i="8"/>
  <c r="E27" i="8"/>
  <c r="F27" i="8"/>
  <c r="G27" i="8"/>
  <c r="H27" i="8"/>
  <c r="I27" i="8"/>
  <c r="E28" i="8"/>
  <c r="F28" i="8"/>
  <c r="G28" i="8"/>
  <c r="H28" i="8"/>
  <c r="I28" i="8"/>
  <c r="E29" i="8"/>
  <c r="F29" i="8"/>
  <c r="G29" i="8"/>
  <c r="H29" i="8"/>
  <c r="I29" i="8"/>
  <c r="E30" i="8"/>
  <c r="F30" i="8"/>
  <c r="G30" i="8"/>
  <c r="H30" i="8"/>
  <c r="I30" i="8"/>
  <c r="E31" i="8"/>
  <c r="F31" i="8"/>
  <c r="G31" i="8"/>
  <c r="H31" i="8"/>
  <c r="I31" i="8"/>
  <c r="E32" i="8"/>
  <c r="F32" i="8"/>
  <c r="G32" i="8"/>
  <c r="H32" i="8"/>
  <c r="I32" i="8"/>
  <c r="E33" i="8"/>
  <c r="F33" i="8"/>
  <c r="G33" i="8"/>
  <c r="H33" i="8"/>
  <c r="I33" i="8"/>
  <c r="E34" i="8"/>
  <c r="F34" i="8"/>
  <c r="G34" i="8"/>
  <c r="H34" i="8"/>
  <c r="I34" i="8"/>
  <c r="D15" i="8"/>
  <c r="D16" i="8"/>
  <c r="D17" i="8"/>
  <c r="D18" i="8"/>
  <c r="D19" i="8"/>
  <c r="D20" i="8"/>
  <c r="D21" i="8"/>
  <c r="D22" i="8"/>
  <c r="D23" i="8"/>
  <c r="D24" i="8"/>
  <c r="D25" i="8"/>
  <c r="D26" i="8"/>
  <c r="D27" i="8"/>
  <c r="D28" i="8"/>
  <c r="D29" i="8"/>
  <c r="D30" i="8"/>
  <c r="D31" i="8"/>
  <c r="D32" i="8"/>
  <c r="D33" i="8"/>
  <c r="D34" i="8"/>
  <c r="D6" i="8"/>
  <c r="D7" i="8"/>
  <c r="D8" i="8"/>
  <c r="D9" i="8"/>
  <c r="D10" i="8"/>
  <c r="D11" i="8"/>
  <c r="D12" i="8"/>
  <c r="D13" i="8"/>
  <c r="D14" i="8"/>
  <c r="D5" i="8"/>
  <c r="E5" i="8"/>
  <c r="F5" i="8"/>
  <c r="G5" i="8"/>
  <c r="H5" i="8"/>
  <c r="I5" i="8"/>
  <c r="E6" i="8"/>
  <c r="F6" i="8"/>
  <c r="G6" i="8"/>
  <c r="H6" i="8"/>
  <c r="I6" i="8"/>
  <c r="E7" i="8"/>
  <c r="F7" i="8"/>
  <c r="G7" i="8"/>
  <c r="H7" i="8"/>
  <c r="I7" i="8"/>
  <c r="E8" i="8"/>
  <c r="F8" i="8"/>
  <c r="G8" i="8"/>
  <c r="H8" i="8"/>
  <c r="I8" i="8"/>
  <c r="E9" i="8"/>
  <c r="F9" i="8"/>
  <c r="G9" i="8"/>
  <c r="H9" i="8"/>
  <c r="I9" i="8"/>
  <c r="E10" i="8"/>
  <c r="F10" i="8"/>
  <c r="G10" i="8"/>
  <c r="H10" i="8"/>
  <c r="I10" i="8"/>
  <c r="E11" i="8"/>
  <c r="F11" i="8"/>
  <c r="G11" i="8"/>
  <c r="H11" i="8"/>
  <c r="I11" i="8"/>
  <c r="E12" i="8"/>
  <c r="F12" i="8"/>
  <c r="G12" i="8"/>
  <c r="H12" i="8"/>
  <c r="I12" i="8"/>
  <c r="E13" i="8"/>
  <c r="F13" i="8"/>
  <c r="G13" i="8"/>
  <c r="H13" i="8"/>
  <c r="I13" i="8"/>
  <c r="E14" i="8"/>
  <c r="F14" i="8"/>
  <c r="G14" i="8"/>
  <c r="H14" i="8"/>
  <c r="I14" i="8"/>
  <c r="J5" i="8"/>
  <c r="I14" i="13" l="1"/>
  <c r="I12" i="13"/>
  <c r="I11" i="13"/>
  <c r="I10" i="13"/>
  <c r="I9" i="13"/>
  <c r="I8" i="13"/>
  <c r="I7" i="13"/>
  <c r="I6" i="13"/>
  <c r="I5" i="13"/>
  <c r="I4" i="13"/>
  <c r="I3" i="13"/>
  <c r="AH2" i="12" l="1"/>
  <c r="AI2" i="12"/>
  <c r="AJ2" i="12"/>
  <c r="AK2" i="12"/>
  <c r="AL2" i="12"/>
  <c r="AM2" i="12"/>
  <c r="AN2" i="12"/>
  <c r="AO2" i="12"/>
  <c r="AP2" i="12"/>
  <c r="AQ2" i="12"/>
  <c r="AH3" i="12"/>
  <c r="AI3" i="12"/>
  <c r="AJ3" i="12"/>
  <c r="AK3" i="12"/>
  <c r="AL3" i="12"/>
  <c r="AM3" i="12"/>
  <c r="AN3" i="12"/>
  <c r="AO3" i="12"/>
  <c r="AP3" i="12"/>
  <c r="AQ3" i="12"/>
  <c r="AH4" i="12"/>
  <c r="AI4" i="12"/>
  <c r="AJ4" i="12"/>
  <c r="AK4" i="12"/>
  <c r="AL4" i="12"/>
  <c r="AM4" i="12"/>
  <c r="AN4" i="12"/>
  <c r="AO4" i="12"/>
  <c r="AP4" i="12"/>
  <c r="AQ4" i="12"/>
  <c r="AH5" i="12"/>
  <c r="AI5" i="12"/>
  <c r="AJ5" i="12"/>
  <c r="AK5" i="12"/>
  <c r="AL5" i="12"/>
  <c r="AM5" i="12"/>
  <c r="AN5" i="12"/>
  <c r="AO5" i="12"/>
  <c r="AP5" i="12"/>
  <c r="AQ5" i="12"/>
  <c r="AH6" i="12"/>
  <c r="AI6" i="12"/>
  <c r="AJ6" i="12"/>
  <c r="AK6" i="12"/>
  <c r="AL6" i="12"/>
  <c r="AM6" i="12"/>
  <c r="AN6" i="12"/>
  <c r="AO6" i="12"/>
  <c r="AP6" i="12"/>
  <c r="AQ6" i="12"/>
  <c r="AH7" i="12"/>
  <c r="AI7" i="12"/>
  <c r="AJ7" i="12"/>
  <c r="AK7" i="12"/>
  <c r="AL7" i="12"/>
  <c r="AM7" i="12"/>
  <c r="AN7" i="12"/>
  <c r="AO7" i="12"/>
  <c r="AP7" i="12"/>
  <c r="AQ7" i="12"/>
  <c r="AH8" i="12"/>
  <c r="AI8" i="12"/>
  <c r="AJ8" i="12"/>
  <c r="AK8" i="12"/>
  <c r="AL8" i="12"/>
  <c r="AM8" i="12"/>
  <c r="AN8" i="12"/>
  <c r="AO8" i="12"/>
  <c r="AP8" i="12"/>
  <c r="AQ8" i="12"/>
  <c r="AH9" i="12"/>
  <c r="AI9" i="12"/>
  <c r="AJ9" i="12"/>
  <c r="AK9" i="12"/>
  <c r="AL9" i="12"/>
  <c r="AM9" i="12"/>
  <c r="AN9" i="12"/>
  <c r="AO9" i="12"/>
  <c r="AP9" i="12"/>
  <c r="AQ9" i="12"/>
  <c r="AH10" i="12"/>
  <c r="AI10" i="12"/>
  <c r="AJ10" i="12"/>
  <c r="AK10" i="12"/>
  <c r="AL10" i="12"/>
  <c r="AM10" i="12"/>
  <c r="AN10" i="12"/>
  <c r="AO10" i="12"/>
  <c r="AP10" i="12"/>
  <c r="AQ10" i="12"/>
  <c r="AH11" i="12"/>
  <c r="AI11" i="12"/>
  <c r="AJ11" i="12"/>
  <c r="AK11" i="12"/>
  <c r="AL11" i="12"/>
  <c r="AM11" i="12"/>
  <c r="AN11" i="12"/>
  <c r="AO11" i="12"/>
  <c r="AP11" i="12"/>
  <c r="AQ11" i="12"/>
  <c r="AH12" i="12"/>
  <c r="AI12" i="12"/>
  <c r="AJ12" i="12"/>
  <c r="AK12" i="12"/>
  <c r="AL12" i="12"/>
  <c r="AM12" i="12"/>
  <c r="AN12" i="12"/>
  <c r="AO12" i="12"/>
  <c r="AP12" i="12"/>
  <c r="AQ12" i="12"/>
  <c r="AH13" i="12"/>
  <c r="AI13" i="12"/>
  <c r="AJ13" i="12"/>
  <c r="AK13" i="12"/>
  <c r="AL13" i="12"/>
  <c r="AM13" i="12"/>
  <c r="AN13" i="12"/>
  <c r="AO13" i="12"/>
  <c r="AP13" i="12"/>
  <c r="AQ13" i="12"/>
  <c r="AH14" i="12"/>
  <c r="AI14" i="12"/>
  <c r="AJ14" i="12"/>
  <c r="AK14" i="12"/>
  <c r="AL14" i="12"/>
  <c r="AM14" i="12"/>
  <c r="AN14" i="12"/>
  <c r="AO14" i="12"/>
  <c r="AP14" i="12"/>
  <c r="AQ14" i="12"/>
  <c r="AH15" i="12"/>
  <c r="AI15" i="12"/>
  <c r="AJ15" i="12"/>
  <c r="AK15" i="12"/>
  <c r="AL15" i="12"/>
  <c r="AM15" i="12"/>
  <c r="AN15" i="12"/>
  <c r="AO15" i="12"/>
  <c r="AP15" i="12"/>
  <c r="AQ15" i="12"/>
  <c r="AH16" i="12"/>
  <c r="AI16" i="12"/>
  <c r="AJ16" i="12"/>
  <c r="AK16" i="12"/>
  <c r="AL16" i="12"/>
  <c r="AM16" i="12"/>
  <c r="AN16" i="12"/>
  <c r="AO16" i="12"/>
  <c r="AP16" i="12"/>
  <c r="AQ16" i="12"/>
  <c r="AH17" i="12"/>
  <c r="AI17" i="12"/>
  <c r="AJ17" i="12"/>
  <c r="AK17" i="12"/>
  <c r="AL17" i="12"/>
  <c r="AM17" i="12"/>
  <c r="AN17" i="12"/>
  <c r="AO17" i="12"/>
  <c r="AP17" i="12"/>
  <c r="AQ17" i="12"/>
  <c r="AH18" i="12"/>
  <c r="AI18" i="12"/>
  <c r="AJ18" i="12"/>
  <c r="AK18" i="12"/>
  <c r="AL18" i="12"/>
  <c r="AM18" i="12"/>
  <c r="AN18" i="12"/>
  <c r="AO18" i="12"/>
  <c r="AP18" i="12"/>
  <c r="AQ18" i="12"/>
  <c r="AH19" i="12"/>
  <c r="AI19" i="12"/>
  <c r="AJ19" i="12"/>
  <c r="AK19" i="12"/>
  <c r="AL19" i="12"/>
  <c r="AM19" i="12"/>
  <c r="AN19" i="12"/>
  <c r="AO19" i="12"/>
  <c r="AP19" i="12"/>
  <c r="AQ19" i="12"/>
  <c r="AH20" i="12"/>
  <c r="AI20" i="12"/>
  <c r="AJ20" i="12"/>
  <c r="AK20" i="12"/>
  <c r="AL20" i="12"/>
  <c r="AM20" i="12"/>
  <c r="AN20" i="12"/>
  <c r="AO20" i="12"/>
  <c r="AP20" i="12"/>
  <c r="AQ20" i="12"/>
  <c r="AH21" i="12"/>
  <c r="AI21" i="12"/>
  <c r="AJ21" i="12"/>
  <c r="AK21" i="12"/>
  <c r="AL21" i="12"/>
  <c r="AM21" i="12"/>
  <c r="AN21" i="12"/>
  <c r="AO21" i="12"/>
  <c r="AP21" i="12"/>
  <c r="AQ21" i="12"/>
  <c r="AH22" i="12"/>
  <c r="AI22" i="12"/>
  <c r="AJ22" i="12"/>
  <c r="AK22" i="12"/>
  <c r="AL22" i="12"/>
  <c r="AM22" i="12"/>
  <c r="AN22" i="12"/>
  <c r="AO22" i="12"/>
  <c r="AP22" i="12"/>
  <c r="AQ22" i="12"/>
  <c r="AH23" i="12"/>
  <c r="AI23" i="12"/>
  <c r="AJ23" i="12"/>
  <c r="AK23" i="12"/>
  <c r="AL23" i="12"/>
  <c r="AM23" i="12"/>
  <c r="AN23" i="12"/>
  <c r="AO23" i="12"/>
  <c r="AP23" i="12"/>
  <c r="AQ23" i="12"/>
  <c r="AH24" i="12"/>
  <c r="AI24" i="12"/>
  <c r="AJ24" i="12"/>
  <c r="AK24" i="12"/>
  <c r="AL24" i="12"/>
  <c r="AM24" i="12"/>
  <c r="AN24" i="12"/>
  <c r="AO24" i="12"/>
  <c r="AP24" i="12"/>
  <c r="AQ24" i="12"/>
  <c r="AH25" i="12"/>
  <c r="AI25" i="12"/>
  <c r="AJ25" i="12"/>
  <c r="AK25" i="12"/>
  <c r="AL25" i="12"/>
  <c r="AM25" i="12"/>
  <c r="AN25" i="12"/>
  <c r="AO25" i="12"/>
  <c r="AP25" i="12"/>
  <c r="AQ25" i="12"/>
  <c r="AH26" i="12"/>
  <c r="AI26" i="12"/>
  <c r="AJ26" i="12"/>
  <c r="AK26" i="12"/>
  <c r="AL26" i="12"/>
  <c r="AM26" i="12"/>
  <c r="AN26" i="12"/>
  <c r="AO26" i="12"/>
  <c r="AP26" i="12"/>
  <c r="AQ26" i="12"/>
  <c r="AH27" i="12"/>
  <c r="AI27" i="12"/>
  <c r="AJ27" i="12"/>
  <c r="AK27" i="12"/>
  <c r="AL27" i="12"/>
  <c r="AM27" i="12"/>
  <c r="AN27" i="12"/>
  <c r="AO27" i="12"/>
  <c r="AP27" i="12"/>
  <c r="AQ27" i="12"/>
  <c r="AH28" i="12"/>
  <c r="AI28" i="12"/>
  <c r="AJ28" i="12"/>
  <c r="AK28" i="12"/>
  <c r="AL28" i="12"/>
  <c r="AM28" i="12"/>
  <c r="AN28" i="12"/>
  <c r="AO28" i="12"/>
  <c r="AP28" i="12"/>
  <c r="AQ28" i="12"/>
  <c r="AH29" i="12"/>
  <c r="AI29" i="12"/>
  <c r="AJ29" i="12"/>
  <c r="AK29" i="12"/>
  <c r="AL29" i="12"/>
  <c r="AM29" i="12"/>
  <c r="AN29" i="12"/>
  <c r="AO29" i="12"/>
  <c r="AP29" i="12"/>
  <c r="AQ29" i="12"/>
  <c r="AH30" i="12"/>
  <c r="AI30" i="12"/>
  <c r="AJ30" i="12"/>
  <c r="AK30" i="12"/>
  <c r="AL30" i="12"/>
  <c r="AM30" i="12"/>
  <c r="AN30" i="12"/>
  <c r="AO30" i="12"/>
  <c r="AP30" i="12"/>
  <c r="AQ30" i="12"/>
  <c r="AH31" i="12"/>
  <c r="AI31" i="12"/>
  <c r="AJ31" i="12"/>
  <c r="AK31" i="12"/>
  <c r="AL31" i="12"/>
  <c r="AM31" i="12"/>
  <c r="AN31" i="12"/>
  <c r="AO31" i="12"/>
  <c r="AP31" i="12"/>
  <c r="AQ31" i="12"/>
  <c r="AI5" i="8"/>
  <c r="AJ5" i="8"/>
  <c r="AK5" i="8"/>
  <c r="AL5" i="8"/>
  <c r="AM5" i="8"/>
  <c r="AN5" i="8"/>
  <c r="AO5" i="8"/>
  <c r="AP5" i="8"/>
  <c r="AQ5" i="8"/>
  <c r="AR5" i="8"/>
  <c r="AI6" i="8"/>
  <c r="AJ6" i="8"/>
  <c r="AK6" i="8"/>
  <c r="AL6" i="8"/>
  <c r="AM6" i="8"/>
  <c r="AN6" i="8"/>
  <c r="AO6" i="8"/>
  <c r="AP6" i="8"/>
  <c r="AQ6" i="8"/>
  <c r="AR6" i="8"/>
  <c r="AI7" i="8"/>
  <c r="AJ7" i="8"/>
  <c r="AK7" i="8"/>
  <c r="AL7" i="8"/>
  <c r="AM7" i="8"/>
  <c r="AN7" i="8"/>
  <c r="AO7" i="8"/>
  <c r="AP7" i="8"/>
  <c r="AQ7" i="8"/>
  <c r="AR7" i="8"/>
  <c r="AI8" i="8"/>
  <c r="AJ8" i="8"/>
  <c r="AK8" i="8"/>
  <c r="AL8" i="8"/>
  <c r="AM8" i="8"/>
  <c r="AN8" i="8"/>
  <c r="AO8" i="8"/>
  <c r="AP8" i="8"/>
  <c r="AQ8" i="8"/>
  <c r="AR8" i="8"/>
  <c r="AI9" i="8"/>
  <c r="AJ9" i="8"/>
  <c r="AK9" i="8"/>
  <c r="AL9" i="8"/>
  <c r="AM9" i="8"/>
  <c r="AN9" i="8"/>
  <c r="AO9" i="8"/>
  <c r="AP9" i="8"/>
  <c r="AQ9" i="8"/>
  <c r="AR9" i="8"/>
  <c r="AI10" i="8"/>
  <c r="AJ10" i="8"/>
  <c r="AK10" i="8"/>
  <c r="AL10" i="8"/>
  <c r="AM10" i="8"/>
  <c r="AN10" i="8"/>
  <c r="AO10" i="8"/>
  <c r="AP10" i="8"/>
  <c r="AQ10" i="8"/>
  <c r="AR10" i="8"/>
  <c r="AI11" i="8"/>
  <c r="AJ11" i="8"/>
  <c r="AK11" i="8"/>
  <c r="AL11" i="8"/>
  <c r="AM11" i="8"/>
  <c r="AN11" i="8"/>
  <c r="AO11" i="8"/>
  <c r="AP11" i="8"/>
  <c r="AQ11" i="8"/>
  <c r="AR11" i="8"/>
  <c r="AI12" i="8"/>
  <c r="AJ12" i="8"/>
  <c r="AK12" i="8"/>
  <c r="AL12" i="8"/>
  <c r="AM12" i="8"/>
  <c r="AN12" i="8"/>
  <c r="AO12" i="8"/>
  <c r="AP12" i="8"/>
  <c r="AQ12" i="8"/>
  <c r="AR12" i="8"/>
  <c r="AI13" i="8"/>
  <c r="AJ13" i="8"/>
  <c r="AK13" i="8"/>
  <c r="AL13" i="8"/>
  <c r="AM13" i="8"/>
  <c r="AN13" i="8"/>
  <c r="AO13" i="8"/>
  <c r="AP13" i="8"/>
  <c r="AQ13" i="8"/>
  <c r="AR13" i="8"/>
  <c r="AI14" i="8"/>
  <c r="AJ14" i="8"/>
  <c r="AK14" i="8"/>
  <c r="AL14" i="8"/>
  <c r="AM14" i="8"/>
  <c r="AN14" i="8"/>
  <c r="AO14" i="8"/>
  <c r="AP14" i="8"/>
  <c r="AQ14" i="8"/>
  <c r="AR14" i="8"/>
  <c r="AI15" i="8"/>
  <c r="AJ15" i="8"/>
  <c r="AK15" i="8"/>
  <c r="AL15" i="8"/>
  <c r="AM15" i="8"/>
  <c r="AN15" i="8"/>
  <c r="AO15" i="8"/>
  <c r="AP15" i="8"/>
  <c r="AQ15" i="8"/>
  <c r="AR15" i="8"/>
  <c r="AI16" i="8"/>
  <c r="AJ16" i="8"/>
  <c r="AK16" i="8"/>
  <c r="AL16" i="8"/>
  <c r="AM16" i="8"/>
  <c r="AN16" i="8"/>
  <c r="AO16" i="8"/>
  <c r="AP16" i="8"/>
  <c r="AQ16" i="8"/>
  <c r="AR16" i="8"/>
  <c r="AI17" i="8"/>
  <c r="AJ17" i="8"/>
  <c r="AK17" i="8"/>
  <c r="AL17" i="8"/>
  <c r="AM17" i="8"/>
  <c r="AN17" i="8"/>
  <c r="AO17" i="8"/>
  <c r="AP17" i="8"/>
  <c r="AQ17" i="8"/>
  <c r="AR17" i="8"/>
  <c r="AI18" i="8"/>
  <c r="AJ18" i="8"/>
  <c r="AK18" i="8"/>
  <c r="AL18" i="8"/>
  <c r="AM18" i="8"/>
  <c r="AN18" i="8"/>
  <c r="AO18" i="8"/>
  <c r="AP18" i="8"/>
  <c r="AQ18" i="8"/>
  <c r="AR18" i="8"/>
  <c r="AI19" i="8"/>
  <c r="AJ19" i="8"/>
  <c r="AK19" i="8"/>
  <c r="AL19" i="8"/>
  <c r="AM19" i="8"/>
  <c r="AN19" i="8"/>
  <c r="AO19" i="8"/>
  <c r="AP19" i="8"/>
  <c r="AQ19" i="8"/>
  <c r="AR19" i="8"/>
  <c r="AI20" i="8"/>
  <c r="AJ20" i="8"/>
  <c r="AK20" i="8"/>
  <c r="AL20" i="8"/>
  <c r="AM20" i="8"/>
  <c r="AN20" i="8"/>
  <c r="AO20" i="8"/>
  <c r="AP20" i="8"/>
  <c r="AQ20" i="8"/>
  <c r="AR20" i="8"/>
  <c r="AI21" i="8"/>
  <c r="AJ21" i="8"/>
  <c r="AK21" i="8"/>
  <c r="AL21" i="8"/>
  <c r="AM21" i="8"/>
  <c r="AN21" i="8"/>
  <c r="AO21" i="8"/>
  <c r="AP21" i="8"/>
  <c r="AQ21" i="8"/>
  <c r="AR21" i="8"/>
  <c r="AI22" i="8"/>
  <c r="AJ22" i="8"/>
  <c r="AK22" i="8"/>
  <c r="AL22" i="8"/>
  <c r="AM22" i="8"/>
  <c r="AN22" i="8"/>
  <c r="AO22" i="8"/>
  <c r="AP22" i="8"/>
  <c r="AQ22" i="8"/>
  <c r="AR22" i="8"/>
  <c r="AI23" i="8"/>
  <c r="AJ23" i="8"/>
  <c r="AK23" i="8"/>
  <c r="AL23" i="8"/>
  <c r="AM23" i="8"/>
  <c r="AN23" i="8"/>
  <c r="AO23" i="8"/>
  <c r="AP23" i="8"/>
  <c r="AQ23" i="8"/>
  <c r="AR23" i="8"/>
  <c r="AI24" i="8"/>
  <c r="AJ24" i="8"/>
  <c r="AK24" i="8"/>
  <c r="AL24" i="8"/>
  <c r="AM24" i="8"/>
  <c r="AN24" i="8"/>
  <c r="AO24" i="8"/>
  <c r="AP24" i="8"/>
  <c r="AQ24" i="8"/>
  <c r="AR24" i="8"/>
  <c r="AI25" i="8"/>
  <c r="AJ25" i="8"/>
  <c r="AK25" i="8"/>
  <c r="AL25" i="8"/>
  <c r="AM25" i="8"/>
  <c r="AN25" i="8"/>
  <c r="AO25" i="8"/>
  <c r="AP25" i="8"/>
  <c r="AQ25" i="8"/>
  <c r="AR25" i="8"/>
  <c r="AI26" i="8"/>
  <c r="AJ26" i="8"/>
  <c r="AK26" i="8"/>
  <c r="AL26" i="8"/>
  <c r="AM26" i="8"/>
  <c r="AN26" i="8"/>
  <c r="AO26" i="8"/>
  <c r="AP26" i="8"/>
  <c r="AQ26" i="8"/>
  <c r="AR26" i="8"/>
  <c r="AI27" i="8"/>
  <c r="AJ27" i="8"/>
  <c r="AK27" i="8"/>
  <c r="AL27" i="8"/>
  <c r="AM27" i="8"/>
  <c r="AN27" i="8"/>
  <c r="AO27" i="8"/>
  <c r="AP27" i="8"/>
  <c r="AQ27" i="8"/>
  <c r="AR27" i="8"/>
  <c r="AI28" i="8"/>
  <c r="AJ28" i="8"/>
  <c r="AK28" i="8"/>
  <c r="AL28" i="8"/>
  <c r="AM28" i="8"/>
  <c r="AN28" i="8"/>
  <c r="AO28" i="8"/>
  <c r="AP28" i="8"/>
  <c r="AQ28" i="8"/>
  <c r="AR28" i="8"/>
  <c r="AI29" i="8"/>
  <c r="AJ29" i="8"/>
  <c r="AK29" i="8"/>
  <c r="AL29" i="8"/>
  <c r="AM29" i="8"/>
  <c r="AN29" i="8"/>
  <c r="AO29" i="8"/>
  <c r="AP29" i="8"/>
  <c r="AQ29" i="8"/>
  <c r="AR29" i="8"/>
  <c r="AI30" i="8"/>
  <c r="AJ30" i="8"/>
  <c r="AK30" i="8"/>
  <c r="AL30" i="8"/>
  <c r="AM30" i="8"/>
  <c r="AN30" i="8"/>
  <c r="AO30" i="8"/>
  <c r="AP30" i="8"/>
  <c r="AQ30" i="8"/>
  <c r="AR30" i="8"/>
  <c r="AI31" i="8"/>
  <c r="AJ31" i="8"/>
  <c r="AK31" i="8"/>
  <c r="AL31" i="8"/>
  <c r="AM31" i="8"/>
  <c r="AN31" i="8"/>
  <c r="AO31" i="8"/>
  <c r="AP31" i="8"/>
  <c r="AQ31" i="8"/>
  <c r="AR31" i="8"/>
  <c r="AI32" i="8"/>
  <c r="AJ32" i="8"/>
  <c r="AK32" i="8"/>
  <c r="AL32" i="8"/>
  <c r="AM32" i="8"/>
  <c r="AN32" i="8"/>
  <c r="AO32" i="8"/>
  <c r="AP32" i="8"/>
  <c r="AQ32" i="8"/>
  <c r="AR32" i="8"/>
  <c r="AI33" i="8"/>
  <c r="AJ33" i="8"/>
  <c r="AK33" i="8"/>
  <c r="AL33" i="8"/>
  <c r="AM33" i="8"/>
  <c r="AN33" i="8"/>
  <c r="AO33" i="8"/>
  <c r="AP33" i="8"/>
  <c r="AQ33" i="8"/>
  <c r="AR33" i="8"/>
  <c r="AI34" i="8"/>
  <c r="AJ34" i="8"/>
  <c r="AK34" i="8"/>
  <c r="AL34" i="8"/>
  <c r="AM34" i="8"/>
  <c r="AN34" i="8"/>
  <c r="AO34" i="8"/>
  <c r="AP34" i="8"/>
  <c r="AQ34" i="8"/>
  <c r="AR34" i="8"/>
  <c r="AH34" i="8" l="1"/>
  <c r="AT34" i="8" s="1"/>
  <c r="AG34" i="8"/>
  <c r="AF34" i="8"/>
  <c r="AE34" i="8"/>
  <c r="AD34" i="8"/>
  <c r="AC34" i="8"/>
  <c r="AB34" i="8"/>
  <c r="AA34" i="8"/>
  <c r="Z34" i="8"/>
  <c r="Y34" i="8"/>
  <c r="X34" i="8"/>
  <c r="W34" i="8"/>
  <c r="V34" i="8"/>
  <c r="U34" i="8"/>
  <c r="T34" i="8"/>
  <c r="S34" i="8"/>
  <c r="R34" i="8"/>
  <c r="Q34" i="8"/>
  <c r="P34" i="8"/>
  <c r="O34" i="8"/>
  <c r="N34" i="8"/>
  <c r="M34" i="8"/>
  <c r="L34" i="8"/>
  <c r="K34" i="8"/>
  <c r="J34" i="8"/>
  <c r="AH33" i="8"/>
  <c r="AT33" i="8" s="1"/>
  <c r="AG33" i="8"/>
  <c r="AF33" i="8"/>
  <c r="AE33" i="8"/>
  <c r="AD33" i="8"/>
  <c r="AC33" i="8"/>
  <c r="AB33" i="8"/>
  <c r="AA33" i="8"/>
  <c r="Z33" i="8"/>
  <c r="Y33" i="8"/>
  <c r="X33" i="8"/>
  <c r="W33" i="8"/>
  <c r="V33" i="8"/>
  <c r="U33" i="8"/>
  <c r="T33" i="8"/>
  <c r="S33" i="8"/>
  <c r="R33" i="8"/>
  <c r="Q33" i="8"/>
  <c r="P33" i="8"/>
  <c r="O33" i="8"/>
  <c r="N33" i="8"/>
  <c r="M33" i="8"/>
  <c r="L33" i="8"/>
  <c r="K33" i="8"/>
  <c r="J33" i="8"/>
  <c r="AH32" i="8"/>
  <c r="AT32" i="8" s="1"/>
  <c r="AG32" i="8"/>
  <c r="AF32" i="8"/>
  <c r="AE32" i="8"/>
  <c r="AD32" i="8"/>
  <c r="AC32" i="8"/>
  <c r="AB32" i="8"/>
  <c r="AA32" i="8"/>
  <c r="Z32" i="8"/>
  <c r="Y32" i="8"/>
  <c r="X32" i="8"/>
  <c r="W32" i="8"/>
  <c r="V32" i="8"/>
  <c r="U32" i="8"/>
  <c r="T32" i="8"/>
  <c r="S32" i="8"/>
  <c r="R32" i="8"/>
  <c r="Q32" i="8"/>
  <c r="P32" i="8"/>
  <c r="O32" i="8"/>
  <c r="N32" i="8"/>
  <c r="M32" i="8"/>
  <c r="L32" i="8"/>
  <c r="K32" i="8"/>
  <c r="J32" i="8"/>
  <c r="AH31" i="8"/>
  <c r="AT31" i="8" s="1"/>
  <c r="AG31" i="8"/>
  <c r="AF31" i="8"/>
  <c r="AE31" i="8"/>
  <c r="AD31" i="8"/>
  <c r="AC31" i="8"/>
  <c r="AB31" i="8"/>
  <c r="AA31" i="8"/>
  <c r="Z31" i="8"/>
  <c r="Y31" i="8"/>
  <c r="X31" i="8"/>
  <c r="W31" i="8"/>
  <c r="V31" i="8"/>
  <c r="U31" i="8"/>
  <c r="T31" i="8"/>
  <c r="S31" i="8"/>
  <c r="R31" i="8"/>
  <c r="Q31" i="8"/>
  <c r="P31" i="8"/>
  <c r="O31" i="8"/>
  <c r="N31" i="8"/>
  <c r="M31" i="8"/>
  <c r="L31" i="8"/>
  <c r="K31" i="8"/>
  <c r="J31" i="8"/>
  <c r="AH30" i="8"/>
  <c r="AT30" i="8" s="1"/>
  <c r="AG30" i="8"/>
  <c r="AF30" i="8"/>
  <c r="AE30" i="8"/>
  <c r="AD30" i="8"/>
  <c r="AC30" i="8"/>
  <c r="AB30" i="8"/>
  <c r="AA30" i="8"/>
  <c r="Z30" i="8"/>
  <c r="Y30" i="8"/>
  <c r="X30" i="8"/>
  <c r="W30" i="8"/>
  <c r="V30" i="8"/>
  <c r="U30" i="8"/>
  <c r="T30" i="8"/>
  <c r="S30" i="8"/>
  <c r="R30" i="8"/>
  <c r="Q30" i="8"/>
  <c r="P30" i="8"/>
  <c r="O30" i="8"/>
  <c r="N30" i="8"/>
  <c r="M30" i="8"/>
  <c r="L30" i="8"/>
  <c r="K30" i="8"/>
  <c r="J30" i="8"/>
  <c r="AH29" i="8"/>
  <c r="AT29" i="8" s="1"/>
  <c r="AG29" i="8"/>
  <c r="AF29" i="8"/>
  <c r="AE29" i="8"/>
  <c r="AD29" i="8"/>
  <c r="AC29" i="8"/>
  <c r="AB29" i="8"/>
  <c r="AA29" i="8"/>
  <c r="Z29" i="8"/>
  <c r="Y29" i="8"/>
  <c r="X29" i="8"/>
  <c r="W29" i="8"/>
  <c r="V29" i="8"/>
  <c r="U29" i="8"/>
  <c r="T29" i="8"/>
  <c r="S29" i="8"/>
  <c r="R29" i="8"/>
  <c r="Q29" i="8"/>
  <c r="P29" i="8"/>
  <c r="O29" i="8"/>
  <c r="N29" i="8"/>
  <c r="M29" i="8"/>
  <c r="L29" i="8"/>
  <c r="K29" i="8"/>
  <c r="J29" i="8"/>
  <c r="AH28" i="8"/>
  <c r="AT28" i="8" s="1"/>
  <c r="AG28" i="8"/>
  <c r="AF28" i="8"/>
  <c r="AE28" i="8"/>
  <c r="AD28" i="8"/>
  <c r="AC28" i="8"/>
  <c r="AB28" i="8"/>
  <c r="AA28" i="8"/>
  <c r="Z28" i="8"/>
  <c r="Y28" i="8"/>
  <c r="X28" i="8"/>
  <c r="W28" i="8"/>
  <c r="V28" i="8"/>
  <c r="U28" i="8"/>
  <c r="T28" i="8"/>
  <c r="S28" i="8"/>
  <c r="R28" i="8"/>
  <c r="Q28" i="8"/>
  <c r="P28" i="8"/>
  <c r="O28" i="8"/>
  <c r="N28" i="8"/>
  <c r="M28" i="8"/>
  <c r="L28" i="8"/>
  <c r="K28" i="8"/>
  <c r="J28" i="8"/>
  <c r="AH27" i="8"/>
  <c r="AT27" i="8" s="1"/>
  <c r="AG27" i="8"/>
  <c r="AF27" i="8"/>
  <c r="AE27" i="8"/>
  <c r="AD27" i="8"/>
  <c r="AC27" i="8"/>
  <c r="AB27" i="8"/>
  <c r="AA27" i="8"/>
  <c r="Z27" i="8"/>
  <c r="Y27" i="8"/>
  <c r="X27" i="8"/>
  <c r="W27" i="8"/>
  <c r="V27" i="8"/>
  <c r="U27" i="8"/>
  <c r="T27" i="8"/>
  <c r="S27" i="8"/>
  <c r="R27" i="8"/>
  <c r="Q27" i="8"/>
  <c r="P27" i="8"/>
  <c r="O27" i="8"/>
  <c r="N27" i="8"/>
  <c r="M27" i="8"/>
  <c r="L27" i="8"/>
  <c r="K27" i="8"/>
  <c r="J27" i="8"/>
  <c r="AH26" i="8"/>
  <c r="AT26" i="8" s="1"/>
  <c r="AG26" i="8"/>
  <c r="AF26" i="8"/>
  <c r="AE26" i="8"/>
  <c r="AD26" i="8"/>
  <c r="AC26" i="8"/>
  <c r="AB26" i="8"/>
  <c r="AA26" i="8"/>
  <c r="Z26" i="8"/>
  <c r="Y26" i="8"/>
  <c r="X26" i="8"/>
  <c r="W26" i="8"/>
  <c r="V26" i="8"/>
  <c r="U26" i="8"/>
  <c r="T26" i="8"/>
  <c r="S26" i="8"/>
  <c r="R26" i="8"/>
  <c r="Q26" i="8"/>
  <c r="P26" i="8"/>
  <c r="O26" i="8"/>
  <c r="N26" i="8"/>
  <c r="M26" i="8"/>
  <c r="L26" i="8"/>
  <c r="K26" i="8"/>
  <c r="J26" i="8"/>
  <c r="AH25" i="8"/>
  <c r="AT25" i="8" s="1"/>
  <c r="AG25" i="8"/>
  <c r="AF25" i="8"/>
  <c r="AE25" i="8"/>
  <c r="AD25" i="8"/>
  <c r="AC25" i="8"/>
  <c r="AB25" i="8"/>
  <c r="AA25" i="8"/>
  <c r="Z25" i="8"/>
  <c r="Y25" i="8"/>
  <c r="X25" i="8"/>
  <c r="W25" i="8"/>
  <c r="V25" i="8"/>
  <c r="U25" i="8"/>
  <c r="T25" i="8"/>
  <c r="S25" i="8"/>
  <c r="R25" i="8"/>
  <c r="Q25" i="8"/>
  <c r="P25" i="8"/>
  <c r="O25" i="8"/>
  <c r="N25" i="8"/>
  <c r="M25" i="8"/>
  <c r="L25" i="8"/>
  <c r="K25" i="8"/>
  <c r="J25" i="8"/>
  <c r="AH24" i="8"/>
  <c r="AT24" i="8" s="1"/>
  <c r="AG24" i="8"/>
  <c r="AF24" i="8"/>
  <c r="AE24" i="8"/>
  <c r="AD24" i="8"/>
  <c r="AC24" i="8"/>
  <c r="AB24" i="8"/>
  <c r="AA24" i="8"/>
  <c r="Z24" i="8"/>
  <c r="Y24" i="8"/>
  <c r="X24" i="8"/>
  <c r="W24" i="8"/>
  <c r="V24" i="8"/>
  <c r="U24" i="8"/>
  <c r="T24" i="8"/>
  <c r="S24" i="8"/>
  <c r="R24" i="8"/>
  <c r="Q24" i="8"/>
  <c r="P24" i="8"/>
  <c r="O24" i="8"/>
  <c r="N24" i="8"/>
  <c r="M24" i="8"/>
  <c r="L24" i="8"/>
  <c r="K24" i="8"/>
  <c r="J24" i="8"/>
  <c r="AH23" i="8"/>
  <c r="AT23" i="8" s="1"/>
  <c r="AG23" i="8"/>
  <c r="AF23" i="8"/>
  <c r="AE23" i="8"/>
  <c r="AD23" i="8"/>
  <c r="AC23" i="8"/>
  <c r="AB23" i="8"/>
  <c r="AA23" i="8"/>
  <c r="Z23" i="8"/>
  <c r="Y23" i="8"/>
  <c r="X23" i="8"/>
  <c r="W23" i="8"/>
  <c r="V23" i="8"/>
  <c r="U23" i="8"/>
  <c r="T23" i="8"/>
  <c r="S23" i="8"/>
  <c r="R23" i="8"/>
  <c r="Q23" i="8"/>
  <c r="P23" i="8"/>
  <c r="O23" i="8"/>
  <c r="N23" i="8"/>
  <c r="M23" i="8"/>
  <c r="L23" i="8"/>
  <c r="K23" i="8"/>
  <c r="J23" i="8"/>
  <c r="AH22" i="8"/>
  <c r="AT22" i="8" s="1"/>
  <c r="AG22" i="8"/>
  <c r="AF22" i="8"/>
  <c r="AE22" i="8"/>
  <c r="AD22" i="8"/>
  <c r="AC22" i="8"/>
  <c r="AB22" i="8"/>
  <c r="AA22" i="8"/>
  <c r="Z22" i="8"/>
  <c r="Y22" i="8"/>
  <c r="X22" i="8"/>
  <c r="W22" i="8"/>
  <c r="V22" i="8"/>
  <c r="U22" i="8"/>
  <c r="T22" i="8"/>
  <c r="S22" i="8"/>
  <c r="R22" i="8"/>
  <c r="Q22" i="8"/>
  <c r="P22" i="8"/>
  <c r="O22" i="8"/>
  <c r="N22" i="8"/>
  <c r="M22" i="8"/>
  <c r="L22" i="8"/>
  <c r="K22" i="8"/>
  <c r="J22" i="8"/>
  <c r="AH21" i="8"/>
  <c r="AT21" i="8" s="1"/>
  <c r="AG21" i="8"/>
  <c r="AF21" i="8"/>
  <c r="AE21" i="8"/>
  <c r="AD21" i="8"/>
  <c r="AC21" i="8"/>
  <c r="AB21" i="8"/>
  <c r="AA21" i="8"/>
  <c r="Z21" i="8"/>
  <c r="Y21" i="8"/>
  <c r="X21" i="8"/>
  <c r="W21" i="8"/>
  <c r="V21" i="8"/>
  <c r="U21" i="8"/>
  <c r="T21" i="8"/>
  <c r="S21" i="8"/>
  <c r="R21" i="8"/>
  <c r="Q21" i="8"/>
  <c r="P21" i="8"/>
  <c r="O21" i="8"/>
  <c r="N21" i="8"/>
  <c r="M21" i="8"/>
  <c r="L21" i="8"/>
  <c r="K21" i="8"/>
  <c r="J21" i="8"/>
  <c r="AH20" i="8"/>
  <c r="AT20" i="8" s="1"/>
  <c r="AG20" i="8"/>
  <c r="AF20" i="8"/>
  <c r="AE20" i="8"/>
  <c r="AD20" i="8"/>
  <c r="AC20" i="8"/>
  <c r="AB20" i="8"/>
  <c r="AA20" i="8"/>
  <c r="Z20" i="8"/>
  <c r="Y20" i="8"/>
  <c r="X20" i="8"/>
  <c r="W20" i="8"/>
  <c r="V20" i="8"/>
  <c r="U20" i="8"/>
  <c r="T20" i="8"/>
  <c r="S20" i="8"/>
  <c r="R20" i="8"/>
  <c r="Q20" i="8"/>
  <c r="P20" i="8"/>
  <c r="O20" i="8"/>
  <c r="N20" i="8"/>
  <c r="M20" i="8"/>
  <c r="L20" i="8"/>
  <c r="K20" i="8"/>
  <c r="J20" i="8"/>
  <c r="AH19" i="8"/>
  <c r="AT19" i="8" s="1"/>
  <c r="AG19" i="8"/>
  <c r="AF19" i="8"/>
  <c r="AE19" i="8"/>
  <c r="AD19" i="8"/>
  <c r="AC19" i="8"/>
  <c r="AB19" i="8"/>
  <c r="AA19" i="8"/>
  <c r="Z19" i="8"/>
  <c r="Y19" i="8"/>
  <c r="X19" i="8"/>
  <c r="W19" i="8"/>
  <c r="V19" i="8"/>
  <c r="U19" i="8"/>
  <c r="T19" i="8"/>
  <c r="S19" i="8"/>
  <c r="R19" i="8"/>
  <c r="Q19" i="8"/>
  <c r="P19" i="8"/>
  <c r="O19" i="8"/>
  <c r="N19" i="8"/>
  <c r="M19" i="8"/>
  <c r="L19" i="8"/>
  <c r="K19" i="8"/>
  <c r="J19" i="8"/>
  <c r="AH18" i="8"/>
  <c r="AT18" i="8" s="1"/>
  <c r="AG18" i="8"/>
  <c r="AF18" i="8"/>
  <c r="AE18" i="8"/>
  <c r="AD18" i="8"/>
  <c r="AC18" i="8"/>
  <c r="AB18" i="8"/>
  <c r="AA18" i="8"/>
  <c r="Z18" i="8"/>
  <c r="Y18" i="8"/>
  <c r="X18" i="8"/>
  <c r="W18" i="8"/>
  <c r="V18" i="8"/>
  <c r="U18" i="8"/>
  <c r="T18" i="8"/>
  <c r="S18" i="8"/>
  <c r="R18" i="8"/>
  <c r="Q18" i="8"/>
  <c r="P18" i="8"/>
  <c r="O18" i="8"/>
  <c r="N18" i="8"/>
  <c r="M18" i="8"/>
  <c r="L18" i="8"/>
  <c r="K18" i="8"/>
  <c r="J18" i="8"/>
  <c r="AH17" i="8"/>
  <c r="AT17" i="8" s="1"/>
  <c r="AG17" i="8"/>
  <c r="AF17" i="8"/>
  <c r="AE17" i="8"/>
  <c r="AD17" i="8"/>
  <c r="AC17" i="8"/>
  <c r="AB17" i="8"/>
  <c r="AA17" i="8"/>
  <c r="Z17" i="8"/>
  <c r="Y17" i="8"/>
  <c r="X17" i="8"/>
  <c r="W17" i="8"/>
  <c r="V17" i="8"/>
  <c r="U17" i="8"/>
  <c r="T17" i="8"/>
  <c r="S17" i="8"/>
  <c r="R17" i="8"/>
  <c r="Q17" i="8"/>
  <c r="P17" i="8"/>
  <c r="O17" i="8"/>
  <c r="N17" i="8"/>
  <c r="M17" i="8"/>
  <c r="L17" i="8"/>
  <c r="K17" i="8"/>
  <c r="J17" i="8"/>
  <c r="AH16" i="8"/>
  <c r="AT16" i="8" s="1"/>
  <c r="AG16" i="8"/>
  <c r="AF16" i="8"/>
  <c r="AE16" i="8"/>
  <c r="AD16" i="8"/>
  <c r="AC16" i="8"/>
  <c r="AB16" i="8"/>
  <c r="AA16" i="8"/>
  <c r="Z16" i="8"/>
  <c r="Y16" i="8"/>
  <c r="X16" i="8"/>
  <c r="W16" i="8"/>
  <c r="V16" i="8"/>
  <c r="U16" i="8"/>
  <c r="T16" i="8"/>
  <c r="S16" i="8"/>
  <c r="R16" i="8"/>
  <c r="Q16" i="8"/>
  <c r="P16" i="8"/>
  <c r="O16" i="8"/>
  <c r="N16" i="8"/>
  <c r="M16" i="8"/>
  <c r="L16" i="8"/>
  <c r="K16" i="8"/>
  <c r="J16" i="8"/>
  <c r="AH15" i="8"/>
  <c r="AT15" i="8" s="1"/>
  <c r="AG15" i="8"/>
  <c r="AF15" i="8"/>
  <c r="AE15" i="8"/>
  <c r="AD15" i="8"/>
  <c r="AC15" i="8"/>
  <c r="AB15" i="8"/>
  <c r="AA15" i="8"/>
  <c r="Z15" i="8"/>
  <c r="Y15" i="8"/>
  <c r="X15" i="8"/>
  <c r="W15" i="8"/>
  <c r="V15" i="8"/>
  <c r="U15" i="8"/>
  <c r="T15" i="8"/>
  <c r="S15" i="8"/>
  <c r="R15" i="8"/>
  <c r="Q15" i="8"/>
  <c r="P15" i="8"/>
  <c r="O15" i="8"/>
  <c r="N15" i="8"/>
  <c r="M15" i="8"/>
  <c r="L15" i="8"/>
  <c r="K15" i="8"/>
  <c r="J15" i="8"/>
  <c r="AH14" i="8"/>
  <c r="AT14" i="8" s="1"/>
  <c r="AG14" i="8"/>
  <c r="AF14" i="8"/>
  <c r="AE14" i="8"/>
  <c r="AD14" i="8"/>
  <c r="AC14" i="8"/>
  <c r="AB14" i="8"/>
  <c r="AA14" i="8"/>
  <c r="Z14" i="8"/>
  <c r="Y14" i="8"/>
  <c r="X14" i="8"/>
  <c r="W14" i="8"/>
  <c r="V14" i="8"/>
  <c r="U14" i="8"/>
  <c r="T14" i="8"/>
  <c r="S14" i="8"/>
  <c r="R14" i="8"/>
  <c r="Q14" i="8"/>
  <c r="P14" i="8"/>
  <c r="O14" i="8"/>
  <c r="N14" i="8"/>
  <c r="M14" i="8"/>
  <c r="L14" i="8"/>
  <c r="K14" i="8"/>
  <c r="J14" i="8"/>
  <c r="AH13" i="8"/>
  <c r="AT13" i="8" s="1"/>
  <c r="AG13" i="8"/>
  <c r="AF13" i="8"/>
  <c r="AE13" i="8"/>
  <c r="AD13" i="8"/>
  <c r="AC13" i="8"/>
  <c r="AB13" i="8"/>
  <c r="AA13" i="8"/>
  <c r="Z13" i="8"/>
  <c r="Y13" i="8"/>
  <c r="X13" i="8"/>
  <c r="W13" i="8"/>
  <c r="V13" i="8"/>
  <c r="U13" i="8"/>
  <c r="T13" i="8"/>
  <c r="S13" i="8"/>
  <c r="R13" i="8"/>
  <c r="Q13" i="8"/>
  <c r="P13" i="8"/>
  <c r="O13" i="8"/>
  <c r="N13" i="8"/>
  <c r="M13" i="8"/>
  <c r="L13" i="8"/>
  <c r="K13" i="8"/>
  <c r="J13" i="8"/>
  <c r="AH12" i="8"/>
  <c r="AT12" i="8" s="1"/>
  <c r="AG12" i="8"/>
  <c r="AF12" i="8"/>
  <c r="AE12" i="8"/>
  <c r="AD12" i="8"/>
  <c r="AC12" i="8"/>
  <c r="AB12" i="8"/>
  <c r="AA12" i="8"/>
  <c r="Z12" i="8"/>
  <c r="Y12" i="8"/>
  <c r="X12" i="8"/>
  <c r="W12" i="8"/>
  <c r="V12" i="8"/>
  <c r="U12" i="8"/>
  <c r="T12" i="8"/>
  <c r="S12" i="8"/>
  <c r="R12" i="8"/>
  <c r="Q12" i="8"/>
  <c r="P12" i="8"/>
  <c r="O12" i="8"/>
  <c r="N12" i="8"/>
  <c r="M12" i="8"/>
  <c r="L12" i="8"/>
  <c r="K12" i="8"/>
  <c r="J12" i="8"/>
  <c r="AH11" i="8"/>
  <c r="AT11" i="8" s="1"/>
  <c r="AG11" i="8"/>
  <c r="AF11" i="8"/>
  <c r="AE11" i="8"/>
  <c r="AD11" i="8"/>
  <c r="AC11" i="8"/>
  <c r="AB11" i="8"/>
  <c r="AA11" i="8"/>
  <c r="Z11" i="8"/>
  <c r="Y11" i="8"/>
  <c r="X11" i="8"/>
  <c r="W11" i="8"/>
  <c r="V11" i="8"/>
  <c r="U11" i="8"/>
  <c r="T11" i="8"/>
  <c r="S11" i="8"/>
  <c r="R11" i="8"/>
  <c r="Q11" i="8"/>
  <c r="P11" i="8"/>
  <c r="O11" i="8"/>
  <c r="N11" i="8"/>
  <c r="M11" i="8"/>
  <c r="L11" i="8"/>
  <c r="K11" i="8"/>
  <c r="J11" i="8"/>
  <c r="AH10" i="8"/>
  <c r="AT10" i="8" s="1"/>
  <c r="AG10" i="8"/>
  <c r="AF10" i="8"/>
  <c r="AE10" i="8"/>
  <c r="AD10" i="8"/>
  <c r="AC10" i="8"/>
  <c r="AB10" i="8"/>
  <c r="AA10" i="8"/>
  <c r="Z10" i="8"/>
  <c r="Y10" i="8"/>
  <c r="X10" i="8"/>
  <c r="W10" i="8"/>
  <c r="V10" i="8"/>
  <c r="U10" i="8"/>
  <c r="T10" i="8"/>
  <c r="S10" i="8"/>
  <c r="R10" i="8"/>
  <c r="Q10" i="8"/>
  <c r="P10" i="8"/>
  <c r="O10" i="8"/>
  <c r="N10" i="8"/>
  <c r="M10" i="8"/>
  <c r="L10" i="8"/>
  <c r="K10" i="8"/>
  <c r="J10" i="8"/>
  <c r="AH9" i="8"/>
  <c r="AT9" i="8" s="1"/>
  <c r="AG9" i="8"/>
  <c r="AF9" i="8"/>
  <c r="AE9" i="8"/>
  <c r="AD9" i="8"/>
  <c r="AC9" i="8"/>
  <c r="AB9" i="8"/>
  <c r="AA9" i="8"/>
  <c r="Z9" i="8"/>
  <c r="Y9" i="8"/>
  <c r="X9" i="8"/>
  <c r="W9" i="8"/>
  <c r="V9" i="8"/>
  <c r="U9" i="8"/>
  <c r="T9" i="8"/>
  <c r="S9" i="8"/>
  <c r="R9" i="8"/>
  <c r="Q9" i="8"/>
  <c r="P9" i="8"/>
  <c r="O9" i="8"/>
  <c r="N9" i="8"/>
  <c r="M9" i="8"/>
  <c r="L9" i="8"/>
  <c r="K9" i="8"/>
  <c r="J9" i="8"/>
  <c r="AH8" i="8"/>
  <c r="AT8" i="8" s="1"/>
  <c r="AG8" i="8"/>
  <c r="AF8" i="8"/>
  <c r="AE8" i="8"/>
  <c r="AD8" i="8"/>
  <c r="AC8" i="8"/>
  <c r="AB8" i="8"/>
  <c r="AA8" i="8"/>
  <c r="Z8" i="8"/>
  <c r="Y8" i="8"/>
  <c r="X8" i="8"/>
  <c r="W8" i="8"/>
  <c r="V8" i="8"/>
  <c r="U8" i="8"/>
  <c r="T8" i="8"/>
  <c r="S8" i="8"/>
  <c r="R8" i="8"/>
  <c r="Q8" i="8"/>
  <c r="P8" i="8"/>
  <c r="O8" i="8"/>
  <c r="N8" i="8"/>
  <c r="M8" i="8"/>
  <c r="L8" i="8"/>
  <c r="K8" i="8"/>
  <c r="J8" i="8"/>
  <c r="AH7" i="8"/>
  <c r="AT7" i="8" s="1"/>
  <c r="AG7" i="8"/>
  <c r="AF7" i="8"/>
  <c r="AE7" i="8"/>
  <c r="AD7" i="8"/>
  <c r="AC7" i="8"/>
  <c r="AB7" i="8"/>
  <c r="AA7" i="8"/>
  <c r="Z7" i="8"/>
  <c r="Y7" i="8"/>
  <c r="X7" i="8"/>
  <c r="W7" i="8"/>
  <c r="V7" i="8"/>
  <c r="U7" i="8"/>
  <c r="T7" i="8"/>
  <c r="S7" i="8"/>
  <c r="R7" i="8"/>
  <c r="Q7" i="8"/>
  <c r="P7" i="8"/>
  <c r="O7" i="8"/>
  <c r="N7" i="8"/>
  <c r="M7" i="8"/>
  <c r="L7" i="8"/>
  <c r="K7" i="8"/>
  <c r="J7" i="8"/>
  <c r="AH6" i="8"/>
  <c r="AT6" i="8" s="1"/>
  <c r="AG6" i="8"/>
  <c r="AF6" i="8"/>
  <c r="AE6" i="8"/>
  <c r="AD6" i="8"/>
  <c r="AC6" i="8"/>
  <c r="AB6" i="8"/>
  <c r="AA6" i="8"/>
  <c r="Z6" i="8"/>
  <c r="Y6" i="8"/>
  <c r="X6" i="8"/>
  <c r="W6" i="8"/>
  <c r="V6" i="8"/>
  <c r="U6" i="8"/>
  <c r="T6" i="8"/>
  <c r="S6" i="8"/>
  <c r="R6" i="8"/>
  <c r="Q6" i="8"/>
  <c r="P6" i="8"/>
  <c r="O6" i="8"/>
  <c r="N6" i="8"/>
  <c r="M6" i="8"/>
  <c r="L6" i="8"/>
  <c r="K6" i="8"/>
  <c r="J6" i="8"/>
  <c r="AH5" i="8"/>
  <c r="AT5" i="8" s="1"/>
  <c r="AG5" i="8"/>
  <c r="AF5" i="8"/>
  <c r="AE5" i="8"/>
  <c r="AD5" i="8"/>
  <c r="AC5" i="8"/>
  <c r="AB5" i="8"/>
  <c r="AA5" i="8"/>
  <c r="Z5" i="8"/>
  <c r="Y5" i="8"/>
  <c r="X5" i="8"/>
  <c r="W5" i="8"/>
  <c r="V5" i="8"/>
  <c r="U5" i="8"/>
  <c r="T5" i="8"/>
  <c r="S5" i="8"/>
  <c r="R5" i="8"/>
  <c r="Q5" i="8"/>
  <c r="P5" i="8"/>
  <c r="O5" i="8"/>
  <c r="N5" i="8"/>
  <c r="M5" i="8"/>
  <c r="L5" i="8"/>
  <c r="K5" i="8"/>
  <c r="D22" i="12" l="1"/>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D23" i="12"/>
  <c r="E23" i="12"/>
  <c r="F23" i="12"/>
  <c r="G23" i="12"/>
  <c r="H23" i="12"/>
  <c r="I23" i="12"/>
  <c r="J23" i="12"/>
  <c r="K23" i="12"/>
  <c r="L23" i="12"/>
  <c r="M23" i="12"/>
  <c r="N23" i="12"/>
  <c r="O23" i="12"/>
  <c r="P23" i="12"/>
  <c r="Q23" i="12"/>
  <c r="R23" i="12"/>
  <c r="S23" i="12"/>
  <c r="T23" i="12"/>
  <c r="U23" i="12"/>
  <c r="V23" i="12"/>
  <c r="W23" i="12"/>
  <c r="X23" i="12"/>
  <c r="Y23" i="12"/>
  <c r="Z23" i="12"/>
  <c r="AA23" i="12"/>
  <c r="AB23" i="12"/>
  <c r="AC23" i="12"/>
  <c r="AD23" i="12"/>
  <c r="AE23" i="12"/>
  <c r="AF23" i="12"/>
  <c r="AG23" i="12"/>
  <c r="D24" i="12"/>
  <c r="E24" i="12"/>
  <c r="F24" i="12"/>
  <c r="G24" i="12"/>
  <c r="H24" i="12"/>
  <c r="I24" i="12"/>
  <c r="J24" i="12"/>
  <c r="K24" i="12"/>
  <c r="L24" i="12"/>
  <c r="M24" i="12"/>
  <c r="N24" i="12"/>
  <c r="O24" i="12"/>
  <c r="P24" i="12"/>
  <c r="Q24" i="12"/>
  <c r="R24" i="12"/>
  <c r="S24" i="12"/>
  <c r="T24" i="12"/>
  <c r="U24" i="12"/>
  <c r="V24" i="12"/>
  <c r="W24" i="12"/>
  <c r="X24" i="12"/>
  <c r="Y24" i="12"/>
  <c r="Z24" i="12"/>
  <c r="AA24" i="12"/>
  <c r="AB24" i="12"/>
  <c r="AC24" i="12"/>
  <c r="AD24" i="12"/>
  <c r="AE24" i="12"/>
  <c r="AF24" i="12"/>
  <c r="AG24" i="12"/>
  <c r="D25" i="12"/>
  <c r="E25" i="12"/>
  <c r="F25" i="12"/>
  <c r="G25" i="12"/>
  <c r="H25" i="12"/>
  <c r="I25" i="12"/>
  <c r="J25" i="12"/>
  <c r="K25" i="12"/>
  <c r="L25" i="12"/>
  <c r="M25" i="12"/>
  <c r="N25" i="12"/>
  <c r="O25" i="12"/>
  <c r="P25" i="12"/>
  <c r="Q25" i="12"/>
  <c r="R25" i="12"/>
  <c r="S25" i="12"/>
  <c r="T25" i="12"/>
  <c r="U25" i="12"/>
  <c r="V25" i="12"/>
  <c r="W25" i="12"/>
  <c r="X25" i="12"/>
  <c r="Y25" i="12"/>
  <c r="Z25" i="12"/>
  <c r="AA25" i="12"/>
  <c r="AB25" i="12"/>
  <c r="AC25" i="12"/>
  <c r="AD25" i="12"/>
  <c r="AE25" i="12"/>
  <c r="AF25" i="12"/>
  <c r="AG25" i="12"/>
  <c r="D26" i="12"/>
  <c r="E26" i="12"/>
  <c r="F26" i="12"/>
  <c r="G26" i="12"/>
  <c r="H26" i="12"/>
  <c r="I26" i="12"/>
  <c r="J26" i="12"/>
  <c r="K26" i="12"/>
  <c r="L26" i="12"/>
  <c r="M26" i="12"/>
  <c r="N26" i="12"/>
  <c r="O26" i="12"/>
  <c r="P26" i="12"/>
  <c r="Q26" i="12"/>
  <c r="R26" i="12"/>
  <c r="S26" i="12"/>
  <c r="T26" i="12"/>
  <c r="U26" i="12"/>
  <c r="V26" i="12"/>
  <c r="W26" i="12"/>
  <c r="X26" i="12"/>
  <c r="Y26" i="12"/>
  <c r="Z26" i="12"/>
  <c r="AA26" i="12"/>
  <c r="AB26" i="12"/>
  <c r="AC26" i="12"/>
  <c r="AD26" i="12"/>
  <c r="AE26" i="12"/>
  <c r="AF26" i="12"/>
  <c r="AG26" i="12"/>
  <c r="D27" i="12"/>
  <c r="E27" i="12"/>
  <c r="F27" i="12"/>
  <c r="G27" i="12"/>
  <c r="H27" i="12"/>
  <c r="I27" i="12"/>
  <c r="J27" i="12"/>
  <c r="K27" i="12"/>
  <c r="L27" i="12"/>
  <c r="M27" i="12"/>
  <c r="N27" i="12"/>
  <c r="O27" i="12"/>
  <c r="P27" i="12"/>
  <c r="Q27" i="12"/>
  <c r="R27" i="12"/>
  <c r="S27" i="12"/>
  <c r="T27" i="12"/>
  <c r="U27" i="12"/>
  <c r="V27" i="12"/>
  <c r="W27" i="12"/>
  <c r="X27" i="12"/>
  <c r="Y27" i="12"/>
  <c r="Z27" i="12"/>
  <c r="AA27" i="12"/>
  <c r="AB27" i="12"/>
  <c r="AC27" i="12"/>
  <c r="AD27" i="12"/>
  <c r="AE27" i="12"/>
  <c r="AF27" i="12"/>
  <c r="AG27" i="12"/>
  <c r="D28" i="12"/>
  <c r="E28" i="12"/>
  <c r="F28" i="12"/>
  <c r="G28" i="12"/>
  <c r="H28" i="12"/>
  <c r="I28" i="12"/>
  <c r="J28" i="12"/>
  <c r="K28" i="12"/>
  <c r="L28" i="12"/>
  <c r="M28" i="12"/>
  <c r="N28" i="12"/>
  <c r="O28" i="12"/>
  <c r="P28" i="12"/>
  <c r="Q28" i="12"/>
  <c r="R28" i="12"/>
  <c r="S28" i="12"/>
  <c r="T28" i="12"/>
  <c r="U28" i="12"/>
  <c r="V28" i="12"/>
  <c r="W28" i="12"/>
  <c r="X28" i="12"/>
  <c r="Y28" i="12"/>
  <c r="Z28" i="12"/>
  <c r="AA28" i="12"/>
  <c r="AB28" i="12"/>
  <c r="AC28" i="12"/>
  <c r="AD28" i="12"/>
  <c r="AE28" i="12"/>
  <c r="AF28" i="12"/>
  <c r="AG28" i="12"/>
  <c r="D29" i="12"/>
  <c r="E29" i="12"/>
  <c r="F29" i="12"/>
  <c r="G29" i="12"/>
  <c r="H29" i="12"/>
  <c r="I29" i="12"/>
  <c r="J29" i="12"/>
  <c r="K29" i="12"/>
  <c r="L29" i="12"/>
  <c r="M29" i="12"/>
  <c r="N29" i="12"/>
  <c r="O29" i="12"/>
  <c r="P29" i="12"/>
  <c r="Q29" i="12"/>
  <c r="R29" i="12"/>
  <c r="S29" i="12"/>
  <c r="T29" i="12"/>
  <c r="U29" i="12"/>
  <c r="V29" i="12"/>
  <c r="W29" i="12"/>
  <c r="X29" i="12"/>
  <c r="Y29" i="12"/>
  <c r="Z29" i="12"/>
  <c r="AA29" i="12"/>
  <c r="AB29" i="12"/>
  <c r="AC29" i="12"/>
  <c r="AD29" i="12"/>
  <c r="AE29" i="12"/>
  <c r="AF29" i="12"/>
  <c r="AG29" i="12"/>
  <c r="D30" i="12"/>
  <c r="E30" i="12"/>
  <c r="F30" i="12"/>
  <c r="G30" i="12"/>
  <c r="H30" i="12"/>
  <c r="I30" i="12"/>
  <c r="J30" i="12"/>
  <c r="K30" i="12"/>
  <c r="L30" i="12"/>
  <c r="M30" i="12"/>
  <c r="N30" i="12"/>
  <c r="O30" i="12"/>
  <c r="P30" i="12"/>
  <c r="Q30" i="12"/>
  <c r="R30" i="12"/>
  <c r="S30" i="12"/>
  <c r="T30" i="12"/>
  <c r="U30" i="12"/>
  <c r="V30" i="12"/>
  <c r="W30" i="12"/>
  <c r="X30" i="12"/>
  <c r="Y30" i="12"/>
  <c r="Z30" i="12"/>
  <c r="AA30" i="12"/>
  <c r="AB30" i="12"/>
  <c r="AC30" i="12"/>
  <c r="AD30" i="12"/>
  <c r="AE30" i="12"/>
  <c r="AF30" i="12"/>
  <c r="AG30" i="12"/>
  <c r="D31" i="12"/>
  <c r="E31" i="12"/>
  <c r="F31" i="12"/>
  <c r="G31" i="12"/>
  <c r="H31" i="12"/>
  <c r="I31" i="12"/>
  <c r="J31" i="12"/>
  <c r="K31" i="12"/>
  <c r="L31" i="12"/>
  <c r="M31" i="12"/>
  <c r="N31" i="12"/>
  <c r="O31" i="12"/>
  <c r="P31" i="12"/>
  <c r="Q31" i="12"/>
  <c r="R31" i="12"/>
  <c r="S31" i="12"/>
  <c r="T31" i="12"/>
  <c r="U31" i="12"/>
  <c r="V31" i="12"/>
  <c r="W31" i="12"/>
  <c r="X31" i="12"/>
  <c r="Y31" i="12"/>
  <c r="Z31" i="12"/>
  <c r="AA31" i="12"/>
  <c r="AB31" i="12"/>
  <c r="AC31" i="12"/>
  <c r="AD31" i="12"/>
  <c r="AE31" i="12"/>
  <c r="AF31" i="12"/>
  <c r="AG31" i="12"/>
  <c r="C31" i="12"/>
  <c r="C30" i="12"/>
  <c r="C29" i="12"/>
  <c r="C28" i="12"/>
  <c r="C27" i="12"/>
  <c r="C26" i="12"/>
  <c r="C25" i="12"/>
  <c r="C24" i="12"/>
  <c r="C23" i="12"/>
  <c r="C22" i="12"/>
  <c r="D12" i="12" l="1"/>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AG12"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AG13" i="12"/>
  <c r="D14" i="12"/>
  <c r="E14" i="12"/>
  <c r="F14" i="12"/>
  <c r="G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AG14" i="12"/>
  <c r="D15" i="12"/>
  <c r="E15" i="12"/>
  <c r="F15" i="12"/>
  <c r="G15" i="12"/>
  <c r="H15" i="12"/>
  <c r="I15" i="12"/>
  <c r="J15" i="12"/>
  <c r="K15" i="12"/>
  <c r="L15" i="12"/>
  <c r="M15" i="12"/>
  <c r="N15" i="12"/>
  <c r="O15" i="12"/>
  <c r="P15" i="12"/>
  <c r="Q15" i="12"/>
  <c r="R15" i="12"/>
  <c r="S15" i="12"/>
  <c r="T15" i="12"/>
  <c r="U15" i="12"/>
  <c r="V15" i="12"/>
  <c r="W15" i="12"/>
  <c r="X15" i="12"/>
  <c r="Y15" i="12"/>
  <c r="Z15" i="12"/>
  <c r="AA15" i="12"/>
  <c r="AB15" i="12"/>
  <c r="AC15" i="12"/>
  <c r="AD15" i="12"/>
  <c r="AE15" i="12"/>
  <c r="AF15" i="12"/>
  <c r="AG15" i="12"/>
  <c r="D16" i="12"/>
  <c r="E16" i="12"/>
  <c r="F16" i="12"/>
  <c r="G16" i="12"/>
  <c r="H16" i="12"/>
  <c r="I16" i="12"/>
  <c r="J16" i="12"/>
  <c r="K16" i="12"/>
  <c r="L16" i="12"/>
  <c r="M16" i="12"/>
  <c r="N16" i="12"/>
  <c r="O16" i="12"/>
  <c r="P16" i="12"/>
  <c r="Q16" i="12"/>
  <c r="R16" i="12"/>
  <c r="S16" i="12"/>
  <c r="T16" i="12"/>
  <c r="U16" i="12"/>
  <c r="V16" i="12"/>
  <c r="W16" i="12"/>
  <c r="X16" i="12"/>
  <c r="Y16" i="12"/>
  <c r="Z16" i="12"/>
  <c r="AA16" i="12"/>
  <c r="AB16" i="12"/>
  <c r="AC16" i="12"/>
  <c r="AD16" i="12"/>
  <c r="AE16" i="12"/>
  <c r="AF16" i="12"/>
  <c r="AG16"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AG17" i="12"/>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D19" i="12"/>
  <c r="E19" i="12"/>
  <c r="F19" i="12"/>
  <c r="G19" i="12"/>
  <c r="H19" i="12"/>
  <c r="I19" i="12"/>
  <c r="J19" i="12"/>
  <c r="K19" i="12"/>
  <c r="L19" i="12"/>
  <c r="M19" i="12"/>
  <c r="N19" i="12"/>
  <c r="O19" i="12"/>
  <c r="P19" i="12"/>
  <c r="Q19" i="12"/>
  <c r="R19" i="12"/>
  <c r="S19" i="12"/>
  <c r="T19" i="12"/>
  <c r="U19" i="12"/>
  <c r="V19" i="12"/>
  <c r="W19" i="12"/>
  <c r="X19" i="12"/>
  <c r="Y19" i="12"/>
  <c r="Z19" i="12"/>
  <c r="AA19" i="12"/>
  <c r="AB19" i="12"/>
  <c r="AC19" i="12"/>
  <c r="AD19" i="12"/>
  <c r="AE19" i="12"/>
  <c r="AF19" i="12"/>
  <c r="AG19"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C13" i="12"/>
  <c r="C14" i="12"/>
  <c r="C15" i="12"/>
  <c r="C16" i="12"/>
  <c r="C17" i="12"/>
  <c r="C18" i="12"/>
  <c r="C19" i="12"/>
  <c r="C20" i="12"/>
  <c r="C21" i="12"/>
  <c r="C12" i="12"/>
  <c r="D2" i="12"/>
  <c r="E2" i="12"/>
  <c r="F2" i="12"/>
  <c r="G2" i="12"/>
  <c r="H2" i="12"/>
  <c r="I2" i="12"/>
  <c r="J2" i="12"/>
  <c r="K2" i="12"/>
  <c r="L2" i="12"/>
  <c r="M2" i="12"/>
  <c r="N2" i="12"/>
  <c r="O2" i="12"/>
  <c r="P2" i="12"/>
  <c r="Q2" i="12"/>
  <c r="R2" i="12"/>
  <c r="S2" i="12"/>
  <c r="T2" i="12"/>
  <c r="U2" i="12"/>
  <c r="V2" i="12"/>
  <c r="W2" i="12"/>
  <c r="X2" i="12"/>
  <c r="Y2" i="12"/>
  <c r="Z2" i="12"/>
  <c r="AA2" i="12"/>
  <c r="AB2" i="12"/>
  <c r="AC2" i="12"/>
  <c r="AD2" i="12"/>
  <c r="AE2" i="12"/>
  <c r="AF2" i="12"/>
  <c r="AG2" i="12"/>
  <c r="D3"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D6" i="12"/>
  <c r="E6" i="12"/>
  <c r="F6" i="12"/>
  <c r="G6" i="12"/>
  <c r="H6" i="12"/>
  <c r="I6" i="12"/>
  <c r="J6" i="12"/>
  <c r="K6" i="12"/>
  <c r="L6" i="12"/>
  <c r="M6" i="12"/>
  <c r="N6" i="12"/>
  <c r="O6" i="12"/>
  <c r="P6" i="12"/>
  <c r="Q6" i="12"/>
  <c r="R6" i="12"/>
  <c r="S6" i="12"/>
  <c r="T6" i="12"/>
  <c r="U6" i="12"/>
  <c r="V6" i="12"/>
  <c r="W6" i="12"/>
  <c r="X6" i="12"/>
  <c r="Y6" i="12"/>
  <c r="Z6" i="12"/>
  <c r="AA6" i="12"/>
  <c r="AB6" i="12"/>
  <c r="AC6" i="12"/>
  <c r="AD6" i="12"/>
  <c r="AE6" i="12"/>
  <c r="AF6" i="12"/>
  <c r="AG6" i="12"/>
  <c r="D7" i="12"/>
  <c r="E7" i="12"/>
  <c r="F7" i="12"/>
  <c r="G7" i="12"/>
  <c r="H7" i="12"/>
  <c r="I7" i="12"/>
  <c r="J7" i="12"/>
  <c r="K7" i="12"/>
  <c r="L7" i="12"/>
  <c r="M7" i="12"/>
  <c r="N7" i="12"/>
  <c r="O7" i="12"/>
  <c r="P7" i="12"/>
  <c r="Q7" i="12"/>
  <c r="R7" i="12"/>
  <c r="S7" i="12"/>
  <c r="T7" i="12"/>
  <c r="U7" i="12"/>
  <c r="V7" i="12"/>
  <c r="W7" i="12"/>
  <c r="X7" i="12"/>
  <c r="Y7" i="12"/>
  <c r="Z7" i="12"/>
  <c r="AA7" i="12"/>
  <c r="AB7" i="12"/>
  <c r="AC7" i="12"/>
  <c r="AD7" i="12"/>
  <c r="AE7" i="12"/>
  <c r="AF7" i="12"/>
  <c r="AG7" i="12"/>
  <c r="D8" i="12"/>
  <c r="E8" i="12"/>
  <c r="F8" i="12"/>
  <c r="G8" i="12"/>
  <c r="H8" i="12"/>
  <c r="I8" i="12"/>
  <c r="J8" i="12"/>
  <c r="K8" i="12"/>
  <c r="L8" i="12"/>
  <c r="M8" i="12"/>
  <c r="N8" i="12"/>
  <c r="O8" i="12"/>
  <c r="P8" i="12"/>
  <c r="Q8" i="12"/>
  <c r="R8" i="12"/>
  <c r="S8" i="12"/>
  <c r="T8" i="12"/>
  <c r="U8" i="12"/>
  <c r="V8" i="12"/>
  <c r="W8" i="12"/>
  <c r="X8" i="12"/>
  <c r="Y8" i="12"/>
  <c r="Z8" i="12"/>
  <c r="AA8" i="12"/>
  <c r="AB8" i="12"/>
  <c r="AC8" i="12"/>
  <c r="AD8" i="12"/>
  <c r="AE8" i="12"/>
  <c r="AF8" i="12"/>
  <c r="AG8"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AG10"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AG11" i="12"/>
  <c r="C3" i="12"/>
  <c r="C4" i="12"/>
  <c r="C5" i="12"/>
  <c r="C6" i="12"/>
  <c r="C7" i="12"/>
  <c r="C8" i="12"/>
  <c r="C9" i="12"/>
  <c r="C10" i="12"/>
  <c r="C11" i="12"/>
  <c r="C2" i="12"/>
</calcChain>
</file>

<file path=xl/sharedStrings.xml><?xml version="1.0" encoding="utf-8"?>
<sst xmlns="http://schemas.openxmlformats.org/spreadsheetml/2006/main" count="286" uniqueCount="34">
  <si>
    <t>Reference Case</t>
  </si>
  <si>
    <t>New England</t>
  </si>
  <si>
    <t>Middle Atlantic</t>
  </si>
  <si>
    <t>East North Central</t>
  </si>
  <si>
    <t>West North Central</t>
  </si>
  <si>
    <t>South Atlantic</t>
  </si>
  <si>
    <t>East South Central</t>
  </si>
  <si>
    <t>West South Central</t>
  </si>
  <si>
    <t>Mountain</t>
  </si>
  <si>
    <t>Pacific</t>
  </si>
  <si>
    <t>Total</t>
  </si>
  <si>
    <t>High O&amp;G Resource</t>
  </si>
  <si>
    <t>Demand in Quads</t>
  </si>
  <si>
    <t>National Beta (2004$/MMBtu per Quad of Demand)</t>
  </si>
  <si>
    <t>Regional Beta</t>
  </si>
  <si>
    <t>Price Ratios</t>
  </si>
  <si>
    <t>Low O&amp;G Resource</t>
  </si>
  <si>
    <t>alphas are 2004$/MMBtu</t>
  </si>
  <si>
    <t>Check</t>
  </si>
  <si>
    <t>Calculated Price</t>
  </si>
  <si>
    <t>AEO Price</t>
  </si>
  <si>
    <t>For 2040</t>
  </si>
  <si>
    <t>Total Power Sector Consumption in 2012 (Quads)</t>
  </si>
  <si>
    <t>CHP Consumption in 2012 (Quads)</t>
  </si>
  <si>
    <t>Old</t>
  </si>
  <si>
    <t>New</t>
  </si>
  <si>
    <t>Region</t>
  </si>
  <si>
    <t>Quads</t>
  </si>
  <si>
    <t>&lt;--Betas have been adjusted to account for the CHP demand that we have added back into the total demand numbers.</t>
  </si>
  <si>
    <t>National</t>
  </si>
  <si>
    <t>Inflation</t>
  </si>
  <si>
    <t>Note: 2023 year in the 2025 projected was adjusted based on the ratio between 2020 NG Henry Hub prices and the 2023 NG Henry Hub prices</t>
  </si>
  <si>
    <t>Prices are 2024$/MMBTU</t>
  </si>
  <si>
    <t>Convert from 2024$ to 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</si>
</sst>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indexed="64"/>
      </bottom>
      <diagonal/>
    </border>
    <border>
      <left/>
      <right/>
      <top style="thin">
        <color indexed="64"/>
      </top>
      <bottom/>
      <diagonal/>
    </border>
    <border>
      <left/>
      <right/>
      <top/>
      <bottom style="thin">
        <color theme="0" tint="-0.499984740745262"/>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horizontal="center"/>
    </xf>
    <xf numFmtId="164" fontId="0" fillId="0" borderId="0" xfId="0" applyNumberFormat="1" applyAlignment="1">
      <alignment horizontal="center"/>
    </xf>
    <xf numFmtId="0" fontId="0" fillId="0" borderId="1" xfId="0" applyBorder="1"/>
    <xf numFmtId="164" fontId="0" fillId="0" borderId="1" xfId="0" applyNumberFormat="1" applyBorder="1" applyAlignment="1">
      <alignment horizontal="center"/>
    </xf>
    <xf numFmtId="0" fontId="0" fillId="0" borderId="2" xfId="0" applyBorder="1"/>
    <xf numFmtId="0" fontId="1" fillId="0" borderId="3" xfId="0" applyFont="1" applyBorder="1"/>
    <xf numFmtId="0" fontId="1" fillId="0" borderId="3" xfId="0" applyFont="1" applyBorder="1" applyAlignment="1">
      <alignment horizontal="center"/>
    </xf>
    <xf numFmtId="2" fontId="0" fillId="0" borderId="0" xfId="0" applyNumberFormat="1"/>
    <xf numFmtId="2" fontId="1" fillId="0" borderId="3" xfId="0" applyNumberFormat="1" applyFont="1" applyBorder="1" applyAlignment="1">
      <alignment horizontal="center"/>
    </xf>
    <xf numFmtId="2" fontId="0" fillId="0" borderId="0" xfId="0" applyNumberFormat="1" applyAlignment="1">
      <alignment horizontal="center"/>
    </xf>
    <xf numFmtId="2" fontId="0" fillId="0" borderId="1" xfId="0" applyNumberFormat="1" applyBorder="1" applyAlignment="1">
      <alignment horizontal="center"/>
    </xf>
    <xf numFmtId="0" fontId="0" fillId="2" borderId="0" xfId="0" applyFill="1"/>
    <xf numFmtId="165" fontId="0" fillId="0" borderId="0" xfId="0" applyNumberFormat="1"/>
    <xf numFmtId="165" fontId="0" fillId="0" borderId="1" xfId="0" applyNumberFormat="1" applyBorder="1"/>
    <xf numFmtId="0" fontId="0" fillId="0" borderId="0" xfId="0" applyBorder="1"/>
    <xf numFmtId="164" fontId="0" fillId="0" borderId="0" xfId="0" applyNumberFormat="1" applyBorder="1" applyAlignment="1">
      <alignment horizontal="center"/>
    </xf>
    <xf numFmtId="164" fontId="0" fillId="0" borderId="2"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'Prices by Case'!$B$2</c:f>
              <c:strCache>
                <c:ptCount val="1"/>
                <c:pt idx="0">
                  <c:v>East North Central</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Case'!$C$2:$AGQ$2</c:f>
              <c:numCache>
                <c:formatCode>General</c:formatCode>
                <c:ptCount val="873"/>
                <c:pt idx="0">
                  <c:v>7.090994508717106</c:v>
                </c:pt>
                <c:pt idx="1">
                  <c:v>6.4152443188854322</c:v>
                </c:pt>
                <c:pt idx="2">
                  <c:v>4.3183962877048669</c:v>
                </c:pt>
                <c:pt idx="3">
                  <c:v>5.6445716047461643</c:v>
                </c:pt>
                <c:pt idx="4">
                  <c:v>6.9015738325704152</c:v>
                </c:pt>
                <c:pt idx="5">
                  <c:v>3.7284692761307245</c:v>
                </c:pt>
                <c:pt idx="6">
                  <c:v>3.6043292687159338</c:v>
                </c:pt>
                <c:pt idx="7">
                  <c:v>4.2513316214100101</c:v>
                </c:pt>
                <c:pt idx="8">
                  <c:v>4.0830605958860016</c:v>
                </c:pt>
                <c:pt idx="9">
                  <c:v>3.0741546450235249</c:v>
                </c:pt>
                <c:pt idx="10">
                  <c:v>2.4336007775091524</c:v>
                </c:pt>
                <c:pt idx="11">
                  <c:v>5.2120498678617588</c:v>
                </c:pt>
                <c:pt idx="12">
                  <c:v>6.7368104551439982</c:v>
                </c:pt>
                <c:pt idx="13">
                  <c:v>2.5766965032266906</c:v>
                </c:pt>
                <c:pt idx="14">
                  <c:v>2.2850799999999998</c:v>
                </c:pt>
                <c:pt idx="15">
                  <c:v>2.8372769999999998</c:v>
                </c:pt>
                <c:pt idx="16">
                  <c:v>2.7632780000000001</c:v>
                </c:pt>
                <c:pt idx="17">
                  <c:v>2.7038120000000001</c:v>
                </c:pt>
                <c:pt idx="18">
                  <c:v>2.7625649999999999</c:v>
                </c:pt>
                <c:pt idx="19">
                  <c:v>2.91825</c:v>
                </c:pt>
                <c:pt idx="20">
                  <c:v>3.0495760000000001</c:v>
                </c:pt>
                <c:pt idx="21">
                  <c:v>3.1700810000000001</c:v>
                </c:pt>
                <c:pt idx="22">
                  <c:v>3.6357740000000001</c:v>
                </c:pt>
                <c:pt idx="23">
                  <c:v>3.8813439999999999</c:v>
                </c:pt>
                <c:pt idx="24">
                  <c:v>3.987692</c:v>
                </c:pt>
                <c:pt idx="25">
                  <c:v>4.0454699999999999</c:v>
                </c:pt>
                <c:pt idx="26">
                  <c:v>4.0368050000000002</c:v>
                </c:pt>
                <c:pt idx="27">
                  <c:v>3.8998759999999999</c:v>
                </c:pt>
                <c:pt idx="28">
                  <c:v>3.733063</c:v>
                </c:pt>
                <c:pt idx="29">
                  <c:v>3.6814089999999999</c:v>
                </c:pt>
                <c:pt idx="30">
                  <c:v>3.6628889999999998</c:v>
                </c:pt>
                <c:pt idx="31">
                  <c:v>3.7237819999999999</c:v>
                </c:pt>
                <c:pt idx="32">
                  <c:v>3.7739699999999998</c:v>
                </c:pt>
                <c:pt idx="33">
                  <c:v>3.8057539999999999</c:v>
                </c:pt>
                <c:pt idx="34">
                  <c:v>3.8000409999999998</c:v>
                </c:pt>
                <c:pt idx="35">
                  <c:v>3.7980499999999999</c:v>
                </c:pt>
                <c:pt idx="36">
                  <c:v>3.8105319999999998</c:v>
                </c:pt>
                <c:pt idx="37">
                  <c:v>3.7706689999999998</c:v>
                </c:pt>
                <c:pt idx="38">
                  <c:v>3.7408440000000001</c:v>
                </c:pt>
                <c:pt idx="39">
                  <c:v>3.6850879999999999</c:v>
                </c:pt>
                <c:pt idx="40">
                  <c:v>3.642668</c:v>
                </c:pt>
              </c:numCache>
            </c:numRef>
          </c:yVal>
          <c:smooth val="0"/>
          <c:extLst>
            <c:ext xmlns:c16="http://schemas.microsoft.com/office/drawing/2014/chart" uri="{C3380CC4-5D6E-409C-BE32-E72D297353CC}">
              <c16:uniqueId val="{00000000-9A41-469D-B14A-CFB1CA71FC5B}"/>
            </c:ext>
          </c:extLst>
        </c:ser>
        <c:ser>
          <c:idx val="1"/>
          <c:order val="1"/>
          <c:tx>
            <c:strRef>
              <c:f>'Prices by Case'!$B$3</c:f>
              <c:strCache>
                <c:ptCount val="1"/>
                <c:pt idx="0">
                  <c:v>East South Central</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Case'!$C$3:$AGQ$3</c:f>
              <c:numCache>
                <c:formatCode>General</c:formatCode>
                <c:ptCount val="873"/>
                <c:pt idx="0">
                  <c:v>6.8646270393788669</c:v>
                </c:pt>
                <c:pt idx="1">
                  <c:v>6.0358029832029461</c:v>
                </c:pt>
                <c:pt idx="2">
                  <c:v>4.1713367840510776</c:v>
                </c:pt>
                <c:pt idx="3">
                  <c:v>5.4256613490178243</c:v>
                </c:pt>
                <c:pt idx="4">
                  <c:v>6.1961337234536131</c:v>
                </c:pt>
                <c:pt idx="5">
                  <c:v>3.8318580449735551</c:v>
                </c:pt>
                <c:pt idx="6">
                  <c:v>3.3489419294063545</c:v>
                </c:pt>
                <c:pt idx="7">
                  <c:v>4.0602410342776896</c:v>
                </c:pt>
                <c:pt idx="8">
                  <c:v>4.0259848629389596</c:v>
                </c:pt>
                <c:pt idx="9">
                  <c:v>3.2921435015159952</c:v>
                </c:pt>
                <c:pt idx="10">
                  <c:v>2.7713175857850891</c:v>
                </c:pt>
                <c:pt idx="11">
                  <c:v>5.9408671964317188</c:v>
                </c:pt>
                <c:pt idx="12">
                  <c:v>7.9109310773429984</c:v>
                </c:pt>
                <c:pt idx="13">
                  <c:v>2.9342710598292521</c:v>
                </c:pt>
                <c:pt idx="14">
                  <c:v>2.645327</c:v>
                </c:pt>
                <c:pt idx="15">
                  <c:v>3.1424280000000002</c:v>
                </c:pt>
                <c:pt idx="16">
                  <c:v>3.0551219999999999</c:v>
                </c:pt>
                <c:pt idx="17">
                  <c:v>2.9886940000000002</c:v>
                </c:pt>
                <c:pt idx="18">
                  <c:v>3.1272180000000001</c:v>
                </c:pt>
                <c:pt idx="19">
                  <c:v>3.3064779999999998</c:v>
                </c:pt>
                <c:pt idx="20">
                  <c:v>3.5123920000000002</c:v>
                </c:pt>
                <c:pt idx="21">
                  <c:v>3.6137549999999998</c:v>
                </c:pt>
                <c:pt idx="22">
                  <c:v>4.0852570000000004</c:v>
                </c:pt>
                <c:pt idx="23">
                  <c:v>4.3885170000000002</c:v>
                </c:pt>
                <c:pt idx="24">
                  <c:v>4.5441950000000002</c:v>
                </c:pt>
                <c:pt idx="25">
                  <c:v>4.609845</c:v>
                </c:pt>
                <c:pt idx="26">
                  <c:v>4.5566940000000002</c:v>
                </c:pt>
                <c:pt idx="27">
                  <c:v>4.4640170000000001</c:v>
                </c:pt>
                <c:pt idx="28">
                  <c:v>4.3762629999999998</c:v>
                </c:pt>
                <c:pt idx="29">
                  <c:v>4.2860940000000003</c:v>
                </c:pt>
                <c:pt idx="30">
                  <c:v>4.2991330000000003</c:v>
                </c:pt>
                <c:pt idx="31">
                  <c:v>4.3616270000000004</c:v>
                </c:pt>
                <c:pt idx="32">
                  <c:v>4.3900119999999996</c:v>
                </c:pt>
                <c:pt idx="33">
                  <c:v>4.5224070000000003</c:v>
                </c:pt>
                <c:pt idx="34">
                  <c:v>4.578125</c:v>
                </c:pt>
                <c:pt idx="35">
                  <c:v>4.5960539999999996</c:v>
                </c:pt>
                <c:pt idx="36">
                  <c:v>4.6652560000000003</c:v>
                </c:pt>
                <c:pt idx="37">
                  <c:v>4.6527609999999999</c:v>
                </c:pt>
                <c:pt idx="38">
                  <c:v>4.5713619999999997</c:v>
                </c:pt>
                <c:pt idx="39">
                  <c:v>4.3889639999999996</c:v>
                </c:pt>
                <c:pt idx="40">
                  <c:v>4.2353579999999997</c:v>
                </c:pt>
              </c:numCache>
            </c:numRef>
          </c:yVal>
          <c:smooth val="0"/>
          <c:extLst>
            <c:ext xmlns:c16="http://schemas.microsoft.com/office/drawing/2014/chart" uri="{C3380CC4-5D6E-409C-BE32-E72D297353CC}">
              <c16:uniqueId val="{00000001-9A41-469D-B14A-CFB1CA71FC5B}"/>
            </c:ext>
          </c:extLst>
        </c:ser>
        <c:ser>
          <c:idx val="2"/>
          <c:order val="2"/>
          <c:tx>
            <c:strRef>
              <c:f>'Prices by Case'!$B$4</c:f>
              <c:strCache>
                <c:ptCount val="1"/>
                <c:pt idx="0">
                  <c:v>Middle Atlantic</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Case'!$C$4:$AGQ$4</c:f>
              <c:numCache>
                <c:formatCode>General</c:formatCode>
                <c:ptCount val="873"/>
                <c:pt idx="0">
                  <c:v>7.8163644994350978</c:v>
                </c:pt>
                <c:pt idx="1">
                  <c:v>7.1816098697838058</c:v>
                </c:pt>
                <c:pt idx="2">
                  <c:v>4.92095484442806</c:v>
                </c:pt>
                <c:pt idx="3">
                  <c:v>6.2217721142422837</c:v>
                </c:pt>
                <c:pt idx="4">
                  <c:v>6.7497855572105729</c:v>
                </c:pt>
                <c:pt idx="5">
                  <c:v>3.8503199987203129</c:v>
                </c:pt>
                <c:pt idx="6">
                  <c:v>3.6610676709662813</c:v>
                </c:pt>
                <c:pt idx="7">
                  <c:v>4.1596902485794329</c:v>
                </c:pt>
                <c:pt idx="8">
                  <c:v>4.2283623169574369</c:v>
                </c:pt>
                <c:pt idx="9">
                  <c:v>3.5693197617014345</c:v>
                </c:pt>
                <c:pt idx="10">
                  <c:v>2.9222608833010848</c:v>
                </c:pt>
                <c:pt idx="11">
                  <c:v>5.3239298173387199</c:v>
                </c:pt>
                <c:pt idx="12">
                  <c:v>6.1751710657979988</c:v>
                </c:pt>
                <c:pt idx="13">
                  <c:v>3.0940898232391887</c:v>
                </c:pt>
                <c:pt idx="14">
                  <c:v>2.26953</c:v>
                </c:pt>
                <c:pt idx="15">
                  <c:v>2.7246649999999999</c:v>
                </c:pt>
                <c:pt idx="16">
                  <c:v>2.7802150000000001</c:v>
                </c:pt>
                <c:pt idx="17">
                  <c:v>2.6369229999999999</c:v>
                </c:pt>
                <c:pt idx="18">
                  <c:v>2.5768119999999999</c:v>
                </c:pt>
                <c:pt idx="19">
                  <c:v>2.6436739999999999</c:v>
                </c:pt>
                <c:pt idx="20">
                  <c:v>2.7737059999999998</c:v>
                </c:pt>
                <c:pt idx="21">
                  <c:v>2.8664689999999999</c:v>
                </c:pt>
                <c:pt idx="22">
                  <c:v>3.2229869999999998</c:v>
                </c:pt>
                <c:pt idx="23">
                  <c:v>3.4833850000000002</c:v>
                </c:pt>
                <c:pt idx="24">
                  <c:v>3.598001</c:v>
                </c:pt>
                <c:pt idx="25">
                  <c:v>3.6316190000000002</c:v>
                </c:pt>
                <c:pt idx="26">
                  <c:v>3.610814</c:v>
                </c:pt>
                <c:pt idx="27">
                  <c:v>3.518157</c:v>
                </c:pt>
                <c:pt idx="28">
                  <c:v>3.376865</c:v>
                </c:pt>
                <c:pt idx="29">
                  <c:v>3.256926</c:v>
                </c:pt>
                <c:pt idx="30">
                  <c:v>3.215503</c:v>
                </c:pt>
                <c:pt idx="31">
                  <c:v>3.252421</c:v>
                </c:pt>
                <c:pt idx="32">
                  <c:v>3.2981530000000001</c:v>
                </c:pt>
                <c:pt idx="33">
                  <c:v>3.3440240000000001</c:v>
                </c:pt>
                <c:pt idx="34">
                  <c:v>3.3472149999999998</c:v>
                </c:pt>
                <c:pt idx="35">
                  <c:v>3.329523</c:v>
                </c:pt>
                <c:pt idx="36">
                  <c:v>3.3935559999999998</c:v>
                </c:pt>
                <c:pt idx="37">
                  <c:v>3.3836680000000001</c:v>
                </c:pt>
                <c:pt idx="38">
                  <c:v>3.3496619999999999</c:v>
                </c:pt>
                <c:pt idx="39">
                  <c:v>3.274235</c:v>
                </c:pt>
                <c:pt idx="40">
                  <c:v>3.1613509999999998</c:v>
                </c:pt>
              </c:numCache>
            </c:numRef>
          </c:yVal>
          <c:smooth val="0"/>
          <c:extLst>
            <c:ext xmlns:c16="http://schemas.microsoft.com/office/drawing/2014/chart" uri="{C3380CC4-5D6E-409C-BE32-E72D297353CC}">
              <c16:uniqueId val="{00000002-9A41-469D-B14A-CFB1CA71FC5B}"/>
            </c:ext>
          </c:extLst>
        </c:ser>
        <c:ser>
          <c:idx val="3"/>
          <c:order val="3"/>
          <c:tx>
            <c:strRef>
              <c:f>'Prices by Case'!$B$5</c:f>
              <c:strCache>
                <c:ptCount val="1"/>
                <c:pt idx="0">
                  <c:v>Mountain</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Case'!$C$5:$AGQ$5</c:f>
              <c:numCache>
                <c:formatCode>General</c:formatCode>
                <c:ptCount val="873"/>
                <c:pt idx="0">
                  <c:v>7.2146330760128921</c:v>
                </c:pt>
                <c:pt idx="1">
                  <c:v>6.7590396787123188</c:v>
                </c:pt>
                <c:pt idx="2">
                  <c:v>4.8126921868409474</c:v>
                </c:pt>
                <c:pt idx="3">
                  <c:v>6.0267139856312832</c:v>
                </c:pt>
                <c:pt idx="4">
                  <c:v>6.5332482987966625</c:v>
                </c:pt>
                <c:pt idx="5">
                  <c:v>4.2834864127316594</c:v>
                </c:pt>
                <c:pt idx="6">
                  <c:v>3.5443835743986463</c:v>
                </c:pt>
                <c:pt idx="7">
                  <c:v>4.1952504305202671</c:v>
                </c:pt>
                <c:pt idx="8">
                  <c:v>4.3117016969307889</c:v>
                </c:pt>
                <c:pt idx="9">
                  <c:v>3.5556913977321183</c:v>
                </c:pt>
                <c:pt idx="10">
                  <c:v>3.1170105258419452</c:v>
                </c:pt>
                <c:pt idx="11">
                  <c:v>6.2959380705421193</c:v>
                </c:pt>
                <c:pt idx="12">
                  <c:v>7.8164372108969982</c:v>
                </c:pt>
                <c:pt idx="13">
                  <c:v>3.3002907447614516</c:v>
                </c:pt>
                <c:pt idx="14">
                  <c:v>2.8411909999999998</c:v>
                </c:pt>
                <c:pt idx="15">
                  <c:v>3.296411</c:v>
                </c:pt>
                <c:pt idx="16">
                  <c:v>3.1563430000000001</c:v>
                </c:pt>
                <c:pt idx="17">
                  <c:v>3.1221640000000002</c:v>
                </c:pt>
                <c:pt idx="18">
                  <c:v>3.269873</c:v>
                </c:pt>
                <c:pt idx="19">
                  <c:v>3.5139179999999999</c:v>
                </c:pt>
                <c:pt idx="20">
                  <c:v>3.8613040000000001</c:v>
                </c:pt>
                <c:pt idx="21">
                  <c:v>4.0797470000000002</c:v>
                </c:pt>
                <c:pt idx="22">
                  <c:v>4.7336830000000001</c:v>
                </c:pt>
                <c:pt idx="23">
                  <c:v>5.0401730000000002</c:v>
                </c:pt>
                <c:pt idx="24">
                  <c:v>5.230925</c:v>
                </c:pt>
                <c:pt idx="25">
                  <c:v>5.3034660000000002</c:v>
                </c:pt>
                <c:pt idx="26">
                  <c:v>5.2519369999999999</c:v>
                </c:pt>
                <c:pt idx="27">
                  <c:v>5.176685</c:v>
                </c:pt>
                <c:pt idx="28">
                  <c:v>5.1548030000000002</c:v>
                </c:pt>
                <c:pt idx="29">
                  <c:v>5.160571</c:v>
                </c:pt>
                <c:pt idx="30">
                  <c:v>5.3064039999999997</c:v>
                </c:pt>
                <c:pt idx="31">
                  <c:v>5.5054889999999999</c:v>
                </c:pt>
                <c:pt idx="32">
                  <c:v>5.6836690000000001</c:v>
                </c:pt>
                <c:pt idx="33">
                  <c:v>5.8368719999999996</c:v>
                </c:pt>
                <c:pt idx="34">
                  <c:v>5.905303</c:v>
                </c:pt>
                <c:pt idx="35">
                  <c:v>5.9451999999999998</c:v>
                </c:pt>
                <c:pt idx="36">
                  <c:v>6.0132479999999999</c:v>
                </c:pt>
                <c:pt idx="37">
                  <c:v>6.0694840000000001</c:v>
                </c:pt>
                <c:pt idx="38">
                  <c:v>6.0100769999999999</c:v>
                </c:pt>
                <c:pt idx="39">
                  <c:v>5.9124559999999997</c:v>
                </c:pt>
                <c:pt idx="40">
                  <c:v>5.9721200000000003</c:v>
                </c:pt>
              </c:numCache>
            </c:numRef>
          </c:yVal>
          <c:smooth val="0"/>
          <c:extLst>
            <c:ext xmlns:c16="http://schemas.microsoft.com/office/drawing/2014/chart" uri="{C3380CC4-5D6E-409C-BE32-E72D297353CC}">
              <c16:uniqueId val="{00000003-9A41-469D-B14A-CFB1CA71FC5B}"/>
            </c:ext>
          </c:extLst>
        </c:ser>
        <c:ser>
          <c:idx val="4"/>
          <c:order val="4"/>
          <c:tx>
            <c:strRef>
              <c:f>'Prices by Case'!$B$6</c:f>
              <c:strCache>
                <c:ptCount val="1"/>
                <c:pt idx="0">
                  <c:v>New England</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Case'!$C$6:$AGQ$6</c:f>
              <c:numCache>
                <c:formatCode>General</c:formatCode>
                <c:ptCount val="873"/>
                <c:pt idx="0">
                  <c:v>7.7704294706317905</c:v>
                </c:pt>
                <c:pt idx="1">
                  <c:v>6.976605820209147</c:v>
                </c:pt>
                <c:pt idx="2">
                  <c:v>5.1256876548060566</c:v>
                </c:pt>
                <c:pt idx="3">
                  <c:v>8.0681247014345718</c:v>
                </c:pt>
                <c:pt idx="4">
                  <c:v>8.7692015299317383</c:v>
                </c:pt>
                <c:pt idx="5">
                  <c:v>5.6641394518249273</c:v>
                </c:pt>
                <c:pt idx="6">
                  <c:v>5.1482992248515442</c:v>
                </c:pt>
                <c:pt idx="7">
                  <c:v>5.3552845357250467</c:v>
                </c:pt>
                <c:pt idx="8">
                  <c:v>5.8812537804770528</c:v>
                </c:pt>
                <c:pt idx="9">
                  <c:v>5.4764620814960274</c:v>
                </c:pt>
                <c:pt idx="10">
                  <c:v>4.8945565983197907</c:v>
                </c:pt>
                <c:pt idx="11">
                  <c:v>7.9478482779536375</c:v>
                </c:pt>
                <c:pt idx="12">
                  <c:v>8.928908763767998</c:v>
                </c:pt>
                <c:pt idx="13">
                  <c:v>5.1823565263009943</c:v>
                </c:pt>
                <c:pt idx="14">
                  <c:v>3.9147449999999999</c:v>
                </c:pt>
                <c:pt idx="15">
                  <c:v>3.945919</c:v>
                </c:pt>
                <c:pt idx="16">
                  <c:v>3.8191090000000001</c:v>
                </c:pt>
                <c:pt idx="17">
                  <c:v>3.4353600000000002</c:v>
                </c:pt>
                <c:pt idx="18">
                  <c:v>3.2407520000000001</c:v>
                </c:pt>
                <c:pt idx="19">
                  <c:v>3.2298119999999999</c:v>
                </c:pt>
                <c:pt idx="20">
                  <c:v>3.1292849999999999</c:v>
                </c:pt>
                <c:pt idx="21">
                  <c:v>3.3261289999999999</c:v>
                </c:pt>
                <c:pt idx="22">
                  <c:v>3.779099</c:v>
                </c:pt>
                <c:pt idx="23">
                  <c:v>4.0712270000000004</c:v>
                </c:pt>
                <c:pt idx="24">
                  <c:v>4.168971</c:v>
                </c:pt>
                <c:pt idx="25">
                  <c:v>4.1994429999999996</c:v>
                </c:pt>
                <c:pt idx="26">
                  <c:v>4.265835</c:v>
                </c:pt>
                <c:pt idx="27">
                  <c:v>4.1203159999999999</c:v>
                </c:pt>
                <c:pt idx="28">
                  <c:v>3.9936099999999999</c:v>
                </c:pt>
                <c:pt idx="29">
                  <c:v>3.816716</c:v>
                </c:pt>
                <c:pt idx="30">
                  <c:v>3.872509</c:v>
                </c:pt>
                <c:pt idx="31">
                  <c:v>3.9666869999999999</c:v>
                </c:pt>
                <c:pt idx="32">
                  <c:v>4.0911340000000003</c:v>
                </c:pt>
                <c:pt idx="33">
                  <c:v>4.1699289999999998</c:v>
                </c:pt>
                <c:pt idx="34">
                  <c:v>4.0871240000000002</c:v>
                </c:pt>
                <c:pt idx="35">
                  <c:v>3.8919190000000001</c:v>
                </c:pt>
                <c:pt idx="36">
                  <c:v>3.9026290000000001</c:v>
                </c:pt>
                <c:pt idx="37">
                  <c:v>3.9459689999999998</c:v>
                </c:pt>
                <c:pt idx="38">
                  <c:v>3.7875960000000002</c:v>
                </c:pt>
                <c:pt idx="39">
                  <c:v>3.870886</c:v>
                </c:pt>
                <c:pt idx="40">
                  <c:v>3.7880440000000002</c:v>
                </c:pt>
              </c:numCache>
            </c:numRef>
          </c:yVal>
          <c:smooth val="0"/>
          <c:extLst>
            <c:ext xmlns:c16="http://schemas.microsoft.com/office/drawing/2014/chart" uri="{C3380CC4-5D6E-409C-BE32-E72D297353CC}">
              <c16:uniqueId val="{00000004-9A41-469D-B14A-CFB1CA71FC5B}"/>
            </c:ext>
          </c:extLst>
        </c:ser>
        <c:ser>
          <c:idx val="5"/>
          <c:order val="5"/>
          <c:tx>
            <c:strRef>
              <c:f>'Prices by Case'!$B$7</c:f>
              <c:strCache>
                <c:ptCount val="1"/>
                <c:pt idx="0">
                  <c:v>Pacific</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Case'!$C$7:$AGQ$7</c:f>
              <c:numCache>
                <c:formatCode>General</c:formatCode>
                <c:ptCount val="873"/>
                <c:pt idx="0">
                  <c:v>6.9220750255495984</c:v>
                </c:pt>
                <c:pt idx="1">
                  <c:v>6.5230920278203843</c:v>
                </c:pt>
                <c:pt idx="2">
                  <c:v>4.981962977951806</c:v>
                </c:pt>
                <c:pt idx="3">
                  <c:v>5.9665944124189529</c:v>
                </c:pt>
                <c:pt idx="4">
                  <c:v>6.6528652175327077</c:v>
                </c:pt>
                <c:pt idx="5">
                  <c:v>4.318227658544374</c:v>
                </c:pt>
                <c:pt idx="6">
                  <c:v>3.6670861353628124</c:v>
                </c:pt>
                <c:pt idx="7">
                  <c:v>4.1891583924729243</c:v>
                </c:pt>
                <c:pt idx="8">
                  <c:v>4.3173220450187113</c:v>
                </c:pt>
                <c:pt idx="9">
                  <c:v>3.7488371122416662</c:v>
                </c:pt>
                <c:pt idx="10">
                  <c:v>3.3050449558401449</c:v>
                </c:pt>
                <c:pt idx="11">
                  <c:v>6.7127102023085996</c:v>
                </c:pt>
                <c:pt idx="12">
                  <c:v>8.0403981934499988</c:v>
                </c:pt>
                <c:pt idx="13">
                  <c:v>3.4993815992435451</c:v>
                </c:pt>
                <c:pt idx="14">
                  <c:v>3.1787709999999998</c:v>
                </c:pt>
                <c:pt idx="15">
                  <c:v>3.4497650000000002</c:v>
                </c:pt>
                <c:pt idx="16">
                  <c:v>3.2324410000000001</c:v>
                </c:pt>
                <c:pt idx="17">
                  <c:v>3.1548940000000001</c:v>
                </c:pt>
                <c:pt idx="18">
                  <c:v>3.344125</c:v>
                </c:pt>
                <c:pt idx="19">
                  <c:v>3.63497</c:v>
                </c:pt>
                <c:pt idx="20">
                  <c:v>4.0198600000000004</c:v>
                </c:pt>
                <c:pt idx="21">
                  <c:v>4.2745639999999998</c:v>
                </c:pt>
                <c:pt idx="22">
                  <c:v>4.89114</c:v>
                </c:pt>
                <c:pt idx="23">
                  <c:v>5.1914509999999998</c:v>
                </c:pt>
                <c:pt idx="24">
                  <c:v>5.3848269999999996</c:v>
                </c:pt>
                <c:pt idx="25">
                  <c:v>5.4120600000000003</c:v>
                </c:pt>
                <c:pt idx="26">
                  <c:v>5.2829199999999998</c:v>
                </c:pt>
                <c:pt idx="27">
                  <c:v>5.1045230000000004</c:v>
                </c:pt>
                <c:pt idx="28">
                  <c:v>5.0104769999999998</c:v>
                </c:pt>
                <c:pt idx="29">
                  <c:v>4.9236490000000002</c:v>
                </c:pt>
                <c:pt idx="30">
                  <c:v>5.0555430000000001</c:v>
                </c:pt>
                <c:pt idx="31">
                  <c:v>5.287903</c:v>
                </c:pt>
                <c:pt idx="32">
                  <c:v>5.4087639999999997</c:v>
                </c:pt>
                <c:pt idx="33">
                  <c:v>5.5636210000000004</c:v>
                </c:pt>
                <c:pt idx="34">
                  <c:v>5.645613</c:v>
                </c:pt>
                <c:pt idx="35">
                  <c:v>5.6369670000000003</c:v>
                </c:pt>
                <c:pt idx="36">
                  <c:v>5.7589649999999999</c:v>
                </c:pt>
                <c:pt idx="37">
                  <c:v>5.8089510000000004</c:v>
                </c:pt>
                <c:pt idx="38">
                  <c:v>5.8133319999999999</c:v>
                </c:pt>
                <c:pt idx="39">
                  <c:v>5.796697</c:v>
                </c:pt>
                <c:pt idx="40">
                  <c:v>5.7458200000000001</c:v>
                </c:pt>
              </c:numCache>
            </c:numRef>
          </c:yVal>
          <c:smooth val="0"/>
          <c:extLst>
            <c:ext xmlns:c16="http://schemas.microsoft.com/office/drawing/2014/chart" uri="{C3380CC4-5D6E-409C-BE32-E72D297353CC}">
              <c16:uniqueId val="{00000005-9A41-469D-B14A-CFB1CA71FC5B}"/>
            </c:ext>
          </c:extLst>
        </c:ser>
        <c:ser>
          <c:idx val="6"/>
          <c:order val="6"/>
          <c:tx>
            <c:strRef>
              <c:f>'Prices by Case'!$B$8</c:f>
              <c:strCache>
                <c:ptCount val="1"/>
                <c:pt idx="0">
                  <c:v>South Atlantic</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Case'!$C$8:$AGQ$8</c:f>
              <c:numCache>
                <c:formatCode>General</c:formatCode>
                <c:ptCount val="873"/>
                <c:pt idx="0">
                  <c:v>8.6455874780352708</c:v>
                </c:pt>
                <c:pt idx="1">
                  <c:v>7.6126830897202264</c:v>
                </c:pt>
                <c:pt idx="2">
                  <c:v>5.7441421781360376</c:v>
                </c:pt>
                <c:pt idx="3">
                  <c:v>6.4880622749653449</c:v>
                </c:pt>
                <c:pt idx="4">
                  <c:v>7.2176795218036691</c:v>
                </c:pt>
                <c:pt idx="5">
                  <c:v>5.2096382675996793</c:v>
                </c:pt>
                <c:pt idx="6">
                  <c:v>4.5142801956919705</c:v>
                </c:pt>
                <c:pt idx="7">
                  <c:v>4.872571007251846</c:v>
                </c:pt>
                <c:pt idx="8">
                  <c:v>4.6931878148266497</c:v>
                </c:pt>
                <c:pt idx="9">
                  <c:v>4.0989786868068077</c:v>
                </c:pt>
                <c:pt idx="10">
                  <c:v>3.5356090652751919</c:v>
                </c:pt>
                <c:pt idx="11">
                  <c:v>6.632815784981398</c:v>
                </c:pt>
                <c:pt idx="12">
                  <c:v>8.5436920603439983</c:v>
                </c:pt>
                <c:pt idx="13">
                  <c:v>3.743502878313373</c:v>
                </c:pt>
                <c:pt idx="14">
                  <c:v>3.5816759999999999</c:v>
                </c:pt>
                <c:pt idx="15">
                  <c:v>3.8462010000000002</c:v>
                </c:pt>
                <c:pt idx="16">
                  <c:v>3.7656390000000002</c:v>
                </c:pt>
                <c:pt idx="17">
                  <c:v>3.8377020000000002</c:v>
                </c:pt>
                <c:pt idx="18">
                  <c:v>3.7854399999999999</c:v>
                </c:pt>
                <c:pt idx="19">
                  <c:v>4.0857950000000001</c:v>
                </c:pt>
                <c:pt idx="20">
                  <c:v>4.0874839999999999</c:v>
                </c:pt>
                <c:pt idx="21">
                  <c:v>4.1015370000000004</c:v>
                </c:pt>
                <c:pt idx="22">
                  <c:v>4.5591860000000004</c:v>
                </c:pt>
                <c:pt idx="23">
                  <c:v>4.8424820000000004</c:v>
                </c:pt>
                <c:pt idx="24">
                  <c:v>4.962396</c:v>
                </c:pt>
                <c:pt idx="25">
                  <c:v>5.0166069999999996</c:v>
                </c:pt>
                <c:pt idx="26">
                  <c:v>5.044314</c:v>
                </c:pt>
                <c:pt idx="27">
                  <c:v>4.9791670000000003</c:v>
                </c:pt>
                <c:pt idx="28">
                  <c:v>4.9096529999999996</c:v>
                </c:pt>
                <c:pt idx="29">
                  <c:v>4.8506720000000003</c:v>
                </c:pt>
                <c:pt idx="30">
                  <c:v>4.8540460000000003</c:v>
                </c:pt>
                <c:pt idx="31">
                  <c:v>4.8807340000000003</c:v>
                </c:pt>
                <c:pt idx="32">
                  <c:v>4.9258579999999998</c:v>
                </c:pt>
                <c:pt idx="33">
                  <c:v>5.0089180000000004</c:v>
                </c:pt>
                <c:pt idx="34">
                  <c:v>5.0123090000000001</c:v>
                </c:pt>
                <c:pt idx="35">
                  <c:v>4.9701639999999996</c:v>
                </c:pt>
                <c:pt idx="36">
                  <c:v>4.9948949999999996</c:v>
                </c:pt>
                <c:pt idx="37">
                  <c:v>4.9172169999999999</c:v>
                </c:pt>
                <c:pt idx="38">
                  <c:v>4.8024500000000003</c:v>
                </c:pt>
                <c:pt idx="39">
                  <c:v>4.690213</c:v>
                </c:pt>
                <c:pt idx="40">
                  <c:v>4.5787969999999998</c:v>
                </c:pt>
              </c:numCache>
            </c:numRef>
          </c:yVal>
          <c:smooth val="0"/>
          <c:extLst>
            <c:ext xmlns:c16="http://schemas.microsoft.com/office/drawing/2014/chart" uri="{C3380CC4-5D6E-409C-BE32-E72D297353CC}">
              <c16:uniqueId val="{00000006-9A41-469D-B14A-CFB1CA71FC5B}"/>
            </c:ext>
          </c:extLst>
        </c:ser>
        <c:ser>
          <c:idx val="7"/>
          <c:order val="7"/>
          <c:tx>
            <c:strRef>
              <c:f>'Prices by Case'!$B$9</c:f>
              <c:strCache>
                <c:ptCount val="1"/>
                <c:pt idx="0">
                  <c:v>West North Central</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Case'!$C$9:$AGQ$9</c:f>
              <c:numCache>
                <c:formatCode>General</c:formatCode>
                <c:ptCount val="873"/>
                <c:pt idx="0">
                  <c:v>7.7342882889509372</c:v>
                </c:pt>
                <c:pt idx="1">
                  <c:v>7.1878303510036723</c:v>
                </c:pt>
                <c:pt idx="2">
                  <c:v>4.8369681523439674</c:v>
                </c:pt>
                <c:pt idx="3">
                  <c:v>6.217397451918627</c:v>
                </c:pt>
                <c:pt idx="4">
                  <c:v>7.3986154289774317</c:v>
                </c:pt>
                <c:pt idx="5">
                  <c:v>4.4282165978108354</c:v>
                </c:pt>
                <c:pt idx="6">
                  <c:v>3.5004066167190326</c:v>
                </c:pt>
                <c:pt idx="7">
                  <c:v>4.4694969626417187</c:v>
                </c:pt>
                <c:pt idx="8">
                  <c:v>4.3344101992629396</c:v>
                </c:pt>
                <c:pt idx="9">
                  <c:v>3.3526081812708477</c:v>
                </c:pt>
                <c:pt idx="10">
                  <c:v>2.8541639768890446</c:v>
                </c:pt>
                <c:pt idx="11">
                  <c:v>5.6582080131603583</c:v>
                </c:pt>
                <c:pt idx="12">
                  <c:v>7.6279947132059984</c:v>
                </c:pt>
                <c:pt idx="13">
                  <c:v>3.0219888187301205</c:v>
                </c:pt>
                <c:pt idx="14">
                  <c:v>2.6050719999999998</c:v>
                </c:pt>
                <c:pt idx="15">
                  <c:v>3.1620529999999998</c:v>
                </c:pt>
                <c:pt idx="16">
                  <c:v>3.0761370000000001</c:v>
                </c:pt>
                <c:pt idx="17">
                  <c:v>3.0542379999999998</c:v>
                </c:pt>
                <c:pt idx="18">
                  <c:v>3.1953819999999999</c:v>
                </c:pt>
                <c:pt idx="19">
                  <c:v>3.3982709999999998</c:v>
                </c:pt>
                <c:pt idx="20">
                  <c:v>3.6461549999999998</c:v>
                </c:pt>
                <c:pt idx="21">
                  <c:v>3.762861</c:v>
                </c:pt>
                <c:pt idx="22">
                  <c:v>4.4230590000000003</c:v>
                </c:pt>
                <c:pt idx="23">
                  <c:v>4.7042849999999996</c:v>
                </c:pt>
                <c:pt idx="24">
                  <c:v>4.7726879999999996</c:v>
                </c:pt>
                <c:pt idx="25">
                  <c:v>4.784186</c:v>
                </c:pt>
                <c:pt idx="26">
                  <c:v>4.7803069999999996</c:v>
                </c:pt>
                <c:pt idx="27">
                  <c:v>4.6720579999999998</c:v>
                </c:pt>
                <c:pt idx="28">
                  <c:v>4.5664300000000004</c:v>
                </c:pt>
                <c:pt idx="29">
                  <c:v>4.4084390000000004</c:v>
                </c:pt>
                <c:pt idx="30">
                  <c:v>4.4912510000000001</c:v>
                </c:pt>
                <c:pt idx="31">
                  <c:v>4.6490859999999996</c:v>
                </c:pt>
                <c:pt idx="32">
                  <c:v>4.7518010000000004</c:v>
                </c:pt>
                <c:pt idx="33">
                  <c:v>4.8073430000000004</c:v>
                </c:pt>
                <c:pt idx="34">
                  <c:v>4.817755</c:v>
                </c:pt>
                <c:pt idx="35">
                  <c:v>4.8391719999999996</c:v>
                </c:pt>
                <c:pt idx="36">
                  <c:v>4.9451890000000001</c:v>
                </c:pt>
                <c:pt idx="37">
                  <c:v>4.9095399999999998</c:v>
                </c:pt>
                <c:pt idx="38">
                  <c:v>4.8590970000000002</c:v>
                </c:pt>
                <c:pt idx="39">
                  <c:v>4.774216</c:v>
                </c:pt>
                <c:pt idx="40">
                  <c:v>4.7918520000000004</c:v>
                </c:pt>
              </c:numCache>
            </c:numRef>
          </c:yVal>
          <c:smooth val="0"/>
          <c:extLst>
            <c:ext xmlns:c16="http://schemas.microsoft.com/office/drawing/2014/chart" uri="{C3380CC4-5D6E-409C-BE32-E72D297353CC}">
              <c16:uniqueId val="{00000007-9A41-469D-B14A-CFB1CA71FC5B}"/>
            </c:ext>
          </c:extLst>
        </c:ser>
        <c:ser>
          <c:idx val="8"/>
          <c:order val="8"/>
          <c:tx>
            <c:strRef>
              <c:f>'Prices by Case'!$B$10</c:f>
              <c:strCache>
                <c:ptCount val="1"/>
                <c:pt idx="0">
                  <c:v>West South Central</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Case'!$C$10:$AGQ$10</c:f>
              <c:numCache>
                <c:formatCode>General</c:formatCode>
                <c:ptCount val="873"/>
                <c:pt idx="0">
                  <c:v>6.6138470952172108</c:v>
                </c:pt>
                <c:pt idx="1">
                  <c:v>6.0219340804874886</c:v>
                </c:pt>
                <c:pt idx="2">
                  <c:v>4.0862421172094443</c:v>
                </c:pt>
                <c:pt idx="3">
                  <c:v>5.3117252570087867</c:v>
                </c:pt>
                <c:pt idx="4">
                  <c:v>6.1419078301821202</c:v>
                </c:pt>
                <c:pt idx="5">
                  <c:v>3.7096081029697383</c:v>
                </c:pt>
                <c:pt idx="6">
                  <c:v>3.0974697864685288</c:v>
                </c:pt>
                <c:pt idx="7">
                  <c:v>3.8143408225748088</c:v>
                </c:pt>
                <c:pt idx="8">
                  <c:v>3.7845594665654065</c:v>
                </c:pt>
                <c:pt idx="9">
                  <c:v>2.8508973312239743</c:v>
                </c:pt>
                <c:pt idx="10">
                  <c:v>2.3729458382439561</c:v>
                </c:pt>
                <c:pt idx="11">
                  <c:v>5.4412251413813983</c:v>
                </c:pt>
                <c:pt idx="12">
                  <c:v>7.3605166775279978</c:v>
                </c:pt>
                <c:pt idx="13">
                  <c:v>2.5124750535327007</c:v>
                </c:pt>
                <c:pt idx="14">
                  <c:v>2.1994799999999999</c:v>
                </c:pt>
                <c:pt idx="15">
                  <c:v>2.7028840000000001</c:v>
                </c:pt>
                <c:pt idx="16">
                  <c:v>2.6025450000000001</c:v>
                </c:pt>
                <c:pt idx="17">
                  <c:v>2.5492240000000002</c:v>
                </c:pt>
                <c:pt idx="18">
                  <c:v>2.7017540000000002</c:v>
                </c:pt>
                <c:pt idx="19">
                  <c:v>2.910596</c:v>
                </c:pt>
                <c:pt idx="20">
                  <c:v>3.163967</c:v>
                </c:pt>
                <c:pt idx="21">
                  <c:v>3.3038479999999999</c:v>
                </c:pt>
                <c:pt idx="22">
                  <c:v>3.843493</c:v>
                </c:pt>
                <c:pt idx="23">
                  <c:v>4.2143730000000001</c:v>
                </c:pt>
                <c:pt idx="24">
                  <c:v>4.409548</c:v>
                </c:pt>
                <c:pt idx="25">
                  <c:v>4.4258379999999997</c:v>
                </c:pt>
                <c:pt idx="26">
                  <c:v>4.3744480000000001</c:v>
                </c:pt>
                <c:pt idx="27">
                  <c:v>4.3173630000000003</c:v>
                </c:pt>
                <c:pt idx="28">
                  <c:v>4.2731209999999997</c:v>
                </c:pt>
                <c:pt idx="29">
                  <c:v>4.2338209999999998</c:v>
                </c:pt>
                <c:pt idx="30">
                  <c:v>4.305593</c:v>
                </c:pt>
                <c:pt idx="31">
                  <c:v>4.4324079999999997</c:v>
                </c:pt>
                <c:pt idx="32">
                  <c:v>4.5483779999999996</c:v>
                </c:pt>
                <c:pt idx="33">
                  <c:v>4.7048509999999997</c:v>
                </c:pt>
                <c:pt idx="34">
                  <c:v>4.8134309999999996</c:v>
                </c:pt>
                <c:pt idx="35">
                  <c:v>4.8581349999999999</c:v>
                </c:pt>
                <c:pt idx="36">
                  <c:v>4.9233510000000003</c:v>
                </c:pt>
                <c:pt idx="37">
                  <c:v>5.0019159999999996</c:v>
                </c:pt>
                <c:pt idx="38">
                  <c:v>5.0007630000000001</c:v>
                </c:pt>
                <c:pt idx="39">
                  <c:v>4.9469110000000001</c:v>
                </c:pt>
                <c:pt idx="40">
                  <c:v>4.9044080000000001</c:v>
                </c:pt>
              </c:numCache>
            </c:numRef>
          </c:yVal>
          <c:smooth val="0"/>
          <c:extLst>
            <c:ext xmlns:c16="http://schemas.microsoft.com/office/drawing/2014/chart" uri="{C3380CC4-5D6E-409C-BE32-E72D297353CC}">
              <c16:uniqueId val="{00000008-9A41-469D-B14A-CFB1CA71FC5B}"/>
            </c:ext>
          </c:extLst>
        </c:ser>
        <c:ser>
          <c:idx val="9"/>
          <c:order val="9"/>
          <c:tx>
            <c:strRef>
              <c:f>'Prices by Case'!$B$11</c:f>
              <c:strCache>
                <c:ptCount val="1"/>
                <c:pt idx="0">
                  <c:v>Total</c:v>
                </c:pt>
              </c:strCache>
            </c:strRef>
          </c:tx>
          <c:xVal>
            <c:numRef>
              <c:f>'Prices by Case'!$C$1:$AGQ$1</c:f>
              <c:numCache>
                <c:formatCode>General</c:formatCode>
                <c:ptCount val="87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Case'!$C$11:$AGQ$11</c:f>
              <c:numCache>
                <c:formatCode>General</c:formatCode>
                <c:ptCount val="873"/>
                <c:pt idx="0">
                  <c:v>7.4287481187538065</c:v>
                </c:pt>
                <c:pt idx="1">
                  <c:v>6.7037262880480606</c:v>
                </c:pt>
                <c:pt idx="2">
                  <c:v>4.7928849172414028</c:v>
                </c:pt>
                <c:pt idx="3">
                  <c:v>5.997271557758733</c:v>
                </c:pt>
                <c:pt idx="4">
                  <c:v>6.7346123247610592</c:v>
                </c:pt>
                <c:pt idx="5">
                  <c:v>4.2877225773695686</c:v>
                </c:pt>
                <c:pt idx="6">
                  <c:v>3.7483609608280575</c:v>
                </c:pt>
                <c:pt idx="7">
                  <c:v>4.3257650457209484</c:v>
                </c:pt>
                <c:pt idx="8">
                  <c:v>4.2709841218622042</c:v>
                </c:pt>
                <c:pt idx="9">
                  <c:v>3.5042841007231984</c:v>
                </c:pt>
                <c:pt idx="10">
                  <c:v>2.9645882827064347</c:v>
                </c:pt>
                <c:pt idx="11">
                  <c:v>5.9572671857168391</c:v>
                </c:pt>
                <c:pt idx="12">
                  <c:v>7.5198121225289984</c:v>
                </c:pt>
                <c:pt idx="13">
                  <c:v>3.1389060737295731</c:v>
                </c:pt>
                <c:pt idx="14">
                  <c:v>2.7239149999999999</c:v>
                </c:pt>
                <c:pt idx="15">
                  <c:v>3.1569289999999999</c:v>
                </c:pt>
                <c:pt idx="16">
                  <c:v>3.0739700000000001</c:v>
                </c:pt>
                <c:pt idx="17">
                  <c:v>3.0153080000000001</c:v>
                </c:pt>
                <c:pt idx="18">
                  <c:v>3.0705049999999998</c:v>
                </c:pt>
                <c:pt idx="19">
                  <c:v>3.2646169999999999</c:v>
                </c:pt>
                <c:pt idx="20">
                  <c:v>3.4315820000000001</c:v>
                </c:pt>
                <c:pt idx="21">
                  <c:v>3.5506389999999999</c:v>
                </c:pt>
                <c:pt idx="22">
                  <c:v>4.043609</c:v>
                </c:pt>
                <c:pt idx="23">
                  <c:v>4.3247770000000001</c:v>
                </c:pt>
                <c:pt idx="24">
                  <c:v>4.4705380000000003</c:v>
                </c:pt>
                <c:pt idx="25">
                  <c:v>4.5190190000000001</c:v>
                </c:pt>
                <c:pt idx="26">
                  <c:v>4.5014159999999999</c:v>
                </c:pt>
                <c:pt idx="27">
                  <c:v>4.4108809999999998</c:v>
                </c:pt>
                <c:pt idx="28">
                  <c:v>4.3408300000000004</c:v>
                </c:pt>
                <c:pt idx="29">
                  <c:v>4.2817970000000001</c:v>
                </c:pt>
                <c:pt idx="30">
                  <c:v>4.3096769999999998</c:v>
                </c:pt>
                <c:pt idx="31">
                  <c:v>4.3984069999999997</c:v>
                </c:pt>
                <c:pt idx="32">
                  <c:v>4.4850729999999999</c:v>
                </c:pt>
                <c:pt idx="33">
                  <c:v>4.5699630000000004</c:v>
                </c:pt>
                <c:pt idx="34">
                  <c:v>4.5927829999999998</c:v>
                </c:pt>
                <c:pt idx="35">
                  <c:v>4.5856329999999996</c:v>
                </c:pt>
                <c:pt idx="36">
                  <c:v>4.6211710000000004</c:v>
                </c:pt>
                <c:pt idx="37">
                  <c:v>4.6284669999999997</c:v>
                </c:pt>
                <c:pt idx="38">
                  <c:v>4.5858759999999998</c:v>
                </c:pt>
                <c:pt idx="39">
                  <c:v>4.5211319999999997</c:v>
                </c:pt>
                <c:pt idx="40">
                  <c:v>4.4591669999999999</c:v>
                </c:pt>
              </c:numCache>
            </c:numRef>
          </c:yVal>
          <c:smooth val="0"/>
          <c:extLst>
            <c:ext xmlns:c16="http://schemas.microsoft.com/office/drawing/2014/chart" uri="{C3380CC4-5D6E-409C-BE32-E72D297353CC}">
              <c16:uniqueId val="{00000009-9A41-469D-B14A-CFB1CA71FC5B}"/>
            </c:ext>
          </c:extLst>
        </c:ser>
        <c:dLbls>
          <c:showLegendKey val="0"/>
          <c:showVal val="0"/>
          <c:showCatName val="0"/>
          <c:showSerName val="0"/>
          <c:showPercent val="0"/>
          <c:showBubbleSize val="0"/>
        </c:dLbls>
        <c:axId val="732285864"/>
        <c:axId val="732286256"/>
      </c:scatterChart>
      <c:valAx>
        <c:axId val="732285864"/>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732286256"/>
        <c:crosses val="autoZero"/>
        <c:crossBetween val="midCat"/>
      </c:valAx>
      <c:valAx>
        <c:axId val="732286256"/>
        <c:scaling>
          <c:orientation val="minMax"/>
          <c:max val="10"/>
        </c:scaling>
        <c:delete val="0"/>
        <c:axPos val="l"/>
        <c:title>
          <c:tx>
            <c:rich>
              <a:bodyPr rot="-5400000" vert="horz"/>
              <a:lstStyle/>
              <a:p>
                <a:pPr>
                  <a:defRPr/>
                </a:pPr>
                <a:r>
                  <a:rPr lang="en-US" baseline="0"/>
                  <a:t>NG Price (2013$/MMBtu)</a:t>
                </a:r>
                <a:endParaRPr lang="en-US"/>
              </a:p>
            </c:rich>
          </c:tx>
          <c:overlay val="0"/>
        </c:title>
        <c:numFmt formatCode="General" sourceLinked="1"/>
        <c:majorTickMark val="out"/>
        <c:minorTickMark val="none"/>
        <c:tickLblPos val="nextTo"/>
        <c:crossAx val="732285864"/>
        <c:crosses val="autoZero"/>
        <c:crossBetween val="midCat"/>
      </c:valAx>
      <c:spPr>
        <a:ln>
          <a:solidFill>
            <a:schemeClr val="tx1">
              <a:lumMod val="50000"/>
              <a:lumOff val="50000"/>
            </a:schemeClr>
          </a:solidFill>
        </a:ln>
      </c:spPr>
    </c:plotArea>
    <c:legend>
      <c:legendPos val="r"/>
      <c:layout>
        <c:manualLayout>
          <c:xMode val="edge"/>
          <c:yMode val="edge"/>
          <c:x val="0.8113329295376539"/>
          <c:y val="0.42390982761901685"/>
          <c:w val="0.11174399353926913"/>
          <c:h val="0.41228712689983521"/>
        </c:manualLayout>
      </c:layout>
      <c:overlay val="1"/>
      <c:spPr>
        <a:solidFill>
          <a:sysClr val="window" lastClr="FFFFFF">
            <a:lumMod val="100000"/>
          </a:sysClr>
        </a:solidFill>
        <a:ln w="9525" cap="flat" cmpd="sng" algn="ctr">
          <a:solidFill>
            <a:sysClr val="windowText" lastClr="000000">
              <a:lumMod val="50000"/>
              <a:lumOff val="50000"/>
            </a:sysClr>
          </a:solidFill>
          <a:prstDash val="solid"/>
          <a:round/>
          <a:headEnd type="none" w="med" len="med"/>
          <a:tailEnd type="none" w="med" len="med"/>
        </a:ln>
      </c:sp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'Prices by Case'!$B$12</c:f>
              <c:strCache>
                <c:ptCount val="1"/>
                <c:pt idx="0">
                  <c:v>East North Central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Case'!$C$12:$AQ$12</c:f>
              <c:numCache>
                <c:formatCode>General</c:formatCode>
                <c:ptCount val="41"/>
                <c:pt idx="0">
                  <c:v>7.090994508717106</c:v>
                </c:pt>
                <c:pt idx="1">
                  <c:v>6.4152443188854322</c:v>
                </c:pt>
                <c:pt idx="2">
                  <c:v>4.3183962877048669</c:v>
                </c:pt>
                <c:pt idx="3">
                  <c:v>5.6445716047461643</c:v>
                </c:pt>
                <c:pt idx="4">
                  <c:v>6.9015738325704152</c:v>
                </c:pt>
                <c:pt idx="5">
                  <c:v>3.7284692761307245</c:v>
                </c:pt>
                <c:pt idx="6">
                  <c:v>3.6043292687159338</c:v>
                </c:pt>
                <c:pt idx="7">
                  <c:v>4.2513316214100101</c:v>
                </c:pt>
                <c:pt idx="8">
                  <c:v>4.0830605958860016</c:v>
                </c:pt>
                <c:pt idx="9">
                  <c:v>3.0741546450235249</c:v>
                </c:pt>
                <c:pt idx="10">
                  <c:v>2.4336007775091524</c:v>
                </c:pt>
                <c:pt idx="11">
                  <c:v>5.2120498678617588</c:v>
                </c:pt>
                <c:pt idx="12">
                  <c:v>6.7368104551439982</c:v>
                </c:pt>
                <c:pt idx="13">
                  <c:v>2.5766965032266906</c:v>
                </c:pt>
                <c:pt idx="14">
                  <c:v>2.298708</c:v>
                </c:pt>
                <c:pt idx="15">
                  <c:v>2.3942019999999999</c:v>
                </c:pt>
                <c:pt idx="16">
                  <c:v>2.2793950000000001</c:v>
                </c:pt>
                <c:pt idx="17">
                  <c:v>2.2674120000000002</c:v>
                </c:pt>
                <c:pt idx="18">
                  <c:v>2.3424230000000001</c:v>
                </c:pt>
                <c:pt idx="19">
                  <c:v>2.4226380000000001</c:v>
                </c:pt>
                <c:pt idx="20">
                  <c:v>2.5097149999999999</c:v>
                </c:pt>
                <c:pt idx="21">
                  <c:v>2.5259360000000002</c:v>
                </c:pt>
                <c:pt idx="22">
                  <c:v>2.8165040000000001</c:v>
                </c:pt>
                <c:pt idx="23">
                  <c:v>2.8601320000000001</c:v>
                </c:pt>
                <c:pt idx="24">
                  <c:v>2.8966889999999998</c:v>
                </c:pt>
                <c:pt idx="25">
                  <c:v>2.9116309999999999</c:v>
                </c:pt>
                <c:pt idx="26">
                  <c:v>2.9024589999999999</c:v>
                </c:pt>
                <c:pt idx="27">
                  <c:v>2.8492649999999999</c:v>
                </c:pt>
                <c:pt idx="28">
                  <c:v>2.7876310000000002</c:v>
                </c:pt>
                <c:pt idx="29">
                  <c:v>2.7547830000000002</c:v>
                </c:pt>
                <c:pt idx="30">
                  <c:v>2.7657880000000001</c:v>
                </c:pt>
                <c:pt idx="31">
                  <c:v>2.8093919999999999</c:v>
                </c:pt>
                <c:pt idx="32">
                  <c:v>2.8039640000000001</c:v>
                </c:pt>
                <c:pt idx="33">
                  <c:v>2.7523789999999999</c:v>
                </c:pt>
                <c:pt idx="34">
                  <c:v>2.6832600000000002</c:v>
                </c:pt>
                <c:pt idx="35">
                  <c:v>2.6278100000000002</c:v>
                </c:pt>
                <c:pt idx="36">
                  <c:v>2.6281729999999999</c:v>
                </c:pt>
                <c:pt idx="37">
                  <c:v>2.5621130000000001</c:v>
                </c:pt>
                <c:pt idx="38">
                  <c:v>2.5123799999999998</c:v>
                </c:pt>
                <c:pt idx="39">
                  <c:v>2.4616850000000001</c:v>
                </c:pt>
                <c:pt idx="40">
                  <c:v>2.4218130000000002</c:v>
                </c:pt>
              </c:numCache>
            </c:numRef>
          </c:yVal>
          <c:smooth val="0"/>
          <c:extLst>
            <c:ext xmlns:c16="http://schemas.microsoft.com/office/drawing/2014/chart" uri="{C3380CC4-5D6E-409C-BE32-E72D297353CC}">
              <c16:uniqueId val="{00000000-1528-47A7-9687-4BB12065881A}"/>
            </c:ext>
          </c:extLst>
        </c:ser>
        <c:ser>
          <c:idx val="1"/>
          <c:order val="1"/>
          <c:tx>
            <c:strRef>
              <c:f>'Prices by Case'!$B$13</c:f>
              <c:strCache>
                <c:ptCount val="1"/>
                <c:pt idx="0">
                  <c:v>East South Central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Case'!$C$13:$AQ$13</c:f>
              <c:numCache>
                <c:formatCode>General</c:formatCode>
                <c:ptCount val="41"/>
                <c:pt idx="0">
                  <c:v>6.8646270393788669</c:v>
                </c:pt>
                <c:pt idx="1">
                  <c:v>6.0358029832029461</c:v>
                </c:pt>
                <c:pt idx="2">
                  <c:v>4.1713367840510776</c:v>
                </c:pt>
                <c:pt idx="3">
                  <c:v>5.4256613490178243</c:v>
                </c:pt>
                <c:pt idx="4">
                  <c:v>6.1961337234536131</c:v>
                </c:pt>
                <c:pt idx="5">
                  <c:v>3.8318580449735551</c:v>
                </c:pt>
                <c:pt idx="6">
                  <c:v>3.3489419294063545</c:v>
                </c:pt>
                <c:pt idx="7">
                  <c:v>4.0602410342776896</c:v>
                </c:pt>
                <c:pt idx="8">
                  <c:v>4.0259848629389596</c:v>
                </c:pt>
                <c:pt idx="9">
                  <c:v>3.2921435015159952</c:v>
                </c:pt>
                <c:pt idx="10">
                  <c:v>2.7713175857850891</c:v>
                </c:pt>
                <c:pt idx="11">
                  <c:v>5.9408671964317188</c:v>
                </c:pt>
                <c:pt idx="12">
                  <c:v>7.9109310773429984</c:v>
                </c:pt>
                <c:pt idx="13">
                  <c:v>2.9342710598292521</c:v>
                </c:pt>
                <c:pt idx="14">
                  <c:v>2.6806770000000002</c:v>
                </c:pt>
                <c:pt idx="15">
                  <c:v>2.663157</c:v>
                </c:pt>
                <c:pt idx="16">
                  <c:v>2.4986950000000001</c:v>
                </c:pt>
                <c:pt idx="17">
                  <c:v>2.4848789999999998</c:v>
                </c:pt>
                <c:pt idx="18">
                  <c:v>2.607332</c:v>
                </c:pt>
                <c:pt idx="19">
                  <c:v>2.7094770000000001</c:v>
                </c:pt>
                <c:pt idx="20">
                  <c:v>2.8351510000000002</c:v>
                </c:pt>
                <c:pt idx="21">
                  <c:v>2.9051469999999999</c:v>
                </c:pt>
                <c:pt idx="22">
                  <c:v>3.177044</c:v>
                </c:pt>
                <c:pt idx="23">
                  <c:v>3.242102</c:v>
                </c:pt>
                <c:pt idx="24">
                  <c:v>3.271004</c:v>
                </c:pt>
                <c:pt idx="25">
                  <c:v>3.2856529999999999</c:v>
                </c:pt>
                <c:pt idx="26">
                  <c:v>3.2777820000000002</c:v>
                </c:pt>
                <c:pt idx="27">
                  <c:v>3.2484190000000002</c:v>
                </c:pt>
                <c:pt idx="28">
                  <c:v>3.2334040000000002</c:v>
                </c:pt>
                <c:pt idx="29">
                  <c:v>3.2192029999999998</c:v>
                </c:pt>
                <c:pt idx="30">
                  <c:v>3.2491560000000002</c:v>
                </c:pt>
                <c:pt idx="31">
                  <c:v>3.3102689999999999</c:v>
                </c:pt>
                <c:pt idx="32">
                  <c:v>3.3261599999999998</c:v>
                </c:pt>
                <c:pt idx="33">
                  <c:v>3.2899310000000002</c:v>
                </c:pt>
                <c:pt idx="34">
                  <c:v>3.2634789999999998</c:v>
                </c:pt>
                <c:pt idx="35">
                  <c:v>3.2482500000000001</c:v>
                </c:pt>
                <c:pt idx="36">
                  <c:v>3.2774459999999999</c:v>
                </c:pt>
                <c:pt idx="37">
                  <c:v>3.2606959999999998</c:v>
                </c:pt>
                <c:pt idx="38">
                  <c:v>3.2563909999999998</c:v>
                </c:pt>
                <c:pt idx="39">
                  <c:v>3.2138339999999999</c:v>
                </c:pt>
                <c:pt idx="40">
                  <c:v>3.1623589999999999</c:v>
                </c:pt>
              </c:numCache>
            </c:numRef>
          </c:yVal>
          <c:smooth val="0"/>
          <c:extLst>
            <c:ext xmlns:c16="http://schemas.microsoft.com/office/drawing/2014/chart" uri="{C3380CC4-5D6E-409C-BE32-E72D297353CC}">
              <c16:uniqueId val="{00000001-1528-47A7-9687-4BB12065881A}"/>
            </c:ext>
          </c:extLst>
        </c:ser>
        <c:ser>
          <c:idx val="2"/>
          <c:order val="2"/>
          <c:tx>
            <c:strRef>
              <c:f>'Prices by Case'!$B$14</c:f>
              <c:strCache>
                <c:ptCount val="1"/>
                <c:pt idx="0">
                  <c:v>Middle Atlantic</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Case'!$C$14:$AQ$14</c:f>
              <c:numCache>
                <c:formatCode>General</c:formatCode>
                <c:ptCount val="41"/>
                <c:pt idx="0">
                  <c:v>7.8163644994350978</c:v>
                </c:pt>
                <c:pt idx="1">
                  <c:v>7.1816098697838058</c:v>
                </c:pt>
                <c:pt idx="2">
                  <c:v>4.92095484442806</c:v>
                </c:pt>
                <c:pt idx="3">
                  <c:v>6.2217721142422837</c:v>
                </c:pt>
                <c:pt idx="4">
                  <c:v>6.7497855572105729</c:v>
                </c:pt>
                <c:pt idx="5">
                  <c:v>3.8503199987203129</c:v>
                </c:pt>
                <c:pt idx="6">
                  <c:v>3.6610676709662813</c:v>
                </c:pt>
                <c:pt idx="7">
                  <c:v>4.1596902485794329</c:v>
                </c:pt>
                <c:pt idx="8">
                  <c:v>4.2283623169574369</c:v>
                </c:pt>
                <c:pt idx="9">
                  <c:v>3.5693197617014345</c:v>
                </c:pt>
                <c:pt idx="10">
                  <c:v>2.9222608833010848</c:v>
                </c:pt>
                <c:pt idx="11">
                  <c:v>5.3239298173387199</c:v>
                </c:pt>
                <c:pt idx="12">
                  <c:v>6.1751710657979988</c:v>
                </c:pt>
                <c:pt idx="13">
                  <c:v>3.0940898232391887</c:v>
                </c:pt>
                <c:pt idx="14">
                  <c:v>2.2872699999999999</c:v>
                </c:pt>
                <c:pt idx="15">
                  <c:v>2.3132959999999998</c:v>
                </c:pt>
                <c:pt idx="16">
                  <c:v>2.298251</c:v>
                </c:pt>
                <c:pt idx="17">
                  <c:v>2.255369</c:v>
                </c:pt>
                <c:pt idx="18">
                  <c:v>2.219732</c:v>
                </c:pt>
                <c:pt idx="19">
                  <c:v>2.237025</c:v>
                </c:pt>
                <c:pt idx="20">
                  <c:v>2.3095469999999998</c:v>
                </c:pt>
                <c:pt idx="21">
                  <c:v>2.3374100000000002</c:v>
                </c:pt>
                <c:pt idx="22">
                  <c:v>2.5310260000000002</c:v>
                </c:pt>
                <c:pt idx="23">
                  <c:v>2.6339899999999998</c:v>
                </c:pt>
                <c:pt idx="24">
                  <c:v>2.714677</c:v>
                </c:pt>
                <c:pt idx="25">
                  <c:v>2.7189109999999999</c:v>
                </c:pt>
                <c:pt idx="26">
                  <c:v>2.679176</c:v>
                </c:pt>
                <c:pt idx="27">
                  <c:v>2.6557930000000001</c:v>
                </c:pt>
                <c:pt idx="28">
                  <c:v>2.6109420000000001</c:v>
                </c:pt>
                <c:pt idx="29">
                  <c:v>2.5719259999999999</c:v>
                </c:pt>
                <c:pt idx="30">
                  <c:v>2.5420180000000001</c:v>
                </c:pt>
                <c:pt idx="31">
                  <c:v>2.5895549999999998</c:v>
                </c:pt>
                <c:pt idx="32">
                  <c:v>2.603526</c:v>
                </c:pt>
                <c:pt idx="33">
                  <c:v>2.5362900000000002</c:v>
                </c:pt>
                <c:pt idx="34">
                  <c:v>2.4376769999999999</c:v>
                </c:pt>
                <c:pt idx="35">
                  <c:v>2.3669500000000001</c:v>
                </c:pt>
                <c:pt idx="36">
                  <c:v>2.3386130000000001</c:v>
                </c:pt>
                <c:pt idx="37">
                  <c:v>2.3039999999999998</c:v>
                </c:pt>
                <c:pt idx="38">
                  <c:v>2.2515540000000001</c:v>
                </c:pt>
                <c:pt idx="39">
                  <c:v>2.2038540000000002</c:v>
                </c:pt>
                <c:pt idx="40">
                  <c:v>2.1504639999999999</c:v>
                </c:pt>
              </c:numCache>
            </c:numRef>
          </c:yVal>
          <c:smooth val="0"/>
          <c:extLst>
            <c:ext xmlns:c16="http://schemas.microsoft.com/office/drawing/2014/chart" uri="{C3380CC4-5D6E-409C-BE32-E72D297353CC}">
              <c16:uniqueId val="{00000002-1528-47A7-9687-4BB12065881A}"/>
            </c:ext>
          </c:extLst>
        </c:ser>
        <c:ser>
          <c:idx val="3"/>
          <c:order val="3"/>
          <c:tx>
            <c:strRef>
              <c:f>'Prices by Case'!$B$15</c:f>
              <c:strCache>
                <c:ptCount val="1"/>
                <c:pt idx="0">
                  <c:v>Mountain</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Case'!$C$15:$AQ$15</c:f>
              <c:numCache>
                <c:formatCode>General</c:formatCode>
                <c:ptCount val="41"/>
                <c:pt idx="0">
                  <c:v>7.2146330760128921</c:v>
                </c:pt>
                <c:pt idx="1">
                  <c:v>6.7590396787123188</c:v>
                </c:pt>
                <c:pt idx="2">
                  <c:v>4.8126921868409474</c:v>
                </c:pt>
                <c:pt idx="3">
                  <c:v>6.0267139856312832</c:v>
                </c:pt>
                <c:pt idx="4">
                  <c:v>6.5332482987966625</c:v>
                </c:pt>
                <c:pt idx="5">
                  <c:v>4.2834864127316594</c:v>
                </c:pt>
                <c:pt idx="6">
                  <c:v>3.5443835743986463</c:v>
                </c:pt>
                <c:pt idx="7">
                  <c:v>4.1952504305202671</c:v>
                </c:pt>
                <c:pt idx="8">
                  <c:v>4.3117016969307889</c:v>
                </c:pt>
                <c:pt idx="9">
                  <c:v>3.5556913977321183</c:v>
                </c:pt>
                <c:pt idx="10">
                  <c:v>3.1170105258419452</c:v>
                </c:pt>
                <c:pt idx="11">
                  <c:v>6.2959380705421193</c:v>
                </c:pt>
                <c:pt idx="12">
                  <c:v>7.8164372108969982</c:v>
                </c:pt>
                <c:pt idx="13">
                  <c:v>3.3002907447614516</c:v>
                </c:pt>
                <c:pt idx="14">
                  <c:v>2.8636940000000002</c:v>
                </c:pt>
                <c:pt idx="15">
                  <c:v>2.777358</c:v>
                </c:pt>
                <c:pt idx="16">
                  <c:v>2.712186</c:v>
                </c:pt>
                <c:pt idx="17">
                  <c:v>2.7173690000000001</c:v>
                </c:pt>
                <c:pt idx="18">
                  <c:v>2.8609420000000001</c:v>
                </c:pt>
                <c:pt idx="19">
                  <c:v>2.9643419999999998</c:v>
                </c:pt>
                <c:pt idx="20">
                  <c:v>3.2282069999999998</c:v>
                </c:pt>
                <c:pt idx="21">
                  <c:v>3.3930980000000002</c:v>
                </c:pt>
                <c:pt idx="22">
                  <c:v>3.8143440000000002</c:v>
                </c:pt>
                <c:pt idx="23">
                  <c:v>3.9502350000000002</c:v>
                </c:pt>
                <c:pt idx="24">
                  <c:v>4.0495770000000002</c:v>
                </c:pt>
                <c:pt idx="25">
                  <c:v>4.1069399999999998</c:v>
                </c:pt>
                <c:pt idx="26">
                  <c:v>4.1548489999999996</c:v>
                </c:pt>
                <c:pt idx="27">
                  <c:v>4.1592710000000004</c:v>
                </c:pt>
                <c:pt idx="28">
                  <c:v>4.1974320000000001</c:v>
                </c:pt>
                <c:pt idx="29">
                  <c:v>4.1738390000000001</c:v>
                </c:pt>
                <c:pt idx="30">
                  <c:v>4.2917139999999998</c:v>
                </c:pt>
                <c:pt idx="31">
                  <c:v>4.4041430000000004</c:v>
                </c:pt>
                <c:pt idx="32">
                  <c:v>4.4469979999999998</c:v>
                </c:pt>
                <c:pt idx="33">
                  <c:v>4.3912599999999999</c:v>
                </c:pt>
                <c:pt idx="34">
                  <c:v>4.3282610000000004</c:v>
                </c:pt>
                <c:pt idx="35">
                  <c:v>4.3649060000000004</c:v>
                </c:pt>
                <c:pt idx="36">
                  <c:v>4.4176099999999998</c:v>
                </c:pt>
                <c:pt idx="37">
                  <c:v>4.4070109999999998</c:v>
                </c:pt>
                <c:pt idx="38">
                  <c:v>4.4343240000000002</c:v>
                </c:pt>
                <c:pt idx="39">
                  <c:v>4.3896629999999996</c:v>
                </c:pt>
                <c:pt idx="40">
                  <c:v>4.3765169999999998</c:v>
                </c:pt>
              </c:numCache>
            </c:numRef>
          </c:yVal>
          <c:smooth val="0"/>
          <c:extLst>
            <c:ext xmlns:c16="http://schemas.microsoft.com/office/drawing/2014/chart" uri="{C3380CC4-5D6E-409C-BE32-E72D297353CC}">
              <c16:uniqueId val="{00000003-1528-47A7-9687-4BB12065881A}"/>
            </c:ext>
          </c:extLst>
        </c:ser>
        <c:ser>
          <c:idx val="4"/>
          <c:order val="4"/>
          <c:tx>
            <c:strRef>
              <c:f>'Prices by Case'!$B$16</c:f>
              <c:strCache>
                <c:ptCount val="1"/>
                <c:pt idx="0">
                  <c:v>New England</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Case'!$C$16:$AQ$16</c:f>
              <c:numCache>
                <c:formatCode>General</c:formatCode>
                <c:ptCount val="41"/>
                <c:pt idx="0">
                  <c:v>7.7704294706317905</c:v>
                </c:pt>
                <c:pt idx="1">
                  <c:v>6.976605820209147</c:v>
                </c:pt>
                <c:pt idx="2">
                  <c:v>5.1256876548060566</c:v>
                </c:pt>
                <c:pt idx="3">
                  <c:v>8.0681247014345718</c:v>
                </c:pt>
                <c:pt idx="4">
                  <c:v>8.7692015299317383</c:v>
                </c:pt>
                <c:pt idx="5">
                  <c:v>5.6641394518249273</c:v>
                </c:pt>
                <c:pt idx="6">
                  <c:v>5.1482992248515442</c:v>
                </c:pt>
                <c:pt idx="7">
                  <c:v>5.3552845357250467</c:v>
                </c:pt>
                <c:pt idx="8">
                  <c:v>5.8812537804770528</c:v>
                </c:pt>
                <c:pt idx="9">
                  <c:v>5.4764620814960274</c:v>
                </c:pt>
                <c:pt idx="10">
                  <c:v>4.8945565983197907</c:v>
                </c:pt>
                <c:pt idx="11">
                  <c:v>7.9478482779536375</c:v>
                </c:pt>
                <c:pt idx="12">
                  <c:v>8.928908763767998</c:v>
                </c:pt>
                <c:pt idx="13">
                  <c:v>5.1823565263009943</c:v>
                </c:pt>
                <c:pt idx="14">
                  <c:v>3.9428860000000001</c:v>
                </c:pt>
                <c:pt idx="15">
                  <c:v>3.5459070000000001</c:v>
                </c:pt>
                <c:pt idx="16">
                  <c:v>3.4243570000000001</c:v>
                </c:pt>
                <c:pt idx="17">
                  <c:v>3.179948</c:v>
                </c:pt>
                <c:pt idx="18">
                  <c:v>2.9636279999999999</c:v>
                </c:pt>
                <c:pt idx="19">
                  <c:v>2.8975789999999999</c:v>
                </c:pt>
                <c:pt idx="20">
                  <c:v>2.7611889999999999</c:v>
                </c:pt>
                <c:pt idx="21">
                  <c:v>2.747252</c:v>
                </c:pt>
                <c:pt idx="22">
                  <c:v>3.035183</c:v>
                </c:pt>
                <c:pt idx="23">
                  <c:v>3.1190329999999999</c:v>
                </c:pt>
                <c:pt idx="24">
                  <c:v>3.2350240000000001</c:v>
                </c:pt>
                <c:pt idx="25">
                  <c:v>3.332014</c:v>
                </c:pt>
                <c:pt idx="26">
                  <c:v>3.3451620000000002</c:v>
                </c:pt>
                <c:pt idx="27">
                  <c:v>3.3316119999999998</c:v>
                </c:pt>
                <c:pt idx="28">
                  <c:v>3.3455569999999999</c:v>
                </c:pt>
                <c:pt idx="29">
                  <c:v>3.2177419999999999</c:v>
                </c:pt>
                <c:pt idx="30">
                  <c:v>3.1723659999999998</c:v>
                </c:pt>
                <c:pt idx="31">
                  <c:v>3.3393860000000002</c:v>
                </c:pt>
                <c:pt idx="32">
                  <c:v>3.3919130000000002</c:v>
                </c:pt>
                <c:pt idx="33">
                  <c:v>3.3305799999999999</c:v>
                </c:pt>
                <c:pt idx="34">
                  <c:v>3.113896</c:v>
                </c:pt>
                <c:pt idx="35">
                  <c:v>2.985338</c:v>
                </c:pt>
                <c:pt idx="36">
                  <c:v>2.9840339999999999</c:v>
                </c:pt>
                <c:pt idx="37">
                  <c:v>2.9340760000000001</c:v>
                </c:pt>
                <c:pt idx="38">
                  <c:v>2.8921480000000002</c:v>
                </c:pt>
                <c:pt idx="39">
                  <c:v>2.8653119999999999</c:v>
                </c:pt>
                <c:pt idx="40">
                  <c:v>2.7904080000000002</c:v>
                </c:pt>
              </c:numCache>
            </c:numRef>
          </c:yVal>
          <c:smooth val="0"/>
          <c:extLst>
            <c:ext xmlns:c16="http://schemas.microsoft.com/office/drawing/2014/chart" uri="{C3380CC4-5D6E-409C-BE32-E72D297353CC}">
              <c16:uniqueId val="{00000004-1528-47A7-9687-4BB12065881A}"/>
            </c:ext>
          </c:extLst>
        </c:ser>
        <c:ser>
          <c:idx val="5"/>
          <c:order val="5"/>
          <c:tx>
            <c:strRef>
              <c:f>'Prices by Case'!$B$17</c:f>
              <c:strCache>
                <c:ptCount val="1"/>
                <c:pt idx="0">
                  <c:v>Pacific</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Case'!$C$17:$AQ$17</c:f>
              <c:numCache>
                <c:formatCode>General</c:formatCode>
                <c:ptCount val="41"/>
                <c:pt idx="0">
                  <c:v>6.9220750255495984</c:v>
                </c:pt>
                <c:pt idx="1">
                  <c:v>6.5230920278203843</c:v>
                </c:pt>
                <c:pt idx="2">
                  <c:v>4.981962977951806</c:v>
                </c:pt>
                <c:pt idx="3">
                  <c:v>5.9665944124189529</c:v>
                </c:pt>
                <c:pt idx="4">
                  <c:v>6.6528652175327077</c:v>
                </c:pt>
                <c:pt idx="5">
                  <c:v>4.318227658544374</c:v>
                </c:pt>
                <c:pt idx="6">
                  <c:v>3.6670861353628124</c:v>
                </c:pt>
                <c:pt idx="7">
                  <c:v>4.1891583924729243</c:v>
                </c:pt>
                <c:pt idx="8">
                  <c:v>4.3173220450187113</c:v>
                </c:pt>
                <c:pt idx="9">
                  <c:v>3.7488371122416662</c:v>
                </c:pt>
                <c:pt idx="10">
                  <c:v>3.3050449558401449</c:v>
                </c:pt>
                <c:pt idx="11">
                  <c:v>6.7127102023085996</c:v>
                </c:pt>
                <c:pt idx="12">
                  <c:v>8.0403981934499988</c:v>
                </c:pt>
                <c:pt idx="13">
                  <c:v>3.4993815992435451</c:v>
                </c:pt>
                <c:pt idx="14">
                  <c:v>3.2089129999999999</c:v>
                </c:pt>
                <c:pt idx="15">
                  <c:v>2.8879830000000002</c:v>
                </c:pt>
                <c:pt idx="16">
                  <c:v>2.8039070000000001</c:v>
                </c:pt>
                <c:pt idx="17">
                  <c:v>2.824805</c:v>
                </c:pt>
                <c:pt idx="18">
                  <c:v>2.9937969999999998</c:v>
                </c:pt>
                <c:pt idx="19">
                  <c:v>3.117639</c:v>
                </c:pt>
                <c:pt idx="20">
                  <c:v>3.4056890000000002</c:v>
                </c:pt>
                <c:pt idx="21">
                  <c:v>3.5869689999999999</c:v>
                </c:pt>
                <c:pt idx="22">
                  <c:v>4.0139579999999997</c:v>
                </c:pt>
                <c:pt idx="23">
                  <c:v>4.2088559999999999</c:v>
                </c:pt>
                <c:pt idx="24">
                  <c:v>4.3347709999999999</c:v>
                </c:pt>
                <c:pt idx="25">
                  <c:v>4.3635590000000004</c:v>
                </c:pt>
                <c:pt idx="26">
                  <c:v>4.2881650000000002</c:v>
                </c:pt>
                <c:pt idx="27">
                  <c:v>4.2516970000000001</c:v>
                </c:pt>
                <c:pt idx="28">
                  <c:v>4.234464</c:v>
                </c:pt>
                <c:pt idx="29">
                  <c:v>4.2811110000000001</c:v>
                </c:pt>
                <c:pt idx="30">
                  <c:v>4.3760579999999996</c:v>
                </c:pt>
                <c:pt idx="31">
                  <c:v>4.470148</c:v>
                </c:pt>
                <c:pt idx="32">
                  <c:v>4.5164879999999998</c:v>
                </c:pt>
                <c:pt idx="33">
                  <c:v>4.5043670000000002</c:v>
                </c:pt>
                <c:pt idx="34">
                  <c:v>4.4248609999999999</c:v>
                </c:pt>
                <c:pt idx="35">
                  <c:v>4.5113120000000002</c:v>
                </c:pt>
                <c:pt idx="36">
                  <c:v>4.5390519999999999</c:v>
                </c:pt>
                <c:pt idx="37">
                  <c:v>4.5573069999999998</c:v>
                </c:pt>
                <c:pt idx="38">
                  <c:v>4.586201</c:v>
                </c:pt>
                <c:pt idx="39">
                  <c:v>4.5652109999999997</c:v>
                </c:pt>
                <c:pt idx="40">
                  <c:v>4.5567190000000002</c:v>
                </c:pt>
              </c:numCache>
            </c:numRef>
          </c:yVal>
          <c:smooth val="0"/>
          <c:extLst>
            <c:ext xmlns:c16="http://schemas.microsoft.com/office/drawing/2014/chart" uri="{C3380CC4-5D6E-409C-BE32-E72D297353CC}">
              <c16:uniqueId val="{00000005-1528-47A7-9687-4BB12065881A}"/>
            </c:ext>
          </c:extLst>
        </c:ser>
        <c:ser>
          <c:idx val="6"/>
          <c:order val="6"/>
          <c:tx>
            <c:strRef>
              <c:f>'Prices by Case'!$B$18</c:f>
              <c:strCache>
                <c:ptCount val="1"/>
                <c:pt idx="0">
                  <c:v>South Atlantic</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Case'!$C$18:$AQ$18</c:f>
              <c:numCache>
                <c:formatCode>General</c:formatCode>
                <c:ptCount val="41"/>
                <c:pt idx="0">
                  <c:v>8.6455874780352708</c:v>
                </c:pt>
                <c:pt idx="1">
                  <c:v>7.6126830897202264</c:v>
                </c:pt>
                <c:pt idx="2">
                  <c:v>5.7441421781360376</c:v>
                </c:pt>
                <c:pt idx="3">
                  <c:v>6.4880622749653449</c:v>
                </c:pt>
                <c:pt idx="4">
                  <c:v>7.2176795218036691</c:v>
                </c:pt>
                <c:pt idx="5">
                  <c:v>5.2096382675996793</c:v>
                </c:pt>
                <c:pt idx="6">
                  <c:v>4.5142801956919705</c:v>
                </c:pt>
                <c:pt idx="7">
                  <c:v>4.872571007251846</c:v>
                </c:pt>
                <c:pt idx="8">
                  <c:v>4.6931878148266497</c:v>
                </c:pt>
                <c:pt idx="9">
                  <c:v>4.0989786868068077</c:v>
                </c:pt>
                <c:pt idx="10">
                  <c:v>3.5356090652751919</c:v>
                </c:pt>
                <c:pt idx="11">
                  <c:v>6.632815784981398</c:v>
                </c:pt>
                <c:pt idx="12">
                  <c:v>8.5436920603439983</c:v>
                </c:pt>
                <c:pt idx="13">
                  <c:v>3.743502878313373</c:v>
                </c:pt>
                <c:pt idx="14">
                  <c:v>3.481087</c:v>
                </c:pt>
                <c:pt idx="15">
                  <c:v>3.3710450000000001</c:v>
                </c:pt>
                <c:pt idx="16">
                  <c:v>3.2229549999999998</c:v>
                </c:pt>
                <c:pt idx="17">
                  <c:v>3.3525170000000002</c:v>
                </c:pt>
                <c:pt idx="18">
                  <c:v>3.4716170000000002</c:v>
                </c:pt>
                <c:pt idx="19">
                  <c:v>3.5365829999999998</c:v>
                </c:pt>
                <c:pt idx="20">
                  <c:v>3.637365</c:v>
                </c:pt>
                <c:pt idx="21">
                  <c:v>3.5104989999999998</c:v>
                </c:pt>
                <c:pt idx="22">
                  <c:v>3.9642780000000002</c:v>
                </c:pt>
                <c:pt idx="23">
                  <c:v>3.8483930000000002</c:v>
                </c:pt>
                <c:pt idx="24">
                  <c:v>3.874689</c:v>
                </c:pt>
                <c:pt idx="25">
                  <c:v>3.8865270000000001</c:v>
                </c:pt>
                <c:pt idx="26">
                  <c:v>3.8715220000000001</c:v>
                </c:pt>
                <c:pt idx="27">
                  <c:v>3.8260730000000001</c:v>
                </c:pt>
                <c:pt idx="28">
                  <c:v>3.8066499999999999</c:v>
                </c:pt>
                <c:pt idx="29">
                  <c:v>3.7871730000000001</c:v>
                </c:pt>
                <c:pt idx="30">
                  <c:v>3.8260420000000002</c:v>
                </c:pt>
                <c:pt idx="31">
                  <c:v>3.9027959999999999</c:v>
                </c:pt>
                <c:pt idx="32">
                  <c:v>3.9095369999999998</c:v>
                </c:pt>
                <c:pt idx="33">
                  <c:v>3.8985439999999998</c:v>
                </c:pt>
                <c:pt idx="34">
                  <c:v>3.86422</c:v>
                </c:pt>
                <c:pt idx="35">
                  <c:v>3.8474219999999999</c:v>
                </c:pt>
                <c:pt idx="36">
                  <c:v>3.857837</c:v>
                </c:pt>
                <c:pt idx="37">
                  <c:v>4.0069419999999996</c:v>
                </c:pt>
                <c:pt idx="38">
                  <c:v>4.0034989999999997</c:v>
                </c:pt>
                <c:pt idx="39">
                  <c:v>3.9665599999999999</c:v>
                </c:pt>
                <c:pt idx="40">
                  <c:v>3.9077769999999998</c:v>
                </c:pt>
              </c:numCache>
            </c:numRef>
          </c:yVal>
          <c:smooth val="0"/>
          <c:extLst>
            <c:ext xmlns:c16="http://schemas.microsoft.com/office/drawing/2014/chart" uri="{C3380CC4-5D6E-409C-BE32-E72D297353CC}">
              <c16:uniqueId val="{00000006-1528-47A7-9687-4BB12065881A}"/>
            </c:ext>
          </c:extLst>
        </c:ser>
        <c:ser>
          <c:idx val="7"/>
          <c:order val="7"/>
          <c:tx>
            <c:strRef>
              <c:f>'Prices by Case'!$B$19</c:f>
              <c:strCache>
                <c:ptCount val="1"/>
                <c:pt idx="0">
                  <c:v>West North Central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Case'!$C$19:$AQ$19</c:f>
              <c:numCache>
                <c:formatCode>General</c:formatCode>
                <c:ptCount val="41"/>
                <c:pt idx="0">
                  <c:v>7.7342882889509372</c:v>
                </c:pt>
                <c:pt idx="1">
                  <c:v>7.1878303510036723</c:v>
                </c:pt>
                <c:pt idx="2">
                  <c:v>4.8369681523439674</c:v>
                </c:pt>
                <c:pt idx="3">
                  <c:v>6.217397451918627</c:v>
                </c:pt>
                <c:pt idx="4">
                  <c:v>7.3986154289774317</c:v>
                </c:pt>
                <c:pt idx="5">
                  <c:v>4.4282165978108354</c:v>
                </c:pt>
                <c:pt idx="6">
                  <c:v>3.5004066167190326</c:v>
                </c:pt>
                <c:pt idx="7">
                  <c:v>4.4694969626417187</c:v>
                </c:pt>
                <c:pt idx="8">
                  <c:v>4.3344101992629396</c:v>
                </c:pt>
                <c:pt idx="9">
                  <c:v>3.3526081812708477</c:v>
                </c:pt>
                <c:pt idx="10">
                  <c:v>2.8541639768890446</c:v>
                </c:pt>
                <c:pt idx="11">
                  <c:v>5.6582080131603583</c:v>
                </c:pt>
                <c:pt idx="12">
                  <c:v>7.6279947132059984</c:v>
                </c:pt>
                <c:pt idx="13">
                  <c:v>3.0219888187301205</c:v>
                </c:pt>
                <c:pt idx="14">
                  <c:v>2.6217730000000001</c:v>
                </c:pt>
                <c:pt idx="15">
                  <c:v>2.708847</c:v>
                </c:pt>
                <c:pt idx="16">
                  <c:v>2.6646329999999998</c:v>
                </c:pt>
                <c:pt idx="17">
                  <c:v>2.7025730000000001</c:v>
                </c:pt>
                <c:pt idx="18">
                  <c:v>2.822133</c:v>
                </c:pt>
                <c:pt idx="19">
                  <c:v>2.905383</c:v>
                </c:pt>
                <c:pt idx="20">
                  <c:v>3.080562</c:v>
                </c:pt>
                <c:pt idx="21">
                  <c:v>3.1227710000000002</c:v>
                </c:pt>
                <c:pt idx="22">
                  <c:v>3.5014599999999998</c:v>
                </c:pt>
                <c:pt idx="23">
                  <c:v>3.5167989999999998</c:v>
                </c:pt>
                <c:pt idx="24">
                  <c:v>3.576314</c:v>
                </c:pt>
                <c:pt idx="25">
                  <c:v>3.6325530000000001</c:v>
                </c:pt>
                <c:pt idx="26">
                  <c:v>3.6516980000000001</c:v>
                </c:pt>
                <c:pt idx="27">
                  <c:v>3.584962</c:v>
                </c:pt>
                <c:pt idx="28">
                  <c:v>3.559825</c:v>
                </c:pt>
                <c:pt idx="29">
                  <c:v>3.5072770000000002</c:v>
                </c:pt>
                <c:pt idx="30">
                  <c:v>3.599415</c:v>
                </c:pt>
                <c:pt idx="31">
                  <c:v>3.7173889999999998</c:v>
                </c:pt>
                <c:pt idx="32">
                  <c:v>3.73176</c:v>
                </c:pt>
                <c:pt idx="33">
                  <c:v>3.7035589999999998</c:v>
                </c:pt>
                <c:pt idx="34">
                  <c:v>3.6468180000000001</c:v>
                </c:pt>
                <c:pt idx="35">
                  <c:v>3.6517979999999999</c:v>
                </c:pt>
                <c:pt idx="36">
                  <c:v>3.7209150000000002</c:v>
                </c:pt>
                <c:pt idx="37">
                  <c:v>3.6992910000000001</c:v>
                </c:pt>
                <c:pt idx="38">
                  <c:v>3.6895159999999998</c:v>
                </c:pt>
                <c:pt idx="39">
                  <c:v>3.6552479999999998</c:v>
                </c:pt>
                <c:pt idx="40">
                  <c:v>3.5918899999999998</c:v>
                </c:pt>
              </c:numCache>
            </c:numRef>
          </c:yVal>
          <c:smooth val="0"/>
          <c:extLst>
            <c:ext xmlns:c16="http://schemas.microsoft.com/office/drawing/2014/chart" uri="{C3380CC4-5D6E-409C-BE32-E72D297353CC}">
              <c16:uniqueId val="{00000007-1528-47A7-9687-4BB12065881A}"/>
            </c:ext>
          </c:extLst>
        </c:ser>
        <c:ser>
          <c:idx val="8"/>
          <c:order val="8"/>
          <c:tx>
            <c:strRef>
              <c:f>'Prices by Case'!$B$20</c:f>
              <c:strCache>
                <c:ptCount val="1"/>
                <c:pt idx="0">
                  <c:v>West South Central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Case'!$C$20:$AQ$20</c:f>
              <c:numCache>
                <c:formatCode>General</c:formatCode>
                <c:ptCount val="41"/>
                <c:pt idx="0">
                  <c:v>6.6138470952172108</c:v>
                </c:pt>
                <c:pt idx="1">
                  <c:v>6.0219340804874886</c:v>
                </c:pt>
                <c:pt idx="2">
                  <c:v>4.0862421172094443</c:v>
                </c:pt>
                <c:pt idx="3">
                  <c:v>5.3117252570087867</c:v>
                </c:pt>
                <c:pt idx="4">
                  <c:v>6.1419078301821202</c:v>
                </c:pt>
                <c:pt idx="5">
                  <c:v>3.7096081029697383</c:v>
                </c:pt>
                <c:pt idx="6">
                  <c:v>3.0974697864685288</c:v>
                </c:pt>
                <c:pt idx="7">
                  <c:v>3.8143408225748088</c:v>
                </c:pt>
                <c:pt idx="8">
                  <c:v>3.7845594665654065</c:v>
                </c:pt>
                <c:pt idx="9">
                  <c:v>2.8508973312239743</c:v>
                </c:pt>
                <c:pt idx="10">
                  <c:v>2.3729458382439561</c:v>
                </c:pt>
                <c:pt idx="11">
                  <c:v>5.4412251413813983</c:v>
                </c:pt>
                <c:pt idx="12">
                  <c:v>7.3605166775279978</c:v>
                </c:pt>
                <c:pt idx="13">
                  <c:v>2.5124750535327007</c:v>
                </c:pt>
                <c:pt idx="14">
                  <c:v>2.2106150000000002</c:v>
                </c:pt>
                <c:pt idx="15">
                  <c:v>2.2186140000000001</c:v>
                </c:pt>
                <c:pt idx="16">
                  <c:v>2.0592959999999998</c:v>
                </c:pt>
                <c:pt idx="17">
                  <c:v>2.0339040000000002</c:v>
                </c:pt>
                <c:pt idx="18">
                  <c:v>2.178029</c:v>
                </c:pt>
                <c:pt idx="19">
                  <c:v>2.2799839999999998</c:v>
                </c:pt>
                <c:pt idx="20">
                  <c:v>2.440423</c:v>
                </c:pt>
                <c:pt idx="21">
                  <c:v>2.5441889999999998</c:v>
                </c:pt>
                <c:pt idx="22">
                  <c:v>2.8430960000000001</c:v>
                </c:pt>
                <c:pt idx="23">
                  <c:v>2.9263029999999999</c:v>
                </c:pt>
                <c:pt idx="24">
                  <c:v>2.9592139999999998</c:v>
                </c:pt>
                <c:pt idx="25">
                  <c:v>2.9907569999999999</c:v>
                </c:pt>
                <c:pt idx="26">
                  <c:v>2.995825</c:v>
                </c:pt>
                <c:pt idx="27">
                  <c:v>2.9551940000000001</c:v>
                </c:pt>
                <c:pt idx="28">
                  <c:v>2.903788</c:v>
                </c:pt>
                <c:pt idx="29">
                  <c:v>2.8950230000000001</c:v>
                </c:pt>
                <c:pt idx="30">
                  <c:v>2.9543159999999999</c:v>
                </c:pt>
                <c:pt idx="31">
                  <c:v>3.0313729999999999</c:v>
                </c:pt>
                <c:pt idx="32">
                  <c:v>3.0681099999999999</c:v>
                </c:pt>
                <c:pt idx="33">
                  <c:v>3.0633110000000001</c:v>
                </c:pt>
                <c:pt idx="34">
                  <c:v>3.049417</c:v>
                </c:pt>
                <c:pt idx="35">
                  <c:v>3.0602450000000001</c:v>
                </c:pt>
                <c:pt idx="36">
                  <c:v>3.1017839999999999</c:v>
                </c:pt>
                <c:pt idx="37">
                  <c:v>3.0615800000000002</c:v>
                </c:pt>
                <c:pt idx="38">
                  <c:v>3.06514</c:v>
                </c:pt>
                <c:pt idx="39">
                  <c:v>3.0416439999999998</c:v>
                </c:pt>
                <c:pt idx="40">
                  <c:v>3.0104220000000002</c:v>
                </c:pt>
              </c:numCache>
            </c:numRef>
          </c:yVal>
          <c:smooth val="0"/>
          <c:extLst>
            <c:ext xmlns:c16="http://schemas.microsoft.com/office/drawing/2014/chart" uri="{C3380CC4-5D6E-409C-BE32-E72D297353CC}">
              <c16:uniqueId val="{00000008-1528-47A7-9687-4BB12065881A}"/>
            </c:ext>
          </c:extLst>
        </c:ser>
        <c:ser>
          <c:idx val="9"/>
          <c:order val="9"/>
          <c:tx>
            <c:strRef>
              <c:f>'Prices by Case'!$B$21</c:f>
              <c:strCache>
                <c:ptCount val="1"/>
                <c:pt idx="0">
                  <c:v>Total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Case'!$C$21:$AQ$21</c:f>
              <c:numCache>
                <c:formatCode>General</c:formatCode>
                <c:ptCount val="41"/>
                <c:pt idx="0">
                  <c:v>7.4287481187538065</c:v>
                </c:pt>
                <c:pt idx="1">
                  <c:v>6.7037262880480606</c:v>
                </c:pt>
                <c:pt idx="2">
                  <c:v>4.7928849172414028</c:v>
                </c:pt>
                <c:pt idx="3">
                  <c:v>5.997271557758733</c:v>
                </c:pt>
                <c:pt idx="4">
                  <c:v>6.7346123247610592</c:v>
                </c:pt>
                <c:pt idx="5">
                  <c:v>4.2877225773695686</c:v>
                </c:pt>
                <c:pt idx="6">
                  <c:v>3.7483609608280575</c:v>
                </c:pt>
                <c:pt idx="7">
                  <c:v>4.3257650457209484</c:v>
                </c:pt>
                <c:pt idx="8">
                  <c:v>4.2709841218622042</c:v>
                </c:pt>
                <c:pt idx="9">
                  <c:v>3.5042841007231984</c:v>
                </c:pt>
                <c:pt idx="10">
                  <c:v>2.9645882827064347</c:v>
                </c:pt>
                <c:pt idx="11">
                  <c:v>5.9572671857168391</c:v>
                </c:pt>
                <c:pt idx="12">
                  <c:v>7.5198121225289984</c:v>
                </c:pt>
                <c:pt idx="13">
                  <c:v>3.1389060737295731</c:v>
                </c:pt>
                <c:pt idx="14">
                  <c:v>2.7179669999999998</c:v>
                </c:pt>
                <c:pt idx="15">
                  <c:v>2.6831839999999998</c:v>
                </c:pt>
                <c:pt idx="16">
                  <c:v>2.5481530000000001</c:v>
                </c:pt>
                <c:pt idx="17">
                  <c:v>2.5562320000000001</c:v>
                </c:pt>
                <c:pt idx="18">
                  <c:v>2.6556739999999999</c:v>
                </c:pt>
                <c:pt idx="19">
                  <c:v>2.7328600000000001</c:v>
                </c:pt>
                <c:pt idx="20">
                  <c:v>2.8562949999999998</c:v>
                </c:pt>
                <c:pt idx="21">
                  <c:v>2.8866999999999998</c:v>
                </c:pt>
                <c:pt idx="22">
                  <c:v>3.2152980000000002</c:v>
                </c:pt>
                <c:pt idx="23">
                  <c:v>3.2623880000000001</c:v>
                </c:pt>
                <c:pt idx="24">
                  <c:v>3.3154279999999998</c:v>
                </c:pt>
                <c:pt idx="25">
                  <c:v>3.3408679999999999</c:v>
                </c:pt>
                <c:pt idx="26">
                  <c:v>3.3392400000000002</c:v>
                </c:pt>
                <c:pt idx="27">
                  <c:v>3.311086</c:v>
                </c:pt>
                <c:pt idx="28">
                  <c:v>3.2859929999999999</c:v>
                </c:pt>
                <c:pt idx="29">
                  <c:v>3.2698520000000002</c:v>
                </c:pt>
                <c:pt idx="30">
                  <c:v>3.3216079999999999</c:v>
                </c:pt>
                <c:pt idx="31">
                  <c:v>3.391181</c:v>
                </c:pt>
                <c:pt idx="32">
                  <c:v>3.406933</c:v>
                </c:pt>
                <c:pt idx="33">
                  <c:v>3.3668330000000002</c:v>
                </c:pt>
                <c:pt idx="34">
                  <c:v>3.3064499999999999</c:v>
                </c:pt>
                <c:pt idx="35">
                  <c:v>3.2917719999999999</c:v>
                </c:pt>
                <c:pt idx="36">
                  <c:v>3.3040370000000001</c:v>
                </c:pt>
                <c:pt idx="37">
                  <c:v>3.3022849999999999</c:v>
                </c:pt>
                <c:pt idx="38">
                  <c:v>3.2958889999999998</c:v>
                </c:pt>
                <c:pt idx="39">
                  <c:v>3.2604829999999998</c:v>
                </c:pt>
                <c:pt idx="40">
                  <c:v>3.2284630000000001</c:v>
                </c:pt>
              </c:numCache>
            </c:numRef>
          </c:yVal>
          <c:smooth val="0"/>
          <c:extLst>
            <c:ext xmlns:c16="http://schemas.microsoft.com/office/drawing/2014/chart" uri="{C3380CC4-5D6E-409C-BE32-E72D297353CC}">
              <c16:uniqueId val="{00000009-1528-47A7-9687-4BB12065881A}"/>
            </c:ext>
          </c:extLst>
        </c:ser>
        <c:dLbls>
          <c:showLegendKey val="0"/>
          <c:showVal val="0"/>
          <c:showCatName val="0"/>
          <c:showSerName val="0"/>
          <c:showPercent val="0"/>
          <c:showBubbleSize val="0"/>
        </c:dLbls>
        <c:axId val="405237288"/>
        <c:axId val="405237680"/>
      </c:scatterChart>
      <c:valAx>
        <c:axId val="405237288"/>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405237680"/>
        <c:crosses val="autoZero"/>
        <c:crossBetween val="midCat"/>
      </c:valAx>
      <c:valAx>
        <c:axId val="405237680"/>
        <c:scaling>
          <c:orientation val="minMax"/>
          <c:max val="10"/>
        </c:scaling>
        <c:delete val="0"/>
        <c:axPos val="l"/>
        <c:title>
          <c:tx>
            <c:rich>
              <a:bodyPr rot="-5400000" vert="horz"/>
              <a:lstStyle/>
              <a:p>
                <a:pPr>
                  <a:defRPr/>
                </a:pPr>
                <a:r>
                  <a:rPr lang="en-US" baseline="0"/>
                  <a:t>NG Price (2013$/MMBtu)</a:t>
                </a:r>
                <a:endParaRPr lang="en-US"/>
              </a:p>
            </c:rich>
          </c:tx>
          <c:overlay val="0"/>
        </c:title>
        <c:numFmt formatCode="General" sourceLinked="1"/>
        <c:majorTickMark val="out"/>
        <c:minorTickMark val="none"/>
        <c:tickLblPos val="nextTo"/>
        <c:crossAx val="405237288"/>
        <c:crosses val="autoZero"/>
        <c:crossBetween val="midCat"/>
      </c:valAx>
      <c:spPr>
        <a:ln>
          <a:solidFill>
            <a:schemeClr val="tx1">
              <a:lumMod val="50000"/>
              <a:lumOff val="50000"/>
            </a:schemeClr>
          </a:solidFill>
        </a:ln>
      </c:spPr>
    </c:plotArea>
    <c:legend>
      <c:legendPos val="r"/>
      <c:layout>
        <c:manualLayout>
          <c:xMode val="edge"/>
          <c:yMode val="edge"/>
          <c:x val="0.62261498081970512"/>
          <c:y val="6.5260058473703447E-2"/>
          <c:w val="0.11174399353926913"/>
          <c:h val="0.41228712689983521"/>
        </c:manualLayout>
      </c:layout>
      <c:overlay val="1"/>
      <c:spPr>
        <a:solidFill>
          <a:sysClr val="window" lastClr="FFFFFF">
            <a:lumMod val="100000"/>
          </a:sysClr>
        </a:solidFill>
        <a:ln w="9525" cap="flat" cmpd="sng" algn="ctr">
          <a:solidFill>
            <a:sysClr val="windowText" lastClr="000000">
              <a:lumMod val="50000"/>
              <a:lumOff val="50000"/>
            </a:sysClr>
          </a:solidFill>
          <a:prstDash val="solid"/>
          <a:round/>
          <a:headEnd type="none" w="med" len="med"/>
          <a:tailEnd type="none" w="med" len="med"/>
        </a:ln>
      </c:sp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'Prices by Case'!$B$22</c:f>
              <c:strCache>
                <c:ptCount val="1"/>
                <c:pt idx="0">
                  <c:v>East North Central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Case'!$C$22:$AQ$22</c:f>
              <c:numCache>
                <c:formatCode>General</c:formatCode>
                <c:ptCount val="41"/>
                <c:pt idx="0">
                  <c:v>7.090994508717106</c:v>
                </c:pt>
                <c:pt idx="1">
                  <c:v>6.4152443188854322</c:v>
                </c:pt>
                <c:pt idx="2">
                  <c:v>4.3183962877048669</c:v>
                </c:pt>
                <c:pt idx="3">
                  <c:v>5.6445716047461643</c:v>
                </c:pt>
                <c:pt idx="4">
                  <c:v>6.9015738325704152</c:v>
                </c:pt>
                <c:pt idx="5">
                  <c:v>3.7284692761307245</c:v>
                </c:pt>
                <c:pt idx="6">
                  <c:v>3.6043292687159338</c:v>
                </c:pt>
                <c:pt idx="7">
                  <c:v>4.2513316214100101</c:v>
                </c:pt>
                <c:pt idx="8">
                  <c:v>4.0830605958860016</c:v>
                </c:pt>
                <c:pt idx="9">
                  <c:v>3.0741546450235249</c:v>
                </c:pt>
                <c:pt idx="10">
                  <c:v>2.4336007775091524</c:v>
                </c:pt>
                <c:pt idx="11">
                  <c:v>5.2120498678617588</c:v>
                </c:pt>
                <c:pt idx="12">
                  <c:v>6.7368104551439982</c:v>
                </c:pt>
                <c:pt idx="13">
                  <c:v>2.5766965032266906</c:v>
                </c:pt>
                <c:pt idx="14">
                  <c:v>2.306225</c:v>
                </c:pt>
                <c:pt idx="15">
                  <c:v>3.7578860000000001</c:v>
                </c:pt>
                <c:pt idx="16">
                  <c:v>3.8001</c:v>
                </c:pt>
                <c:pt idx="17">
                  <c:v>3.9304410000000001</c:v>
                </c:pt>
                <c:pt idx="18">
                  <c:v>4.1682050000000004</c:v>
                </c:pt>
                <c:pt idx="19">
                  <c:v>4.6205800000000004</c:v>
                </c:pt>
                <c:pt idx="20">
                  <c:v>5.4836080000000003</c:v>
                </c:pt>
                <c:pt idx="21">
                  <c:v>6.0321550000000004</c:v>
                </c:pt>
                <c:pt idx="22">
                  <c:v>6.9009749999999999</c:v>
                </c:pt>
                <c:pt idx="23">
                  <c:v>7.2431039999999998</c:v>
                </c:pt>
                <c:pt idx="24">
                  <c:v>7.4480599999999999</c:v>
                </c:pt>
                <c:pt idx="25">
                  <c:v>7.5519230000000004</c:v>
                </c:pt>
                <c:pt idx="26">
                  <c:v>7.7289630000000002</c:v>
                </c:pt>
                <c:pt idx="27">
                  <c:v>7.5688279999999999</c:v>
                </c:pt>
                <c:pt idx="28">
                  <c:v>7.3927480000000001</c:v>
                </c:pt>
                <c:pt idx="29">
                  <c:v>7.2979219999999998</c:v>
                </c:pt>
                <c:pt idx="30">
                  <c:v>7.3823619999999996</c:v>
                </c:pt>
                <c:pt idx="31">
                  <c:v>7.3229389999999999</c:v>
                </c:pt>
                <c:pt idx="32">
                  <c:v>7.1993340000000003</c:v>
                </c:pt>
                <c:pt idx="33">
                  <c:v>7.0841609999999999</c:v>
                </c:pt>
                <c:pt idx="34">
                  <c:v>7.0902440000000002</c:v>
                </c:pt>
                <c:pt idx="35">
                  <c:v>7.1155540000000004</c:v>
                </c:pt>
                <c:pt idx="36">
                  <c:v>7.3277749999999999</c:v>
                </c:pt>
                <c:pt idx="37">
                  <c:v>7.5644650000000002</c:v>
                </c:pt>
                <c:pt idx="38">
                  <c:v>7.8537400000000002</c:v>
                </c:pt>
                <c:pt idx="39">
                  <c:v>8.1567819999999998</c:v>
                </c:pt>
                <c:pt idx="40">
                  <c:v>8.4581359999999997</c:v>
                </c:pt>
              </c:numCache>
            </c:numRef>
          </c:yVal>
          <c:smooth val="0"/>
          <c:extLst>
            <c:ext xmlns:c16="http://schemas.microsoft.com/office/drawing/2014/chart" uri="{C3380CC4-5D6E-409C-BE32-E72D297353CC}">
              <c16:uniqueId val="{00000000-6C4D-45CF-A648-CCE8DAF06782}"/>
            </c:ext>
          </c:extLst>
        </c:ser>
        <c:ser>
          <c:idx val="1"/>
          <c:order val="1"/>
          <c:tx>
            <c:strRef>
              <c:f>'Prices by Case'!$B$23</c:f>
              <c:strCache>
                <c:ptCount val="1"/>
                <c:pt idx="0">
                  <c:v>East South Central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Case'!$C$23:$AQ$23</c:f>
              <c:numCache>
                <c:formatCode>General</c:formatCode>
                <c:ptCount val="41"/>
                <c:pt idx="0">
                  <c:v>6.8646270393788669</c:v>
                </c:pt>
                <c:pt idx="1">
                  <c:v>6.0358029832029461</c:v>
                </c:pt>
                <c:pt idx="2">
                  <c:v>4.1713367840510776</c:v>
                </c:pt>
                <c:pt idx="3">
                  <c:v>5.4256613490178243</c:v>
                </c:pt>
                <c:pt idx="4">
                  <c:v>6.1961337234536131</c:v>
                </c:pt>
                <c:pt idx="5">
                  <c:v>3.8318580449735551</c:v>
                </c:pt>
                <c:pt idx="6">
                  <c:v>3.3489419294063545</c:v>
                </c:pt>
                <c:pt idx="7">
                  <c:v>4.0602410342776896</c:v>
                </c:pt>
                <c:pt idx="8">
                  <c:v>4.0259848629389596</c:v>
                </c:pt>
                <c:pt idx="9">
                  <c:v>3.2921435015159952</c:v>
                </c:pt>
                <c:pt idx="10">
                  <c:v>2.7713175857850891</c:v>
                </c:pt>
                <c:pt idx="11">
                  <c:v>5.9408671964317188</c:v>
                </c:pt>
                <c:pt idx="12">
                  <c:v>7.9109310773429984</c:v>
                </c:pt>
                <c:pt idx="13">
                  <c:v>2.9342710598292521</c:v>
                </c:pt>
                <c:pt idx="14">
                  <c:v>2.671443</c:v>
                </c:pt>
                <c:pt idx="15">
                  <c:v>4.1588589999999996</c:v>
                </c:pt>
                <c:pt idx="16">
                  <c:v>4.1826670000000004</c:v>
                </c:pt>
                <c:pt idx="17">
                  <c:v>4.3378110000000003</c:v>
                </c:pt>
                <c:pt idx="18">
                  <c:v>4.6865800000000002</c:v>
                </c:pt>
                <c:pt idx="19">
                  <c:v>5.1495420000000003</c:v>
                </c:pt>
                <c:pt idx="20">
                  <c:v>6.1109400000000003</c:v>
                </c:pt>
                <c:pt idx="21">
                  <c:v>6.6228800000000003</c:v>
                </c:pt>
                <c:pt idx="22">
                  <c:v>7.3927699999999996</c:v>
                </c:pt>
                <c:pt idx="23">
                  <c:v>7.728008</c:v>
                </c:pt>
                <c:pt idx="24">
                  <c:v>7.8927909999999999</c:v>
                </c:pt>
                <c:pt idx="25">
                  <c:v>8.0541879999999999</c:v>
                </c:pt>
                <c:pt idx="26">
                  <c:v>8.2534430000000008</c:v>
                </c:pt>
                <c:pt idx="27">
                  <c:v>8.2121150000000007</c:v>
                </c:pt>
                <c:pt idx="28">
                  <c:v>7.8991439999999997</c:v>
                </c:pt>
                <c:pt idx="29">
                  <c:v>8.1101530000000004</c:v>
                </c:pt>
                <c:pt idx="30">
                  <c:v>8.0719259999999995</c:v>
                </c:pt>
                <c:pt idx="31">
                  <c:v>8.3340879999999995</c:v>
                </c:pt>
                <c:pt idx="32">
                  <c:v>8.1413960000000003</c:v>
                </c:pt>
                <c:pt idx="33">
                  <c:v>7.9723930000000003</c:v>
                </c:pt>
                <c:pt idx="34">
                  <c:v>8.1796170000000004</c:v>
                </c:pt>
                <c:pt idx="35">
                  <c:v>8.1051529999999996</c:v>
                </c:pt>
                <c:pt idx="36">
                  <c:v>8.1479009999999992</c:v>
                </c:pt>
                <c:pt idx="37">
                  <c:v>8.5137029999999996</c:v>
                </c:pt>
                <c:pt idx="38">
                  <c:v>8.7466120000000007</c:v>
                </c:pt>
                <c:pt idx="39">
                  <c:v>9.0292499999999993</c:v>
                </c:pt>
                <c:pt idx="40">
                  <c:v>9.3488930000000003</c:v>
                </c:pt>
              </c:numCache>
            </c:numRef>
          </c:yVal>
          <c:smooth val="0"/>
          <c:extLst>
            <c:ext xmlns:c16="http://schemas.microsoft.com/office/drawing/2014/chart" uri="{C3380CC4-5D6E-409C-BE32-E72D297353CC}">
              <c16:uniqueId val="{00000001-6C4D-45CF-A648-CCE8DAF06782}"/>
            </c:ext>
          </c:extLst>
        </c:ser>
        <c:ser>
          <c:idx val="2"/>
          <c:order val="2"/>
          <c:tx>
            <c:strRef>
              <c:f>'Prices by Case'!$B$24</c:f>
              <c:strCache>
                <c:ptCount val="1"/>
                <c:pt idx="0">
                  <c:v>Middle Atlantic</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Case'!$C$24:$AQ$24</c:f>
              <c:numCache>
                <c:formatCode>General</c:formatCode>
                <c:ptCount val="41"/>
                <c:pt idx="0">
                  <c:v>7.8163644994350978</c:v>
                </c:pt>
                <c:pt idx="1">
                  <c:v>7.1816098697838058</c:v>
                </c:pt>
                <c:pt idx="2">
                  <c:v>4.92095484442806</c:v>
                </c:pt>
                <c:pt idx="3">
                  <c:v>6.2217721142422837</c:v>
                </c:pt>
                <c:pt idx="4">
                  <c:v>6.7497855572105729</c:v>
                </c:pt>
                <c:pt idx="5">
                  <c:v>3.8503199987203129</c:v>
                </c:pt>
                <c:pt idx="6">
                  <c:v>3.6610676709662813</c:v>
                </c:pt>
                <c:pt idx="7">
                  <c:v>4.1596902485794329</c:v>
                </c:pt>
                <c:pt idx="8">
                  <c:v>4.2283623169574369</c:v>
                </c:pt>
                <c:pt idx="9">
                  <c:v>3.5693197617014345</c:v>
                </c:pt>
                <c:pt idx="10">
                  <c:v>2.9222608833010848</c:v>
                </c:pt>
                <c:pt idx="11">
                  <c:v>5.3239298173387199</c:v>
                </c:pt>
                <c:pt idx="12">
                  <c:v>6.1751710657979988</c:v>
                </c:pt>
                <c:pt idx="13">
                  <c:v>3.0940898232391887</c:v>
                </c:pt>
                <c:pt idx="14">
                  <c:v>2.291188</c:v>
                </c:pt>
                <c:pt idx="15">
                  <c:v>3.6295989999999998</c:v>
                </c:pt>
                <c:pt idx="16">
                  <c:v>3.8348640000000001</c:v>
                </c:pt>
                <c:pt idx="17">
                  <c:v>3.8353299999999999</c:v>
                </c:pt>
                <c:pt idx="18">
                  <c:v>4.0094110000000001</c:v>
                </c:pt>
                <c:pt idx="19">
                  <c:v>4.4036629999999999</c:v>
                </c:pt>
                <c:pt idx="20">
                  <c:v>5.1167420000000003</c:v>
                </c:pt>
                <c:pt idx="21">
                  <c:v>5.6238029999999997</c:v>
                </c:pt>
                <c:pt idx="22">
                  <c:v>6.4558770000000001</c:v>
                </c:pt>
                <c:pt idx="23">
                  <c:v>6.8163689999999999</c:v>
                </c:pt>
                <c:pt idx="24">
                  <c:v>7.0070790000000001</c:v>
                </c:pt>
                <c:pt idx="25">
                  <c:v>7.1630310000000001</c:v>
                </c:pt>
                <c:pt idx="26">
                  <c:v>7.1374170000000001</c:v>
                </c:pt>
                <c:pt idx="27">
                  <c:v>6.9496390000000003</c:v>
                </c:pt>
                <c:pt idx="28">
                  <c:v>6.7629149999999996</c:v>
                </c:pt>
                <c:pt idx="29">
                  <c:v>6.7378989999999996</c:v>
                </c:pt>
                <c:pt idx="30">
                  <c:v>6.6783539999999997</c:v>
                </c:pt>
                <c:pt idx="31">
                  <c:v>6.644736</c:v>
                </c:pt>
                <c:pt idx="32">
                  <c:v>6.4478559999999998</c:v>
                </c:pt>
                <c:pt idx="33">
                  <c:v>6.3347389999999999</c:v>
                </c:pt>
                <c:pt idx="34">
                  <c:v>6.3449059999999999</c:v>
                </c:pt>
                <c:pt idx="35">
                  <c:v>6.3519379999999996</c:v>
                </c:pt>
                <c:pt idx="36">
                  <c:v>6.4292350000000003</c:v>
                </c:pt>
                <c:pt idx="37">
                  <c:v>6.6618959999999996</c:v>
                </c:pt>
                <c:pt idx="38">
                  <c:v>6.9159470000000001</c:v>
                </c:pt>
                <c:pt idx="39">
                  <c:v>7.2548170000000001</c:v>
                </c:pt>
                <c:pt idx="40">
                  <c:v>7.5822599999999998</c:v>
                </c:pt>
              </c:numCache>
            </c:numRef>
          </c:yVal>
          <c:smooth val="0"/>
          <c:extLst>
            <c:ext xmlns:c16="http://schemas.microsoft.com/office/drawing/2014/chart" uri="{C3380CC4-5D6E-409C-BE32-E72D297353CC}">
              <c16:uniqueId val="{00000002-6C4D-45CF-A648-CCE8DAF06782}"/>
            </c:ext>
          </c:extLst>
        </c:ser>
        <c:ser>
          <c:idx val="3"/>
          <c:order val="3"/>
          <c:tx>
            <c:strRef>
              <c:f>'Prices by Case'!$B$25</c:f>
              <c:strCache>
                <c:ptCount val="1"/>
                <c:pt idx="0">
                  <c:v>Mountain</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Case'!$C$25:$AQ$25</c:f>
              <c:numCache>
                <c:formatCode>General</c:formatCode>
                <c:ptCount val="41"/>
                <c:pt idx="0">
                  <c:v>7.2146330760128921</c:v>
                </c:pt>
                <c:pt idx="1">
                  <c:v>6.7590396787123188</c:v>
                </c:pt>
                <c:pt idx="2">
                  <c:v>4.8126921868409474</c:v>
                </c:pt>
                <c:pt idx="3">
                  <c:v>6.0267139856312832</c:v>
                </c:pt>
                <c:pt idx="4">
                  <c:v>6.5332482987966625</c:v>
                </c:pt>
                <c:pt idx="5">
                  <c:v>4.2834864127316594</c:v>
                </c:pt>
                <c:pt idx="6">
                  <c:v>3.5443835743986463</c:v>
                </c:pt>
                <c:pt idx="7">
                  <c:v>4.1952504305202671</c:v>
                </c:pt>
                <c:pt idx="8">
                  <c:v>4.3117016969307889</c:v>
                </c:pt>
                <c:pt idx="9">
                  <c:v>3.5556913977321183</c:v>
                </c:pt>
                <c:pt idx="10">
                  <c:v>3.1170105258419452</c:v>
                </c:pt>
                <c:pt idx="11">
                  <c:v>6.2959380705421193</c:v>
                </c:pt>
                <c:pt idx="12">
                  <c:v>7.8164372108969982</c:v>
                </c:pt>
                <c:pt idx="13">
                  <c:v>3.3002907447614516</c:v>
                </c:pt>
                <c:pt idx="14">
                  <c:v>2.867855</c:v>
                </c:pt>
                <c:pt idx="15">
                  <c:v>4.1460410000000003</c:v>
                </c:pt>
                <c:pt idx="16">
                  <c:v>4.1163800000000004</c:v>
                </c:pt>
                <c:pt idx="17">
                  <c:v>4.2696230000000002</c:v>
                </c:pt>
                <c:pt idx="18">
                  <c:v>4.6509970000000003</c:v>
                </c:pt>
                <c:pt idx="19">
                  <c:v>5.207363</c:v>
                </c:pt>
                <c:pt idx="20">
                  <c:v>6.2199169999999997</c:v>
                </c:pt>
                <c:pt idx="21">
                  <c:v>6.8236980000000003</c:v>
                </c:pt>
                <c:pt idx="22">
                  <c:v>7.8236990000000004</c:v>
                </c:pt>
                <c:pt idx="23">
                  <c:v>8.029579</c:v>
                </c:pt>
                <c:pt idx="24">
                  <c:v>8.2581910000000001</c:v>
                </c:pt>
                <c:pt idx="25">
                  <c:v>8.4441729999999993</c:v>
                </c:pt>
                <c:pt idx="26">
                  <c:v>8.7535729999999994</c:v>
                </c:pt>
                <c:pt idx="27">
                  <c:v>8.7395209999999999</c:v>
                </c:pt>
                <c:pt idx="28">
                  <c:v>8.6732779999999998</c:v>
                </c:pt>
                <c:pt idx="29">
                  <c:v>9.00624</c:v>
                </c:pt>
                <c:pt idx="30">
                  <c:v>9.0266760000000001</c:v>
                </c:pt>
                <c:pt idx="31">
                  <c:v>8.6733530000000005</c:v>
                </c:pt>
                <c:pt idx="32">
                  <c:v>8.4620219999999993</c:v>
                </c:pt>
                <c:pt idx="33">
                  <c:v>8.2417020000000001</c:v>
                </c:pt>
                <c:pt idx="34">
                  <c:v>8.5078600000000009</c:v>
                </c:pt>
                <c:pt idx="35">
                  <c:v>8.6580209999999997</c:v>
                </c:pt>
                <c:pt idx="36">
                  <c:v>8.6846990000000002</c:v>
                </c:pt>
                <c:pt idx="37">
                  <c:v>9.0640149999999995</c:v>
                </c:pt>
                <c:pt idx="38">
                  <c:v>9.5109159999999999</c:v>
                </c:pt>
                <c:pt idx="39">
                  <c:v>9.8334869999999999</c:v>
                </c:pt>
                <c:pt idx="40">
                  <c:v>10.207070999999999</c:v>
                </c:pt>
              </c:numCache>
            </c:numRef>
          </c:yVal>
          <c:smooth val="0"/>
          <c:extLst>
            <c:ext xmlns:c16="http://schemas.microsoft.com/office/drawing/2014/chart" uri="{C3380CC4-5D6E-409C-BE32-E72D297353CC}">
              <c16:uniqueId val="{00000003-6C4D-45CF-A648-CCE8DAF06782}"/>
            </c:ext>
          </c:extLst>
        </c:ser>
        <c:ser>
          <c:idx val="4"/>
          <c:order val="4"/>
          <c:tx>
            <c:strRef>
              <c:f>'Prices by Case'!$B$26</c:f>
              <c:strCache>
                <c:ptCount val="1"/>
                <c:pt idx="0">
                  <c:v>New England</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Case'!$C$26:$AQ$26</c:f>
              <c:numCache>
                <c:formatCode>General</c:formatCode>
                <c:ptCount val="41"/>
                <c:pt idx="0">
                  <c:v>7.7704294706317905</c:v>
                </c:pt>
                <c:pt idx="1">
                  <c:v>6.976605820209147</c:v>
                </c:pt>
                <c:pt idx="2">
                  <c:v>5.1256876548060566</c:v>
                </c:pt>
                <c:pt idx="3">
                  <c:v>8.0681247014345718</c:v>
                </c:pt>
                <c:pt idx="4">
                  <c:v>8.7692015299317383</c:v>
                </c:pt>
                <c:pt idx="5">
                  <c:v>5.6641394518249273</c:v>
                </c:pt>
                <c:pt idx="6">
                  <c:v>5.1482992248515442</c:v>
                </c:pt>
                <c:pt idx="7">
                  <c:v>5.3552845357250467</c:v>
                </c:pt>
                <c:pt idx="8">
                  <c:v>5.8812537804770528</c:v>
                </c:pt>
                <c:pt idx="9">
                  <c:v>5.4764620814960274</c:v>
                </c:pt>
                <c:pt idx="10">
                  <c:v>4.8945565983197907</c:v>
                </c:pt>
                <c:pt idx="11">
                  <c:v>7.9478482779536375</c:v>
                </c:pt>
                <c:pt idx="12">
                  <c:v>8.928908763767998</c:v>
                </c:pt>
                <c:pt idx="13">
                  <c:v>5.1823565263009943</c:v>
                </c:pt>
                <c:pt idx="14">
                  <c:v>3.9510209999999999</c:v>
                </c:pt>
                <c:pt idx="15">
                  <c:v>4.8258559999999999</c:v>
                </c:pt>
                <c:pt idx="16">
                  <c:v>4.6057829999999997</c:v>
                </c:pt>
                <c:pt idx="17">
                  <c:v>4.3438270000000001</c:v>
                </c:pt>
                <c:pt idx="18">
                  <c:v>4.3952169999999997</c:v>
                </c:pt>
                <c:pt idx="19">
                  <c:v>4.7839929999999997</c:v>
                </c:pt>
                <c:pt idx="20">
                  <c:v>5.4299949999999999</c:v>
                </c:pt>
                <c:pt idx="21">
                  <c:v>6.0237270000000001</c:v>
                </c:pt>
                <c:pt idx="22">
                  <c:v>6.7694840000000003</c:v>
                </c:pt>
                <c:pt idx="23">
                  <c:v>7.2394619999999996</c:v>
                </c:pt>
                <c:pt idx="24">
                  <c:v>7.5731840000000004</c:v>
                </c:pt>
                <c:pt idx="25">
                  <c:v>7.6702279999999998</c:v>
                </c:pt>
                <c:pt idx="26">
                  <c:v>7.708939</c:v>
                </c:pt>
                <c:pt idx="27">
                  <c:v>7.5586039999999999</c:v>
                </c:pt>
                <c:pt idx="28">
                  <c:v>7.3439880000000004</c:v>
                </c:pt>
                <c:pt idx="29">
                  <c:v>7.2511159999999997</c:v>
                </c:pt>
                <c:pt idx="30">
                  <c:v>7.2187060000000001</c:v>
                </c:pt>
                <c:pt idx="31">
                  <c:v>7.0659580000000002</c:v>
                </c:pt>
                <c:pt idx="32">
                  <c:v>6.9633919999999998</c:v>
                </c:pt>
                <c:pt idx="33">
                  <c:v>6.8085310000000003</c:v>
                </c:pt>
                <c:pt idx="34">
                  <c:v>6.5033709999999996</c:v>
                </c:pt>
                <c:pt idx="35">
                  <c:v>6.3494289999999998</c:v>
                </c:pt>
                <c:pt idx="36">
                  <c:v>6.509525</c:v>
                </c:pt>
                <c:pt idx="37">
                  <c:v>6.6898179999999998</c:v>
                </c:pt>
                <c:pt idx="38">
                  <c:v>6.9189850000000002</c:v>
                </c:pt>
                <c:pt idx="39">
                  <c:v>7.2379220000000002</c:v>
                </c:pt>
                <c:pt idx="40">
                  <c:v>7.5539509999999996</c:v>
                </c:pt>
              </c:numCache>
            </c:numRef>
          </c:yVal>
          <c:smooth val="0"/>
          <c:extLst>
            <c:ext xmlns:c16="http://schemas.microsoft.com/office/drawing/2014/chart" uri="{C3380CC4-5D6E-409C-BE32-E72D297353CC}">
              <c16:uniqueId val="{00000004-6C4D-45CF-A648-CCE8DAF06782}"/>
            </c:ext>
          </c:extLst>
        </c:ser>
        <c:ser>
          <c:idx val="5"/>
          <c:order val="5"/>
          <c:tx>
            <c:strRef>
              <c:f>'Prices by Case'!$B$27</c:f>
              <c:strCache>
                <c:ptCount val="1"/>
                <c:pt idx="0">
                  <c:v>Pacific</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Case'!$C$27:$AQ$27</c:f>
              <c:numCache>
                <c:formatCode>General</c:formatCode>
                <c:ptCount val="41"/>
                <c:pt idx="0">
                  <c:v>6.9220750255495984</c:v>
                </c:pt>
                <c:pt idx="1">
                  <c:v>6.5230920278203843</c:v>
                </c:pt>
                <c:pt idx="2">
                  <c:v>4.981962977951806</c:v>
                </c:pt>
                <c:pt idx="3">
                  <c:v>5.9665944124189529</c:v>
                </c:pt>
                <c:pt idx="4">
                  <c:v>6.6528652175327077</c:v>
                </c:pt>
                <c:pt idx="5">
                  <c:v>4.318227658544374</c:v>
                </c:pt>
                <c:pt idx="6">
                  <c:v>3.6670861353628124</c:v>
                </c:pt>
                <c:pt idx="7">
                  <c:v>4.1891583924729243</c:v>
                </c:pt>
                <c:pt idx="8">
                  <c:v>4.3173220450187113</c:v>
                </c:pt>
                <c:pt idx="9">
                  <c:v>3.7488371122416662</c:v>
                </c:pt>
                <c:pt idx="10">
                  <c:v>3.3050449558401449</c:v>
                </c:pt>
                <c:pt idx="11">
                  <c:v>6.7127102023085996</c:v>
                </c:pt>
                <c:pt idx="12">
                  <c:v>8.0403981934499988</c:v>
                </c:pt>
                <c:pt idx="13">
                  <c:v>3.4993815992435451</c:v>
                </c:pt>
                <c:pt idx="14">
                  <c:v>3.2138499999999999</c:v>
                </c:pt>
                <c:pt idx="15">
                  <c:v>4.2479040000000001</c:v>
                </c:pt>
                <c:pt idx="16">
                  <c:v>4.1191959999999996</c:v>
                </c:pt>
                <c:pt idx="17">
                  <c:v>4.2259539999999998</c:v>
                </c:pt>
                <c:pt idx="18">
                  <c:v>4.6940080000000002</c:v>
                </c:pt>
                <c:pt idx="19">
                  <c:v>5.2104739999999996</c:v>
                </c:pt>
                <c:pt idx="20">
                  <c:v>6.2085270000000001</c:v>
                </c:pt>
                <c:pt idx="21">
                  <c:v>6.8871479999999998</c:v>
                </c:pt>
                <c:pt idx="22">
                  <c:v>7.7951889999999997</c:v>
                </c:pt>
                <c:pt idx="23">
                  <c:v>8.0109929999999991</c:v>
                </c:pt>
                <c:pt idx="24">
                  <c:v>8.1961809999999993</c:v>
                </c:pt>
                <c:pt idx="25">
                  <c:v>8.2780699999999996</c:v>
                </c:pt>
                <c:pt idx="26">
                  <c:v>8.4918019999999999</c:v>
                </c:pt>
                <c:pt idx="27">
                  <c:v>8.407489</c:v>
                </c:pt>
                <c:pt idx="28">
                  <c:v>8.3228989999999996</c:v>
                </c:pt>
                <c:pt idx="29">
                  <c:v>8.5919120000000007</c:v>
                </c:pt>
                <c:pt idx="30">
                  <c:v>8.6618899999999996</c:v>
                </c:pt>
                <c:pt idx="31">
                  <c:v>8.6449379999999998</c:v>
                </c:pt>
                <c:pt idx="32">
                  <c:v>8.3815089999999994</c:v>
                </c:pt>
                <c:pt idx="33">
                  <c:v>8.2529240000000001</c:v>
                </c:pt>
                <c:pt idx="34">
                  <c:v>8.4469949999999994</c:v>
                </c:pt>
                <c:pt idx="35">
                  <c:v>8.5748440000000006</c:v>
                </c:pt>
                <c:pt idx="36">
                  <c:v>8.6313739999999992</c:v>
                </c:pt>
                <c:pt idx="37">
                  <c:v>8.9645810000000008</c:v>
                </c:pt>
                <c:pt idx="38">
                  <c:v>9.2874219999999994</c:v>
                </c:pt>
                <c:pt idx="39">
                  <c:v>9.5286010000000001</c:v>
                </c:pt>
                <c:pt idx="40">
                  <c:v>9.8219650000000005</c:v>
                </c:pt>
              </c:numCache>
            </c:numRef>
          </c:yVal>
          <c:smooth val="0"/>
          <c:extLst>
            <c:ext xmlns:c16="http://schemas.microsoft.com/office/drawing/2014/chart" uri="{C3380CC4-5D6E-409C-BE32-E72D297353CC}">
              <c16:uniqueId val="{00000005-6C4D-45CF-A648-CCE8DAF06782}"/>
            </c:ext>
          </c:extLst>
        </c:ser>
        <c:ser>
          <c:idx val="6"/>
          <c:order val="6"/>
          <c:tx>
            <c:strRef>
              <c:f>'Prices by Case'!$B$28</c:f>
              <c:strCache>
                <c:ptCount val="1"/>
                <c:pt idx="0">
                  <c:v>South Atlantic</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Case'!$C$28:$AQ$28</c:f>
              <c:numCache>
                <c:formatCode>General</c:formatCode>
                <c:ptCount val="41"/>
                <c:pt idx="0">
                  <c:v>8.6455874780352708</c:v>
                </c:pt>
                <c:pt idx="1">
                  <c:v>7.6126830897202264</c:v>
                </c:pt>
                <c:pt idx="2">
                  <c:v>5.7441421781360376</c:v>
                </c:pt>
                <c:pt idx="3">
                  <c:v>6.4880622749653449</c:v>
                </c:pt>
                <c:pt idx="4">
                  <c:v>7.2176795218036691</c:v>
                </c:pt>
                <c:pt idx="5">
                  <c:v>5.2096382675996793</c:v>
                </c:pt>
                <c:pt idx="6">
                  <c:v>4.5142801956919705</c:v>
                </c:pt>
                <c:pt idx="7">
                  <c:v>4.872571007251846</c:v>
                </c:pt>
                <c:pt idx="8">
                  <c:v>4.6931878148266497</c:v>
                </c:pt>
                <c:pt idx="9">
                  <c:v>4.0989786868068077</c:v>
                </c:pt>
                <c:pt idx="10">
                  <c:v>3.5356090652751919</c:v>
                </c:pt>
                <c:pt idx="11">
                  <c:v>6.632815784981398</c:v>
                </c:pt>
                <c:pt idx="12">
                  <c:v>8.5436920603439983</c:v>
                </c:pt>
                <c:pt idx="13">
                  <c:v>3.743502878313373</c:v>
                </c:pt>
                <c:pt idx="14">
                  <c:v>3.470091</c:v>
                </c:pt>
                <c:pt idx="15">
                  <c:v>4.7881359999999997</c:v>
                </c:pt>
                <c:pt idx="16">
                  <c:v>4.7904289999999996</c:v>
                </c:pt>
                <c:pt idx="17">
                  <c:v>4.9249049999999999</c:v>
                </c:pt>
                <c:pt idx="18">
                  <c:v>5.1888100000000001</c:v>
                </c:pt>
                <c:pt idx="19">
                  <c:v>5.6058130000000004</c:v>
                </c:pt>
                <c:pt idx="20">
                  <c:v>6.4926139999999997</c:v>
                </c:pt>
                <c:pt idx="21">
                  <c:v>7.0707420000000001</c:v>
                </c:pt>
                <c:pt idx="22">
                  <c:v>7.8025339999999996</c:v>
                </c:pt>
                <c:pt idx="23">
                  <c:v>8.1188889999999994</c:v>
                </c:pt>
                <c:pt idx="24">
                  <c:v>8.3268299999999993</c:v>
                </c:pt>
                <c:pt idx="25">
                  <c:v>8.4869149999999998</c:v>
                </c:pt>
                <c:pt idx="26">
                  <c:v>8.7264040000000005</c:v>
                </c:pt>
                <c:pt idx="27">
                  <c:v>8.848077</c:v>
                </c:pt>
                <c:pt idx="28">
                  <c:v>8.7402160000000002</c:v>
                </c:pt>
                <c:pt idx="29">
                  <c:v>8.9106199999999998</c:v>
                </c:pt>
                <c:pt idx="30">
                  <c:v>8.8365340000000003</c:v>
                </c:pt>
                <c:pt idx="31">
                  <c:v>8.8629800000000003</c:v>
                </c:pt>
                <c:pt idx="32">
                  <c:v>8.7539350000000002</c:v>
                </c:pt>
                <c:pt idx="33">
                  <c:v>8.6124860000000005</c:v>
                </c:pt>
                <c:pt idx="34">
                  <c:v>8.5903770000000002</c:v>
                </c:pt>
                <c:pt idx="35">
                  <c:v>8.3925260000000002</c:v>
                </c:pt>
                <c:pt idx="36">
                  <c:v>8.4388970000000008</c:v>
                </c:pt>
                <c:pt idx="37">
                  <c:v>8.6875219999999995</c:v>
                </c:pt>
                <c:pt idx="38">
                  <c:v>9.0209910000000004</c:v>
                </c:pt>
                <c:pt idx="39">
                  <c:v>9.2871020000000009</c:v>
                </c:pt>
                <c:pt idx="40">
                  <c:v>9.6272800000000007</c:v>
                </c:pt>
              </c:numCache>
            </c:numRef>
          </c:yVal>
          <c:smooth val="0"/>
          <c:extLst>
            <c:ext xmlns:c16="http://schemas.microsoft.com/office/drawing/2014/chart" uri="{C3380CC4-5D6E-409C-BE32-E72D297353CC}">
              <c16:uniqueId val="{00000006-6C4D-45CF-A648-CCE8DAF06782}"/>
            </c:ext>
          </c:extLst>
        </c:ser>
        <c:ser>
          <c:idx val="7"/>
          <c:order val="7"/>
          <c:tx>
            <c:strRef>
              <c:f>'Prices by Case'!$B$29</c:f>
              <c:strCache>
                <c:ptCount val="1"/>
                <c:pt idx="0">
                  <c:v>West North Central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Case'!$C$29:$AQ$29</c:f>
              <c:numCache>
                <c:formatCode>General</c:formatCode>
                <c:ptCount val="41"/>
                <c:pt idx="0">
                  <c:v>7.7342882889509372</c:v>
                </c:pt>
                <c:pt idx="1">
                  <c:v>7.1878303510036723</c:v>
                </c:pt>
                <c:pt idx="2">
                  <c:v>4.8369681523439674</c:v>
                </c:pt>
                <c:pt idx="3">
                  <c:v>6.217397451918627</c:v>
                </c:pt>
                <c:pt idx="4">
                  <c:v>7.3986154289774317</c:v>
                </c:pt>
                <c:pt idx="5">
                  <c:v>4.4282165978108354</c:v>
                </c:pt>
                <c:pt idx="6">
                  <c:v>3.5004066167190326</c:v>
                </c:pt>
                <c:pt idx="7">
                  <c:v>4.4694969626417187</c:v>
                </c:pt>
                <c:pt idx="8">
                  <c:v>4.3344101992629396</c:v>
                </c:pt>
                <c:pt idx="9">
                  <c:v>3.3526081812708477</c:v>
                </c:pt>
                <c:pt idx="10">
                  <c:v>2.8541639768890446</c:v>
                </c:pt>
                <c:pt idx="11">
                  <c:v>5.6582080131603583</c:v>
                </c:pt>
                <c:pt idx="12">
                  <c:v>7.6279947132059984</c:v>
                </c:pt>
                <c:pt idx="13">
                  <c:v>3.0219888187301205</c:v>
                </c:pt>
                <c:pt idx="14">
                  <c:v>2.6286909999999999</c:v>
                </c:pt>
                <c:pt idx="15">
                  <c:v>4.0328179999999998</c:v>
                </c:pt>
                <c:pt idx="16">
                  <c:v>4.0001610000000003</c:v>
                </c:pt>
                <c:pt idx="17">
                  <c:v>4.2001410000000003</c:v>
                </c:pt>
                <c:pt idx="18">
                  <c:v>4.5136050000000001</c:v>
                </c:pt>
                <c:pt idx="19">
                  <c:v>5.0942420000000004</c:v>
                </c:pt>
                <c:pt idx="20">
                  <c:v>6.1844159999999997</c:v>
                </c:pt>
                <c:pt idx="21">
                  <c:v>6.6683240000000001</c:v>
                </c:pt>
                <c:pt idx="22">
                  <c:v>7.6245580000000004</c:v>
                </c:pt>
                <c:pt idx="23">
                  <c:v>7.82219</c:v>
                </c:pt>
                <c:pt idx="24">
                  <c:v>7.8726820000000002</c:v>
                </c:pt>
                <c:pt idx="25">
                  <c:v>7.904687</c:v>
                </c:pt>
                <c:pt idx="26">
                  <c:v>8.0529989999999998</c:v>
                </c:pt>
                <c:pt idx="27">
                  <c:v>7.9824190000000002</c:v>
                </c:pt>
                <c:pt idx="28">
                  <c:v>7.8349820000000001</c:v>
                </c:pt>
                <c:pt idx="29">
                  <c:v>7.6452070000000001</c:v>
                </c:pt>
                <c:pt idx="30">
                  <c:v>7.8223190000000002</c:v>
                </c:pt>
                <c:pt idx="31">
                  <c:v>7.732145</c:v>
                </c:pt>
                <c:pt idx="32">
                  <c:v>7.6114860000000002</c:v>
                </c:pt>
                <c:pt idx="33">
                  <c:v>7.540718</c:v>
                </c:pt>
                <c:pt idx="34">
                  <c:v>7.5521830000000003</c:v>
                </c:pt>
                <c:pt idx="35">
                  <c:v>7.6105489999999998</c:v>
                </c:pt>
                <c:pt idx="36">
                  <c:v>7.8332629999999996</c:v>
                </c:pt>
                <c:pt idx="37">
                  <c:v>8.0531140000000008</c:v>
                </c:pt>
                <c:pt idx="38">
                  <c:v>8.3398380000000003</c:v>
                </c:pt>
                <c:pt idx="39">
                  <c:v>8.6347819999999995</c:v>
                </c:pt>
                <c:pt idx="40">
                  <c:v>8.921481</c:v>
                </c:pt>
              </c:numCache>
            </c:numRef>
          </c:yVal>
          <c:smooth val="0"/>
          <c:extLst>
            <c:ext xmlns:c16="http://schemas.microsoft.com/office/drawing/2014/chart" uri="{C3380CC4-5D6E-409C-BE32-E72D297353CC}">
              <c16:uniqueId val="{00000007-6C4D-45CF-A648-CCE8DAF06782}"/>
            </c:ext>
          </c:extLst>
        </c:ser>
        <c:ser>
          <c:idx val="8"/>
          <c:order val="8"/>
          <c:tx>
            <c:strRef>
              <c:f>'Prices by Case'!$B$30</c:f>
              <c:strCache>
                <c:ptCount val="1"/>
                <c:pt idx="0">
                  <c:v>West South Central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Case'!$C$30:$AQ$30</c:f>
              <c:numCache>
                <c:formatCode>General</c:formatCode>
                <c:ptCount val="41"/>
                <c:pt idx="0">
                  <c:v>6.6138470952172108</c:v>
                </c:pt>
                <c:pt idx="1">
                  <c:v>6.0219340804874886</c:v>
                </c:pt>
                <c:pt idx="2">
                  <c:v>4.0862421172094443</c:v>
                </c:pt>
                <c:pt idx="3">
                  <c:v>5.3117252570087867</c:v>
                </c:pt>
                <c:pt idx="4">
                  <c:v>6.1419078301821202</c:v>
                </c:pt>
                <c:pt idx="5">
                  <c:v>3.7096081029697383</c:v>
                </c:pt>
                <c:pt idx="6">
                  <c:v>3.0974697864685288</c:v>
                </c:pt>
                <c:pt idx="7">
                  <c:v>3.8143408225748088</c:v>
                </c:pt>
                <c:pt idx="8">
                  <c:v>3.7845594665654065</c:v>
                </c:pt>
                <c:pt idx="9">
                  <c:v>2.8508973312239743</c:v>
                </c:pt>
                <c:pt idx="10">
                  <c:v>2.3729458382439561</c:v>
                </c:pt>
                <c:pt idx="11">
                  <c:v>5.4412251413813983</c:v>
                </c:pt>
                <c:pt idx="12">
                  <c:v>7.3605166775279978</c:v>
                </c:pt>
                <c:pt idx="13">
                  <c:v>2.5124750535327007</c:v>
                </c:pt>
                <c:pt idx="14">
                  <c:v>2.2149489999999998</c:v>
                </c:pt>
                <c:pt idx="15">
                  <c:v>3.6992240000000001</c:v>
                </c:pt>
                <c:pt idx="16">
                  <c:v>3.6671040000000001</c:v>
                </c:pt>
                <c:pt idx="17">
                  <c:v>3.8083499999999999</c:v>
                </c:pt>
                <c:pt idx="18">
                  <c:v>4.1756929999999999</c:v>
                </c:pt>
                <c:pt idx="19">
                  <c:v>4.7164770000000003</c:v>
                </c:pt>
                <c:pt idx="20">
                  <c:v>5.7407000000000004</c:v>
                </c:pt>
                <c:pt idx="21">
                  <c:v>6.3232989999999996</c:v>
                </c:pt>
                <c:pt idx="22">
                  <c:v>7.1231140000000002</c:v>
                </c:pt>
                <c:pt idx="23">
                  <c:v>7.4090449999999999</c:v>
                </c:pt>
                <c:pt idx="24">
                  <c:v>7.6091129999999998</c:v>
                </c:pt>
                <c:pt idx="25">
                  <c:v>7.6513</c:v>
                </c:pt>
                <c:pt idx="26">
                  <c:v>7.9560630000000003</c:v>
                </c:pt>
                <c:pt idx="27">
                  <c:v>8.0472249999999992</c:v>
                </c:pt>
                <c:pt idx="28">
                  <c:v>7.9631670000000003</c:v>
                </c:pt>
                <c:pt idx="29">
                  <c:v>8.226623</c:v>
                </c:pt>
                <c:pt idx="30">
                  <c:v>8.2321729999999995</c:v>
                </c:pt>
                <c:pt idx="31">
                  <c:v>8.1895380000000007</c:v>
                </c:pt>
                <c:pt idx="32">
                  <c:v>8.0846660000000004</c:v>
                </c:pt>
                <c:pt idx="33">
                  <c:v>7.9429299999999996</c:v>
                </c:pt>
                <c:pt idx="34">
                  <c:v>8.1833519999999993</c:v>
                </c:pt>
                <c:pt idx="35">
                  <c:v>8.2434890000000003</c:v>
                </c:pt>
                <c:pt idx="36">
                  <c:v>8.3168710000000008</c:v>
                </c:pt>
                <c:pt idx="37">
                  <c:v>8.6301989999999993</c:v>
                </c:pt>
                <c:pt idx="38">
                  <c:v>9.0397440000000007</c:v>
                </c:pt>
                <c:pt idx="39">
                  <c:v>9.3840810000000001</c:v>
                </c:pt>
                <c:pt idx="40">
                  <c:v>9.7051610000000004</c:v>
                </c:pt>
              </c:numCache>
            </c:numRef>
          </c:yVal>
          <c:smooth val="0"/>
          <c:extLst>
            <c:ext xmlns:c16="http://schemas.microsoft.com/office/drawing/2014/chart" uri="{C3380CC4-5D6E-409C-BE32-E72D297353CC}">
              <c16:uniqueId val="{00000008-6C4D-45CF-A648-CCE8DAF06782}"/>
            </c:ext>
          </c:extLst>
        </c:ser>
        <c:ser>
          <c:idx val="9"/>
          <c:order val="9"/>
          <c:tx>
            <c:strRef>
              <c:f>'Prices by Case'!$B$31</c:f>
              <c:strCache>
                <c:ptCount val="1"/>
                <c:pt idx="0">
                  <c:v>Total</c:v>
                </c:pt>
              </c:strCache>
            </c:strRef>
          </c:tx>
          <c:xVal>
            <c:numRef>
              <c:f>'Prices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'Prices by Case'!$C$31:$AQ$31</c:f>
              <c:numCache>
                <c:formatCode>General</c:formatCode>
                <c:ptCount val="41"/>
                <c:pt idx="0">
                  <c:v>7.4287481187538065</c:v>
                </c:pt>
                <c:pt idx="1">
                  <c:v>6.7037262880480606</c:v>
                </c:pt>
                <c:pt idx="2">
                  <c:v>4.7928849172414028</c:v>
                </c:pt>
                <c:pt idx="3">
                  <c:v>5.997271557758733</c:v>
                </c:pt>
                <c:pt idx="4">
                  <c:v>6.7346123247610592</c:v>
                </c:pt>
                <c:pt idx="5">
                  <c:v>4.2877225773695686</c:v>
                </c:pt>
                <c:pt idx="6">
                  <c:v>3.7483609608280575</c:v>
                </c:pt>
                <c:pt idx="7">
                  <c:v>4.3257650457209484</c:v>
                </c:pt>
                <c:pt idx="8">
                  <c:v>4.2709841218622042</c:v>
                </c:pt>
                <c:pt idx="9">
                  <c:v>3.5042841007231984</c:v>
                </c:pt>
                <c:pt idx="10">
                  <c:v>2.9645882827064347</c:v>
                </c:pt>
                <c:pt idx="11">
                  <c:v>5.9572671857168391</c:v>
                </c:pt>
                <c:pt idx="12">
                  <c:v>7.5198121225289984</c:v>
                </c:pt>
                <c:pt idx="13">
                  <c:v>3.1389060737295731</c:v>
                </c:pt>
                <c:pt idx="14">
                  <c:v>2.7197610000000001</c:v>
                </c:pt>
                <c:pt idx="15">
                  <c:v>4.077515</c:v>
                </c:pt>
                <c:pt idx="16">
                  <c:v>4.1087400000000001</c:v>
                </c:pt>
                <c:pt idx="17">
                  <c:v>4.2087000000000003</c:v>
                </c:pt>
                <c:pt idx="18">
                  <c:v>4.4981689999999999</c:v>
                </c:pt>
                <c:pt idx="19">
                  <c:v>4.9592700000000001</c:v>
                </c:pt>
                <c:pt idx="20">
                  <c:v>5.8689039999999997</c:v>
                </c:pt>
                <c:pt idx="21">
                  <c:v>6.4327220000000001</c:v>
                </c:pt>
                <c:pt idx="22">
                  <c:v>7.2855270000000001</c:v>
                </c:pt>
                <c:pt idx="23">
                  <c:v>7.5910529999999996</c:v>
                </c:pt>
                <c:pt idx="24">
                  <c:v>7.7930789999999996</c:v>
                </c:pt>
                <c:pt idx="25">
                  <c:v>7.9190569999999996</c:v>
                </c:pt>
                <c:pt idx="26">
                  <c:v>8.1221010000000007</c:v>
                </c:pt>
                <c:pt idx="27">
                  <c:v>8.1293340000000001</c:v>
                </c:pt>
                <c:pt idx="28">
                  <c:v>7.9998899999999997</c:v>
                </c:pt>
                <c:pt idx="29">
                  <c:v>8.1126310000000004</c:v>
                </c:pt>
                <c:pt idx="30">
                  <c:v>8.1274029999999993</c:v>
                </c:pt>
                <c:pt idx="31">
                  <c:v>8.08535</c:v>
                </c:pt>
                <c:pt idx="32">
                  <c:v>7.9479040000000003</c:v>
                </c:pt>
                <c:pt idx="33">
                  <c:v>7.7962210000000001</c:v>
                </c:pt>
                <c:pt idx="34">
                  <c:v>7.8995300000000004</c:v>
                </c:pt>
                <c:pt idx="35">
                  <c:v>7.9028330000000002</c:v>
                </c:pt>
                <c:pt idx="36">
                  <c:v>7.9672159999999996</c:v>
                </c:pt>
                <c:pt idx="37">
                  <c:v>8.2505220000000001</c:v>
                </c:pt>
                <c:pt idx="38">
                  <c:v>8.5853380000000001</c:v>
                </c:pt>
                <c:pt idx="39">
                  <c:v>8.8874139999999997</c:v>
                </c:pt>
                <c:pt idx="40">
                  <c:v>9.2186009999999996</c:v>
                </c:pt>
              </c:numCache>
            </c:numRef>
          </c:yVal>
          <c:smooth val="0"/>
          <c:extLst>
            <c:ext xmlns:c16="http://schemas.microsoft.com/office/drawing/2014/chart" uri="{C3380CC4-5D6E-409C-BE32-E72D297353CC}">
              <c16:uniqueId val="{00000009-6C4D-45CF-A648-CCE8DAF06782}"/>
            </c:ext>
          </c:extLst>
        </c:ser>
        <c:dLbls>
          <c:showLegendKey val="0"/>
          <c:showVal val="0"/>
          <c:showCatName val="0"/>
          <c:showSerName val="0"/>
          <c:showPercent val="0"/>
          <c:showBubbleSize val="0"/>
        </c:dLbls>
        <c:axId val="405237288"/>
        <c:axId val="405237680"/>
      </c:scatterChart>
      <c:valAx>
        <c:axId val="405237288"/>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405237680"/>
        <c:crosses val="autoZero"/>
        <c:crossBetween val="midCat"/>
      </c:valAx>
      <c:valAx>
        <c:axId val="405237680"/>
        <c:scaling>
          <c:orientation val="minMax"/>
          <c:max val="10"/>
        </c:scaling>
        <c:delete val="0"/>
        <c:axPos val="l"/>
        <c:title>
          <c:tx>
            <c:rich>
              <a:bodyPr rot="-5400000" vert="horz"/>
              <a:lstStyle/>
              <a:p>
                <a:pPr>
                  <a:defRPr/>
                </a:pPr>
                <a:r>
                  <a:rPr lang="en-US" baseline="0"/>
                  <a:t>NG Price (2013$/MMBtu)</a:t>
                </a:r>
                <a:endParaRPr lang="en-US"/>
              </a:p>
            </c:rich>
          </c:tx>
          <c:overlay val="0"/>
        </c:title>
        <c:numFmt formatCode="General" sourceLinked="1"/>
        <c:majorTickMark val="out"/>
        <c:minorTickMark val="none"/>
        <c:tickLblPos val="nextTo"/>
        <c:crossAx val="405237288"/>
        <c:crosses val="autoZero"/>
        <c:crossBetween val="midCat"/>
      </c:valAx>
      <c:spPr>
        <a:ln>
          <a:solidFill>
            <a:schemeClr val="tx1">
              <a:lumMod val="50000"/>
              <a:lumOff val="50000"/>
            </a:schemeClr>
          </a:solidFill>
        </a:ln>
      </c:spPr>
    </c:plotArea>
    <c:legend>
      <c:legendPos val="r"/>
      <c:layout>
        <c:manualLayout>
          <c:xMode val="edge"/>
          <c:yMode val="edge"/>
          <c:x val="0.62261498081970512"/>
          <c:y val="6.5260058473703447E-2"/>
          <c:w val="0.11174399353926913"/>
          <c:h val="0.41228712689983521"/>
        </c:manualLayout>
      </c:layout>
      <c:overlay val="1"/>
      <c:spPr>
        <a:solidFill>
          <a:sysClr val="window" lastClr="FFFFFF">
            <a:lumMod val="100000"/>
          </a:sysClr>
        </a:solidFill>
        <a:ln w="9525" cap="flat" cmpd="sng" algn="ctr">
          <a:solidFill>
            <a:sysClr val="windowText" lastClr="000000">
              <a:lumMod val="50000"/>
              <a:lumOff val="50000"/>
            </a:sysClr>
          </a:solidFill>
          <a:prstDash val="solid"/>
          <a:round/>
          <a:headEnd type="none" w="med" len="med"/>
          <a:tailEnd type="none" w="med" len="med"/>
        </a:ln>
      </c:sp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'Demand by Case'!$B$2</c:f>
              <c:strCache>
                <c:ptCount val="1"/>
                <c:pt idx="0">
                  <c:v>East North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Case'!$C$2:$AQ$2</c:f>
              <c:numCache>
                <c:formatCode>0.000</c:formatCode>
                <c:ptCount val="41"/>
                <c:pt idx="0">
                  <c:v>0.32600000000000001</c:v>
                </c:pt>
                <c:pt idx="1">
                  <c:v>0.39500000000000002</c:v>
                </c:pt>
                <c:pt idx="2">
                  <c:v>0.65559999999999996</c:v>
                </c:pt>
                <c:pt idx="3">
                  <c:v>0.4753</c:v>
                </c:pt>
                <c:pt idx="4" formatCode="General">
                  <c:v>0.48286000000000001</c:v>
                </c:pt>
                <c:pt idx="5" formatCode="General">
                  <c:v>0.71331</c:v>
                </c:pt>
                <c:pt idx="6" formatCode="General">
                  <c:v>0.91213999999999995</c:v>
                </c:pt>
                <c:pt idx="7" formatCode="General">
                  <c:v>0.81025999999999998</c:v>
                </c:pt>
                <c:pt idx="8" formatCode="General">
                  <c:v>1.00257</c:v>
                </c:pt>
                <c:pt idx="9" formatCode="General">
                  <c:v>1.185716</c:v>
                </c:pt>
                <c:pt idx="10" formatCode="General">
                  <c:v>1.262778</c:v>
                </c:pt>
                <c:pt idx="11" formatCode="General">
                  <c:v>1.082247</c:v>
                </c:pt>
                <c:pt idx="12" formatCode="General">
                  <c:v>1.477695</c:v>
                </c:pt>
                <c:pt idx="13" formatCode="General">
                  <c:v>1.3370293463999998</c:v>
                </c:pt>
                <c:pt idx="14" formatCode="General">
                  <c:v>1.803768</c:v>
                </c:pt>
                <c:pt idx="15" formatCode="General">
                  <c:v>1.77915</c:v>
                </c:pt>
                <c:pt idx="16" formatCode="General">
                  <c:v>1.709301</c:v>
                </c:pt>
                <c:pt idx="17" formatCode="General">
                  <c:v>1.9309320000000001</c:v>
                </c:pt>
                <c:pt idx="18" formatCode="General">
                  <c:v>2.042475</c:v>
                </c:pt>
                <c:pt idx="19" formatCode="General">
                  <c:v>2.2502979999999999</c:v>
                </c:pt>
                <c:pt idx="20" formatCode="General">
                  <c:v>2.2716440000000002</c:v>
                </c:pt>
                <c:pt idx="21" formatCode="General">
                  <c:v>2.2498490000000002</c:v>
                </c:pt>
                <c:pt idx="22" formatCode="General">
                  <c:v>2.7530939999999999</c:v>
                </c:pt>
                <c:pt idx="23" formatCode="General">
                  <c:v>2.6102099999999999</c:v>
                </c:pt>
                <c:pt idx="24" formatCode="General">
                  <c:v>2.315766</c:v>
                </c:pt>
                <c:pt idx="25" formatCode="General">
                  <c:v>2.12818</c:v>
                </c:pt>
                <c:pt idx="26" formatCode="General">
                  <c:v>1.923508</c:v>
                </c:pt>
                <c:pt idx="27" formatCode="General">
                  <c:v>1.718799</c:v>
                </c:pt>
                <c:pt idx="28" formatCode="General">
                  <c:v>1.530699</c:v>
                </c:pt>
                <c:pt idx="29" formatCode="General">
                  <c:v>1.492246</c:v>
                </c:pt>
                <c:pt idx="30" formatCode="General">
                  <c:v>1.5383279999999999</c:v>
                </c:pt>
                <c:pt idx="31" formatCode="General">
                  <c:v>1.606427</c:v>
                </c:pt>
                <c:pt idx="32" formatCode="General">
                  <c:v>1.6368469999999999</c:v>
                </c:pt>
                <c:pt idx="33" formatCode="General">
                  <c:v>1.703603</c:v>
                </c:pt>
                <c:pt idx="34" formatCode="General">
                  <c:v>1.7839430000000001</c:v>
                </c:pt>
                <c:pt idx="35" formatCode="General">
                  <c:v>1.7435389999999999</c:v>
                </c:pt>
                <c:pt idx="36" formatCode="General">
                  <c:v>1.8152360000000001</c:v>
                </c:pt>
                <c:pt idx="37" formatCode="General">
                  <c:v>1.6374569999999999</c:v>
                </c:pt>
                <c:pt idx="38" formatCode="General">
                  <c:v>1.609448</c:v>
                </c:pt>
                <c:pt idx="39" formatCode="General">
                  <c:v>1.6164780000000001</c:v>
                </c:pt>
                <c:pt idx="40" formatCode="General">
                  <c:v>1.626209</c:v>
                </c:pt>
              </c:numCache>
            </c:numRef>
          </c:yVal>
          <c:smooth val="0"/>
          <c:extLst>
            <c:ext xmlns:c16="http://schemas.microsoft.com/office/drawing/2014/chart" uri="{C3380CC4-5D6E-409C-BE32-E72D297353CC}">
              <c16:uniqueId val="{00000000-B539-4E24-8821-63B41D56773B}"/>
            </c:ext>
          </c:extLst>
        </c:ser>
        <c:ser>
          <c:idx val="1"/>
          <c:order val="1"/>
          <c:tx>
            <c:strRef>
              <c:f>'Demand by Case'!$B$3</c:f>
              <c:strCache>
                <c:ptCount val="1"/>
                <c:pt idx="0">
                  <c:v>East South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Case'!$C$3:$AQ$3</c:f>
              <c:numCache>
                <c:formatCode>0.000</c:formatCode>
                <c:ptCount val="41"/>
                <c:pt idx="0">
                  <c:v>0.56699999999999995</c:v>
                </c:pt>
                <c:pt idx="1">
                  <c:v>0.63900000000000001</c:v>
                </c:pt>
                <c:pt idx="2">
                  <c:v>0.79730000000000001</c:v>
                </c:pt>
                <c:pt idx="3">
                  <c:v>0.62895999999999996</c:v>
                </c:pt>
                <c:pt idx="4" formatCode="General">
                  <c:v>0.67191000000000001</c:v>
                </c:pt>
                <c:pt idx="5" formatCode="General">
                  <c:v>0.87541999999999998</c:v>
                </c:pt>
                <c:pt idx="6" formatCode="General">
                  <c:v>0.96189999999999998</c:v>
                </c:pt>
                <c:pt idx="7" formatCode="General">
                  <c:v>0.91090000000000004</c:v>
                </c:pt>
                <c:pt idx="8" formatCode="General">
                  <c:v>0.99460199999999999</c:v>
                </c:pt>
                <c:pt idx="9" formatCode="General">
                  <c:v>1.0298240000000001</c:v>
                </c:pt>
                <c:pt idx="10" formatCode="General">
                  <c:v>1.047204</c:v>
                </c:pt>
                <c:pt idx="11" formatCode="General">
                  <c:v>0.913914</c:v>
                </c:pt>
                <c:pt idx="12" formatCode="General">
                  <c:v>0.90047999999999995</c:v>
                </c:pt>
                <c:pt idx="13" formatCode="General">
                  <c:v>1.1087795951999999</c:v>
                </c:pt>
                <c:pt idx="14" formatCode="General">
                  <c:v>1.120752</c:v>
                </c:pt>
                <c:pt idx="15" formatCode="General">
                  <c:v>1.098819</c:v>
                </c:pt>
                <c:pt idx="16" formatCode="General">
                  <c:v>1.090066</c:v>
                </c:pt>
                <c:pt idx="17" formatCode="General">
                  <c:v>1.157464</c:v>
                </c:pt>
                <c:pt idx="18" formatCode="General">
                  <c:v>1.1600189999999999</c:v>
                </c:pt>
                <c:pt idx="19" formatCode="General">
                  <c:v>1.124709</c:v>
                </c:pt>
                <c:pt idx="20" formatCode="General">
                  <c:v>1.0376780000000001</c:v>
                </c:pt>
                <c:pt idx="21" formatCode="General">
                  <c:v>0.98910500000000001</c:v>
                </c:pt>
                <c:pt idx="22" formatCode="General">
                  <c:v>1.0459860000000001</c:v>
                </c:pt>
                <c:pt idx="23" formatCode="General">
                  <c:v>0.95582400000000001</c:v>
                </c:pt>
                <c:pt idx="24" formatCode="General">
                  <c:v>0.86662600000000001</c:v>
                </c:pt>
                <c:pt idx="25" formatCode="General">
                  <c:v>0.82489299999999999</c:v>
                </c:pt>
                <c:pt idx="26" formatCode="General">
                  <c:v>0.77185199999999998</c:v>
                </c:pt>
                <c:pt idx="27" formatCode="General">
                  <c:v>0.71401499999999996</c:v>
                </c:pt>
                <c:pt idx="28" formatCode="General">
                  <c:v>0.65488599999999997</c:v>
                </c:pt>
                <c:pt idx="29" formatCode="General">
                  <c:v>0.60303399999999996</c:v>
                </c:pt>
                <c:pt idx="30" formatCode="General">
                  <c:v>0.60342799999999996</c:v>
                </c:pt>
                <c:pt idx="31" formatCode="General">
                  <c:v>0.61517100000000002</c:v>
                </c:pt>
                <c:pt idx="32" formatCode="General">
                  <c:v>0.61597000000000002</c:v>
                </c:pt>
                <c:pt idx="33" formatCode="General">
                  <c:v>0.59066799999999997</c:v>
                </c:pt>
                <c:pt idx="34" formatCode="General">
                  <c:v>0.60403099999999998</c:v>
                </c:pt>
                <c:pt idx="35" formatCode="General">
                  <c:v>0.61012500000000003</c:v>
                </c:pt>
                <c:pt idx="36" formatCode="General">
                  <c:v>0.60825799999999997</c:v>
                </c:pt>
                <c:pt idx="37" formatCode="General">
                  <c:v>0.593526</c:v>
                </c:pt>
                <c:pt idx="38" formatCode="General">
                  <c:v>0.60525499999999999</c:v>
                </c:pt>
                <c:pt idx="39" formatCode="General">
                  <c:v>0.63659200000000005</c:v>
                </c:pt>
                <c:pt idx="40" formatCode="General">
                  <c:v>0.64345200000000002</c:v>
                </c:pt>
              </c:numCache>
            </c:numRef>
          </c:yVal>
          <c:smooth val="0"/>
          <c:extLst>
            <c:ext xmlns:c16="http://schemas.microsoft.com/office/drawing/2014/chart" uri="{C3380CC4-5D6E-409C-BE32-E72D297353CC}">
              <c16:uniqueId val="{00000001-B539-4E24-8821-63B41D56773B}"/>
            </c:ext>
          </c:extLst>
        </c:ser>
        <c:ser>
          <c:idx val="2"/>
          <c:order val="2"/>
          <c:tx>
            <c:strRef>
              <c:f>'Demand by Case'!$B$4</c:f>
              <c:strCache>
                <c:ptCount val="1"/>
                <c:pt idx="0">
                  <c:v>Middle Atlantic</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Case'!$C$4:$AQ$4</c:f>
              <c:numCache>
                <c:formatCode>0.000</c:formatCode>
                <c:ptCount val="41"/>
                <c:pt idx="0">
                  <c:v>0.89</c:v>
                </c:pt>
                <c:pt idx="1">
                  <c:v>0.96499999999999997</c:v>
                </c:pt>
                <c:pt idx="2">
                  <c:v>1.15412</c:v>
                </c:pt>
                <c:pt idx="3">
                  <c:v>1.0663400000000001</c:v>
                </c:pt>
                <c:pt idx="4" formatCode="General">
                  <c:v>1.13148</c:v>
                </c:pt>
                <c:pt idx="5" formatCode="General">
                  <c:v>1.23645</c:v>
                </c:pt>
                <c:pt idx="6" formatCode="General">
                  <c:v>1.3445</c:v>
                </c:pt>
                <c:pt idx="7" formatCode="General">
                  <c:v>1.1961599999999999</c:v>
                </c:pt>
                <c:pt idx="8" formatCode="General">
                  <c:v>1.3000640000000001</c:v>
                </c:pt>
                <c:pt idx="9" formatCode="General">
                  <c:v>1.451554</c:v>
                </c:pt>
                <c:pt idx="10" formatCode="General">
                  <c:v>1.684218</c:v>
                </c:pt>
                <c:pt idx="11" formatCode="General">
                  <c:v>1.654776</c:v>
                </c:pt>
                <c:pt idx="12" formatCode="General">
                  <c:v>1.9982930000000001</c:v>
                </c:pt>
                <c:pt idx="13" formatCode="General">
                  <c:v>1.7832500184</c:v>
                </c:pt>
                <c:pt idx="14" formatCode="General">
                  <c:v>1.9478690000000001</c:v>
                </c:pt>
                <c:pt idx="15" formatCode="General">
                  <c:v>1.629397</c:v>
                </c:pt>
                <c:pt idx="16" formatCode="General">
                  <c:v>1.645651</c:v>
                </c:pt>
                <c:pt idx="17" formatCode="General">
                  <c:v>1.664455</c:v>
                </c:pt>
                <c:pt idx="18" formatCode="General">
                  <c:v>1.601191</c:v>
                </c:pt>
                <c:pt idx="19" formatCode="General">
                  <c:v>1.5677110000000001</c:v>
                </c:pt>
                <c:pt idx="20" formatCode="General">
                  <c:v>1.6388020000000001</c:v>
                </c:pt>
                <c:pt idx="21" formatCode="General">
                  <c:v>1.537363</c:v>
                </c:pt>
                <c:pt idx="22" formatCode="General">
                  <c:v>1.6317429999999999</c:v>
                </c:pt>
                <c:pt idx="23" formatCode="General">
                  <c:v>1.5850949999999999</c:v>
                </c:pt>
                <c:pt idx="24" formatCode="General">
                  <c:v>1.527352</c:v>
                </c:pt>
                <c:pt idx="25" formatCode="General">
                  <c:v>1.5467379999999999</c:v>
                </c:pt>
                <c:pt idx="26" formatCode="General">
                  <c:v>1.5301119999999999</c:v>
                </c:pt>
                <c:pt idx="27" formatCode="General">
                  <c:v>1.3732930000000001</c:v>
                </c:pt>
                <c:pt idx="28" formatCode="General">
                  <c:v>1.2082839999999999</c:v>
                </c:pt>
                <c:pt idx="29" formatCode="General">
                  <c:v>1.1292690000000001</c:v>
                </c:pt>
                <c:pt idx="30" formatCode="General">
                  <c:v>1.1317759999999999</c:v>
                </c:pt>
                <c:pt idx="31" formatCode="General">
                  <c:v>1.1575599999999999</c:v>
                </c:pt>
                <c:pt idx="32" formatCode="General">
                  <c:v>1.0983780000000001</c:v>
                </c:pt>
                <c:pt idx="33" formatCode="General">
                  <c:v>1.162631</c:v>
                </c:pt>
                <c:pt idx="34" formatCode="General">
                  <c:v>1.2054210000000001</c:v>
                </c:pt>
                <c:pt idx="35" formatCode="General">
                  <c:v>1.299167</c:v>
                </c:pt>
                <c:pt idx="36" formatCode="General">
                  <c:v>1.281461</c:v>
                </c:pt>
                <c:pt idx="37" formatCode="General">
                  <c:v>1.3777900000000001</c:v>
                </c:pt>
                <c:pt idx="38" formatCode="General">
                  <c:v>1.4202969999999999</c:v>
                </c:pt>
                <c:pt idx="39" formatCode="General">
                  <c:v>1.3455999999999999</c:v>
                </c:pt>
                <c:pt idx="40" formatCode="General">
                  <c:v>1.3426849999999999</c:v>
                </c:pt>
              </c:numCache>
            </c:numRef>
          </c:yVal>
          <c:smooth val="0"/>
          <c:extLst>
            <c:ext xmlns:c16="http://schemas.microsoft.com/office/drawing/2014/chart" uri="{C3380CC4-5D6E-409C-BE32-E72D297353CC}">
              <c16:uniqueId val="{00000002-B539-4E24-8821-63B41D56773B}"/>
            </c:ext>
          </c:extLst>
        </c:ser>
        <c:ser>
          <c:idx val="3"/>
          <c:order val="3"/>
          <c:tx>
            <c:strRef>
              <c:f>'Demand by Case'!$B$5</c:f>
              <c:strCache>
                <c:ptCount val="1"/>
                <c:pt idx="0">
                  <c:v>Mountain</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Case'!$C$5:$AQ$5</c:f>
              <c:numCache>
                <c:formatCode>0.000</c:formatCode>
                <c:ptCount val="41"/>
                <c:pt idx="0">
                  <c:v>0.64100000000000001</c:v>
                </c:pt>
                <c:pt idx="1">
                  <c:v>0.56699999999999995</c:v>
                </c:pt>
                <c:pt idx="2">
                  <c:v>0.66283000000000003</c:v>
                </c:pt>
                <c:pt idx="3">
                  <c:v>0.65071999999999997</c:v>
                </c:pt>
                <c:pt idx="4" formatCode="General">
                  <c:v>0.64890999999999999</c:v>
                </c:pt>
                <c:pt idx="5" formatCode="General">
                  <c:v>0.75092000000000003</c:v>
                </c:pt>
                <c:pt idx="6" formatCode="General">
                  <c:v>0.76576</c:v>
                </c:pt>
                <c:pt idx="7" formatCode="General">
                  <c:v>0.69033</c:v>
                </c:pt>
                <c:pt idx="8" formatCode="General">
                  <c:v>0.76025900000000002</c:v>
                </c:pt>
                <c:pt idx="9" formatCode="General">
                  <c:v>0.98821499999999995</c:v>
                </c:pt>
                <c:pt idx="10" formatCode="General">
                  <c:v>0.95476099999999997</c:v>
                </c:pt>
                <c:pt idx="11" formatCode="General">
                  <c:v>0.94724699999999995</c:v>
                </c:pt>
                <c:pt idx="12" formatCode="General">
                  <c:v>0.94774400000000003</c:v>
                </c:pt>
                <c:pt idx="13" formatCode="General">
                  <c:v>1.0109009467999999</c:v>
                </c:pt>
                <c:pt idx="14" formatCode="General">
                  <c:v>1.202134</c:v>
                </c:pt>
                <c:pt idx="15" formatCode="General">
                  <c:v>1.0950310000000001</c:v>
                </c:pt>
                <c:pt idx="16" formatCode="General">
                  <c:v>1.009045</c:v>
                </c:pt>
                <c:pt idx="17" formatCode="General">
                  <c:v>1.0128999999999999</c:v>
                </c:pt>
                <c:pt idx="18" formatCode="General">
                  <c:v>0.97060299999999999</c:v>
                </c:pt>
                <c:pt idx="19" formatCode="General">
                  <c:v>0.961866</c:v>
                </c:pt>
                <c:pt idx="20" formatCode="General">
                  <c:v>1.036249</c:v>
                </c:pt>
                <c:pt idx="21" formatCode="General">
                  <c:v>1.0626439999999999</c:v>
                </c:pt>
                <c:pt idx="22" formatCode="General">
                  <c:v>1.1317379999999999</c:v>
                </c:pt>
                <c:pt idx="23" formatCode="General">
                  <c:v>0.94535599999999997</c:v>
                </c:pt>
                <c:pt idx="24" formatCode="General">
                  <c:v>0.87227200000000005</c:v>
                </c:pt>
                <c:pt idx="25" formatCode="General">
                  <c:v>0.893621</c:v>
                </c:pt>
                <c:pt idx="26" formatCode="General">
                  <c:v>0.88212299999999999</c:v>
                </c:pt>
                <c:pt idx="27" formatCode="General">
                  <c:v>0.84600399999999998</c:v>
                </c:pt>
                <c:pt idx="28" formatCode="General">
                  <c:v>0.83451299999999995</c:v>
                </c:pt>
                <c:pt idx="29" formatCode="General">
                  <c:v>0.85331100000000004</c:v>
                </c:pt>
                <c:pt idx="30" formatCode="General">
                  <c:v>0.86345000000000005</c:v>
                </c:pt>
                <c:pt idx="31" formatCode="General">
                  <c:v>0.86281099999999999</c:v>
                </c:pt>
                <c:pt idx="32" formatCode="General">
                  <c:v>0.91581999999999997</c:v>
                </c:pt>
                <c:pt idx="33" formatCode="General">
                  <c:v>0.91259199999999996</c:v>
                </c:pt>
                <c:pt idx="34" formatCode="General">
                  <c:v>0.93906900000000004</c:v>
                </c:pt>
                <c:pt idx="35" formatCode="General">
                  <c:v>0.95205700000000004</c:v>
                </c:pt>
                <c:pt idx="36" formatCode="General">
                  <c:v>0.91686199999999995</c:v>
                </c:pt>
                <c:pt idx="37" formatCode="General">
                  <c:v>0.90692899999999999</c:v>
                </c:pt>
                <c:pt idx="38" formatCode="General">
                  <c:v>0.95783099999999999</c:v>
                </c:pt>
                <c:pt idx="39" formatCode="General">
                  <c:v>0.99867300000000003</c:v>
                </c:pt>
                <c:pt idx="40" formatCode="General">
                  <c:v>1.0368900000000001</c:v>
                </c:pt>
              </c:numCache>
            </c:numRef>
          </c:yVal>
          <c:smooth val="0"/>
          <c:extLst>
            <c:ext xmlns:c16="http://schemas.microsoft.com/office/drawing/2014/chart" uri="{C3380CC4-5D6E-409C-BE32-E72D297353CC}">
              <c16:uniqueId val="{00000003-B539-4E24-8821-63B41D56773B}"/>
            </c:ext>
          </c:extLst>
        </c:ser>
        <c:ser>
          <c:idx val="4"/>
          <c:order val="4"/>
          <c:tx>
            <c:strRef>
              <c:f>'Demand by Case'!$B$6</c:f>
              <c:strCache>
                <c:ptCount val="1"/>
                <c:pt idx="0">
                  <c:v>New England</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Case'!$C$6:$AQ$6</c:f>
              <c:numCache>
                <c:formatCode>0.000</c:formatCode>
                <c:ptCount val="41"/>
                <c:pt idx="0">
                  <c:v>0.42</c:v>
                </c:pt>
                <c:pt idx="1">
                  <c:v>0.45600000000000002</c:v>
                </c:pt>
                <c:pt idx="2">
                  <c:v>0.44768000000000002</c:v>
                </c:pt>
                <c:pt idx="3">
                  <c:v>0.37154999999999999</c:v>
                </c:pt>
                <c:pt idx="4" formatCode="General">
                  <c:v>0.34175</c:v>
                </c:pt>
                <c:pt idx="5" formatCode="General">
                  <c:v>0.39761000000000002</c:v>
                </c:pt>
                <c:pt idx="6" formatCode="General">
                  <c:v>0.39317999999999997</c:v>
                </c:pt>
                <c:pt idx="7" formatCode="General">
                  <c:v>0.37141000000000002</c:v>
                </c:pt>
                <c:pt idx="8" formatCode="General">
                  <c:v>0.40040700000000001</c:v>
                </c:pt>
                <c:pt idx="9" formatCode="General">
                  <c:v>0.33865099999999998</c:v>
                </c:pt>
                <c:pt idx="10" formatCode="General">
                  <c:v>0.36085299999999998</c:v>
                </c:pt>
                <c:pt idx="11" formatCode="General">
                  <c:v>0.34459200000000001</c:v>
                </c:pt>
                <c:pt idx="12" formatCode="General">
                  <c:v>0.36677300000000002</c:v>
                </c:pt>
                <c:pt idx="13" formatCode="General">
                  <c:v>0.38207115639999994</c:v>
                </c:pt>
                <c:pt idx="14" formatCode="General">
                  <c:v>0.45162400000000003</c:v>
                </c:pt>
                <c:pt idx="15" formatCode="General">
                  <c:v>0.40260099999999999</c:v>
                </c:pt>
                <c:pt idx="16" formatCode="General">
                  <c:v>0.30718400000000001</c:v>
                </c:pt>
                <c:pt idx="17" formatCode="General">
                  <c:v>0.26345200000000002</c:v>
                </c:pt>
                <c:pt idx="18" formatCode="General">
                  <c:v>0.24343400000000001</c:v>
                </c:pt>
                <c:pt idx="19" formatCode="General">
                  <c:v>0.22344900000000001</c:v>
                </c:pt>
                <c:pt idx="20" formatCode="General">
                  <c:v>0.17243700000000001</c:v>
                </c:pt>
                <c:pt idx="21" formatCode="General">
                  <c:v>0.19362799999999999</c:v>
                </c:pt>
                <c:pt idx="22" formatCode="General">
                  <c:v>0.21022299999999999</c:v>
                </c:pt>
                <c:pt idx="23" formatCode="General">
                  <c:v>0.20238</c:v>
                </c:pt>
                <c:pt idx="24" formatCode="General">
                  <c:v>0.189251</c:v>
                </c:pt>
                <c:pt idx="25" formatCode="General">
                  <c:v>0.19251499999999999</c:v>
                </c:pt>
                <c:pt idx="26" formatCode="General">
                  <c:v>0.19736699999999999</c:v>
                </c:pt>
                <c:pt idx="27" formatCode="General">
                  <c:v>0.18956899999999999</c:v>
                </c:pt>
                <c:pt idx="28" formatCode="General">
                  <c:v>0.194608</c:v>
                </c:pt>
                <c:pt idx="29" formatCode="General">
                  <c:v>0.18354999999999999</c:v>
                </c:pt>
                <c:pt idx="30" formatCode="General">
                  <c:v>0.19137100000000001</c:v>
                </c:pt>
                <c:pt idx="31" formatCode="General">
                  <c:v>0.19237499999999999</c:v>
                </c:pt>
                <c:pt idx="32" formatCode="General">
                  <c:v>0.203848</c:v>
                </c:pt>
                <c:pt idx="33" formatCode="General">
                  <c:v>0.20794799999999999</c:v>
                </c:pt>
                <c:pt idx="34" formatCode="General">
                  <c:v>0.183532</c:v>
                </c:pt>
                <c:pt idx="35" formatCode="General">
                  <c:v>0.14163100000000001</c:v>
                </c:pt>
                <c:pt idx="36" formatCode="General">
                  <c:v>0.157335</c:v>
                </c:pt>
                <c:pt idx="37" formatCode="General">
                  <c:v>0.15898799999999999</c:v>
                </c:pt>
                <c:pt idx="38" formatCode="General">
                  <c:v>0.16229199999999999</c:v>
                </c:pt>
                <c:pt idx="39" formatCode="General">
                  <c:v>0.17421200000000001</c:v>
                </c:pt>
                <c:pt idx="40" formatCode="General">
                  <c:v>0.16508500000000001</c:v>
                </c:pt>
              </c:numCache>
            </c:numRef>
          </c:yVal>
          <c:smooth val="0"/>
          <c:extLst>
            <c:ext xmlns:c16="http://schemas.microsoft.com/office/drawing/2014/chart" uri="{C3380CC4-5D6E-409C-BE32-E72D297353CC}">
              <c16:uniqueId val="{00000004-B539-4E24-8821-63B41D56773B}"/>
            </c:ext>
          </c:extLst>
        </c:ser>
        <c:ser>
          <c:idx val="5"/>
          <c:order val="5"/>
          <c:tx>
            <c:strRef>
              <c:f>'Demand by Case'!$B$7</c:f>
              <c:strCache>
                <c:ptCount val="1"/>
                <c:pt idx="0">
                  <c:v>Pacific</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Case'!$C$7:$AQ$7</c:f>
              <c:numCache>
                <c:formatCode>0.000</c:formatCode>
                <c:ptCount val="41"/>
                <c:pt idx="0">
                  <c:v>0.98899999999999999</c:v>
                </c:pt>
                <c:pt idx="1">
                  <c:v>0.76600000000000001</c:v>
                </c:pt>
                <c:pt idx="2">
                  <c:v>1.0445500000000001</c:v>
                </c:pt>
                <c:pt idx="3">
                  <c:v>1.06898</c:v>
                </c:pt>
                <c:pt idx="4" formatCode="General">
                  <c:v>1.0737300000000001</c:v>
                </c:pt>
                <c:pt idx="5" formatCode="General">
                  <c:v>1.08443</c:v>
                </c:pt>
                <c:pt idx="6" formatCode="General">
                  <c:v>0.91791</c:v>
                </c:pt>
                <c:pt idx="7" formatCode="General">
                  <c:v>0.84089999999999998</c:v>
                </c:pt>
                <c:pt idx="8" formatCode="General">
                  <c:v>0.87173500000000004</c:v>
                </c:pt>
                <c:pt idx="9" formatCode="General">
                  <c:v>0.83400300000000005</c:v>
                </c:pt>
                <c:pt idx="10" formatCode="General">
                  <c:v>0.84768100000000002</c:v>
                </c:pt>
                <c:pt idx="11" formatCode="General">
                  <c:v>0.88703399999999999</c:v>
                </c:pt>
                <c:pt idx="12" formatCode="General">
                  <c:v>0.85017500000000001</c:v>
                </c:pt>
                <c:pt idx="13" formatCode="General">
                  <c:v>0.89752464279999999</c:v>
                </c:pt>
                <c:pt idx="14" formatCode="General">
                  <c:v>1.0269790000000001</c:v>
                </c:pt>
                <c:pt idx="15" formatCode="General">
                  <c:v>0.855043</c:v>
                </c:pt>
                <c:pt idx="16" formatCode="General">
                  <c:v>0.75134500000000004</c:v>
                </c:pt>
                <c:pt idx="17" formatCode="General">
                  <c:v>0.718387</c:v>
                </c:pt>
                <c:pt idx="18" formatCode="General">
                  <c:v>0.77647600000000006</c:v>
                </c:pt>
                <c:pt idx="19" formatCode="General">
                  <c:v>0.82492699999999997</c:v>
                </c:pt>
                <c:pt idx="20" formatCode="General">
                  <c:v>0.89458400000000005</c:v>
                </c:pt>
                <c:pt idx="21" formatCode="General">
                  <c:v>0.94784299999999999</c:v>
                </c:pt>
                <c:pt idx="22" formatCode="General">
                  <c:v>1.0000899999999999</c:v>
                </c:pt>
                <c:pt idx="23" formatCode="General">
                  <c:v>0.93092900000000001</c:v>
                </c:pt>
                <c:pt idx="24" formatCode="General">
                  <c:v>0.94797500000000001</c:v>
                </c:pt>
                <c:pt idx="25" formatCode="General">
                  <c:v>0.93330900000000006</c:v>
                </c:pt>
                <c:pt idx="26" formatCode="General">
                  <c:v>0.88803600000000005</c:v>
                </c:pt>
                <c:pt idx="27" formatCode="General">
                  <c:v>0.82574800000000004</c:v>
                </c:pt>
                <c:pt idx="28" formatCode="General">
                  <c:v>0.78474999999999995</c:v>
                </c:pt>
                <c:pt idx="29" formatCode="General">
                  <c:v>0.737564</c:v>
                </c:pt>
                <c:pt idx="30" formatCode="General">
                  <c:v>0.72335400000000005</c:v>
                </c:pt>
                <c:pt idx="31" formatCode="General">
                  <c:v>0.72927500000000001</c:v>
                </c:pt>
                <c:pt idx="32" formatCode="General">
                  <c:v>0.67365200000000003</c:v>
                </c:pt>
                <c:pt idx="33" formatCode="General">
                  <c:v>0.70687199999999994</c:v>
                </c:pt>
                <c:pt idx="34" formatCode="General">
                  <c:v>0.68417700000000004</c:v>
                </c:pt>
                <c:pt idx="35" formatCode="General">
                  <c:v>0.66288899999999995</c:v>
                </c:pt>
                <c:pt idx="36" formatCode="General">
                  <c:v>0.61883600000000005</c:v>
                </c:pt>
                <c:pt idx="37" formatCode="General">
                  <c:v>0.64031800000000005</c:v>
                </c:pt>
                <c:pt idx="38" formatCode="General">
                  <c:v>0.63765499999999997</c:v>
                </c:pt>
                <c:pt idx="39" formatCode="General">
                  <c:v>0.62915399999999999</c:v>
                </c:pt>
                <c:pt idx="40" formatCode="General">
                  <c:v>0.62118799999999996</c:v>
                </c:pt>
              </c:numCache>
            </c:numRef>
          </c:yVal>
          <c:smooth val="0"/>
          <c:extLst>
            <c:ext xmlns:c16="http://schemas.microsoft.com/office/drawing/2014/chart" uri="{C3380CC4-5D6E-409C-BE32-E72D297353CC}">
              <c16:uniqueId val="{00000005-B539-4E24-8821-63B41D56773B}"/>
            </c:ext>
          </c:extLst>
        </c:ser>
        <c:ser>
          <c:idx val="6"/>
          <c:order val="6"/>
          <c:tx>
            <c:strRef>
              <c:f>'Demand by Case'!$B$8</c:f>
              <c:strCache>
                <c:ptCount val="1"/>
                <c:pt idx="0">
                  <c:v>South Atlantic</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Case'!$C$8:$AQ$8</c:f>
              <c:numCache>
                <c:formatCode>0.000</c:formatCode>
                <c:ptCount val="41"/>
                <c:pt idx="0">
                  <c:v>1.544</c:v>
                </c:pt>
                <c:pt idx="1">
                  <c:v>1.671</c:v>
                </c:pt>
                <c:pt idx="2">
                  <c:v>2.0428500000000001</c:v>
                </c:pt>
                <c:pt idx="3">
                  <c:v>1.8827100000000001</c:v>
                </c:pt>
                <c:pt idx="4" formatCode="General">
                  <c:v>1.89625</c:v>
                </c:pt>
                <c:pt idx="5" formatCode="General">
                  <c:v>2.3300999999999998</c:v>
                </c:pt>
                <c:pt idx="6" formatCode="General">
                  <c:v>2.46983</c:v>
                </c:pt>
                <c:pt idx="7" formatCode="General">
                  <c:v>2.4758900000000001</c:v>
                </c:pt>
                <c:pt idx="8" formatCode="General">
                  <c:v>2.5355310000000002</c:v>
                </c:pt>
                <c:pt idx="9" formatCode="General">
                  <c:v>2.7902589999999998</c:v>
                </c:pt>
                <c:pt idx="10" formatCode="General">
                  <c:v>2.7680370000000001</c:v>
                </c:pt>
                <c:pt idx="11" formatCode="General">
                  <c:v>2.4687269999999999</c:v>
                </c:pt>
                <c:pt idx="12" formatCode="General">
                  <c:v>2.6053380000000002</c:v>
                </c:pt>
                <c:pt idx="13" formatCode="General">
                  <c:v>2.9307975756000002</c:v>
                </c:pt>
                <c:pt idx="14" formatCode="General">
                  <c:v>2.7711190000000001</c:v>
                </c:pt>
                <c:pt idx="15" formatCode="General">
                  <c:v>2.8394810000000001</c:v>
                </c:pt>
                <c:pt idx="16" formatCode="General">
                  <c:v>2.8022559999999999</c:v>
                </c:pt>
                <c:pt idx="17" formatCode="General">
                  <c:v>2.7864520000000002</c:v>
                </c:pt>
                <c:pt idx="18" formatCode="General">
                  <c:v>2.6769919999999998</c:v>
                </c:pt>
                <c:pt idx="19" formatCode="General">
                  <c:v>2.548651</c:v>
                </c:pt>
                <c:pt idx="20" formatCode="General">
                  <c:v>2.418587</c:v>
                </c:pt>
                <c:pt idx="21" formatCode="General">
                  <c:v>2.1967430000000001</c:v>
                </c:pt>
                <c:pt idx="22" formatCode="General">
                  <c:v>2.3044190000000002</c:v>
                </c:pt>
                <c:pt idx="23" formatCode="General">
                  <c:v>2.088257</c:v>
                </c:pt>
                <c:pt idx="24" formatCode="General">
                  <c:v>1.92241</c:v>
                </c:pt>
                <c:pt idx="25" formatCode="General">
                  <c:v>1.878592</c:v>
                </c:pt>
                <c:pt idx="26" formatCode="General">
                  <c:v>1.9265509999999999</c:v>
                </c:pt>
                <c:pt idx="27" formatCode="General">
                  <c:v>1.718812</c:v>
                </c:pt>
                <c:pt idx="28" formatCode="General">
                  <c:v>1.7188319999999999</c:v>
                </c:pt>
                <c:pt idx="29" formatCode="General">
                  <c:v>1.6808350000000001</c:v>
                </c:pt>
                <c:pt idx="30" formatCode="General">
                  <c:v>1.617794</c:v>
                </c:pt>
                <c:pt idx="31" formatCode="General">
                  <c:v>1.6193070000000001</c:v>
                </c:pt>
                <c:pt idx="32" formatCode="General">
                  <c:v>1.5989310000000001</c:v>
                </c:pt>
                <c:pt idx="33" formatCode="General">
                  <c:v>1.5548820000000001</c:v>
                </c:pt>
                <c:pt idx="34" formatCode="General">
                  <c:v>1.4790049999999999</c:v>
                </c:pt>
                <c:pt idx="35" formatCode="General">
                  <c:v>1.4690719999999999</c:v>
                </c:pt>
                <c:pt idx="36" formatCode="General">
                  <c:v>1.4232819999999999</c:v>
                </c:pt>
                <c:pt idx="37" formatCode="General">
                  <c:v>1.3966799999999999</c:v>
                </c:pt>
                <c:pt idx="38" formatCode="General">
                  <c:v>1.344266</c:v>
                </c:pt>
                <c:pt idx="39" formatCode="General">
                  <c:v>1.3139270000000001</c:v>
                </c:pt>
                <c:pt idx="40" formatCode="General">
                  <c:v>1.3593660000000001</c:v>
                </c:pt>
              </c:numCache>
            </c:numRef>
          </c:yVal>
          <c:smooth val="0"/>
          <c:extLst>
            <c:ext xmlns:c16="http://schemas.microsoft.com/office/drawing/2014/chart" uri="{C3380CC4-5D6E-409C-BE32-E72D297353CC}">
              <c16:uniqueId val="{00000006-B539-4E24-8821-63B41D56773B}"/>
            </c:ext>
          </c:extLst>
        </c:ser>
        <c:ser>
          <c:idx val="7"/>
          <c:order val="7"/>
          <c:tx>
            <c:strRef>
              <c:f>'Demand by Case'!$B$9</c:f>
              <c:strCache>
                <c:ptCount val="1"/>
                <c:pt idx="0">
                  <c:v>West North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Case'!$C$9:$AQ$9</c:f>
              <c:numCache>
                <c:formatCode>0.000</c:formatCode>
                <c:ptCount val="41"/>
                <c:pt idx="0">
                  <c:v>0.124</c:v>
                </c:pt>
                <c:pt idx="1">
                  <c:v>0.11700000000000001</c:v>
                </c:pt>
                <c:pt idx="2">
                  <c:v>0.17066000000000001</c:v>
                </c:pt>
                <c:pt idx="3">
                  <c:v>0.13982</c:v>
                </c:pt>
                <c:pt idx="4" formatCode="General">
                  <c:v>0.10807</c:v>
                </c:pt>
                <c:pt idx="5" formatCode="General">
                  <c:v>0.14716000000000001</c:v>
                </c:pt>
                <c:pt idx="6" formatCode="General">
                  <c:v>0.19192000000000001</c:v>
                </c:pt>
                <c:pt idx="7" formatCode="General">
                  <c:v>0.17219000000000001</c:v>
                </c:pt>
                <c:pt idx="8" formatCode="General">
                  <c:v>0.189613</c:v>
                </c:pt>
                <c:pt idx="9" formatCode="General">
                  <c:v>0.22831399999999999</c:v>
                </c:pt>
                <c:pt idx="10" formatCode="General">
                  <c:v>0.247312</c:v>
                </c:pt>
                <c:pt idx="11" formatCode="General">
                  <c:v>0.19505600000000001</c:v>
                </c:pt>
                <c:pt idx="12" formatCode="General">
                  <c:v>0.25750699999999999</c:v>
                </c:pt>
                <c:pt idx="13" formatCode="General">
                  <c:v>0.26185394559999997</c:v>
                </c:pt>
                <c:pt idx="14" formatCode="General">
                  <c:v>0.32822899999999999</c:v>
                </c:pt>
                <c:pt idx="15" formatCode="General">
                  <c:v>0.33307799999999999</c:v>
                </c:pt>
                <c:pt idx="16" formatCode="General">
                  <c:v>0.29299399999999998</c:v>
                </c:pt>
                <c:pt idx="17" formatCode="General">
                  <c:v>0.34704600000000002</c:v>
                </c:pt>
                <c:pt idx="18" formatCode="General">
                  <c:v>0.36562699999999998</c:v>
                </c:pt>
                <c:pt idx="19" formatCode="General">
                  <c:v>0.40316400000000002</c:v>
                </c:pt>
                <c:pt idx="20" formatCode="General">
                  <c:v>0.45693299999999998</c:v>
                </c:pt>
                <c:pt idx="21" formatCode="General">
                  <c:v>0.43473800000000001</c:v>
                </c:pt>
                <c:pt idx="22" formatCode="General">
                  <c:v>0.58986700000000003</c:v>
                </c:pt>
                <c:pt idx="23" formatCode="General">
                  <c:v>0.55311200000000005</c:v>
                </c:pt>
                <c:pt idx="24" formatCode="General">
                  <c:v>0.410186</c:v>
                </c:pt>
                <c:pt idx="25" formatCode="General">
                  <c:v>0.37401000000000001</c:v>
                </c:pt>
                <c:pt idx="26" formatCode="General">
                  <c:v>0.34612500000000002</c:v>
                </c:pt>
                <c:pt idx="27" formatCode="General">
                  <c:v>0.33281100000000002</c:v>
                </c:pt>
                <c:pt idx="28" formatCode="General">
                  <c:v>0.30761699999999997</c:v>
                </c:pt>
                <c:pt idx="29" formatCode="General">
                  <c:v>0.271675</c:v>
                </c:pt>
                <c:pt idx="30" formatCode="General">
                  <c:v>0.27221699999999999</c:v>
                </c:pt>
                <c:pt idx="31" formatCode="General">
                  <c:v>0.285775</c:v>
                </c:pt>
                <c:pt idx="32" formatCode="General">
                  <c:v>0.26448100000000002</c:v>
                </c:pt>
                <c:pt idx="33" formatCode="General">
                  <c:v>0.265405</c:v>
                </c:pt>
                <c:pt idx="34" formatCode="General">
                  <c:v>0.23943700000000001</c:v>
                </c:pt>
                <c:pt idx="35" formatCode="General">
                  <c:v>0.27829500000000001</c:v>
                </c:pt>
                <c:pt idx="36" formatCode="General">
                  <c:v>0.28858600000000001</c:v>
                </c:pt>
                <c:pt idx="37" formatCode="General">
                  <c:v>0.303452</c:v>
                </c:pt>
                <c:pt idx="38" formatCode="General">
                  <c:v>0.32082500000000003</c:v>
                </c:pt>
                <c:pt idx="39" formatCode="General">
                  <c:v>0.320191</c:v>
                </c:pt>
                <c:pt idx="40" formatCode="General">
                  <c:v>0.33186599999999999</c:v>
                </c:pt>
              </c:numCache>
            </c:numRef>
          </c:yVal>
          <c:smooth val="0"/>
          <c:extLst>
            <c:ext xmlns:c16="http://schemas.microsoft.com/office/drawing/2014/chart" uri="{C3380CC4-5D6E-409C-BE32-E72D297353CC}">
              <c16:uniqueId val="{00000007-B539-4E24-8821-63B41D56773B}"/>
            </c:ext>
          </c:extLst>
        </c:ser>
        <c:ser>
          <c:idx val="8"/>
          <c:order val="8"/>
          <c:tx>
            <c:strRef>
              <c:f>'Demand by Case'!$B$10</c:f>
              <c:strCache>
                <c:ptCount val="1"/>
                <c:pt idx="0">
                  <c:v>West South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Case'!$C$10:$AQ$10</c:f>
              <c:numCache>
                <c:formatCode>0.000</c:formatCode>
                <c:ptCount val="41"/>
                <c:pt idx="0">
                  <c:v>2.0489999999999999</c:v>
                </c:pt>
                <c:pt idx="1">
                  <c:v>2.1880000000000002</c:v>
                </c:pt>
                <c:pt idx="2">
                  <c:v>2.33724</c:v>
                </c:pt>
                <c:pt idx="3">
                  <c:v>2.0754600000000001</c:v>
                </c:pt>
                <c:pt idx="4" formatCode="General">
                  <c:v>2.0256699999999999</c:v>
                </c:pt>
                <c:pt idx="5" formatCode="General">
                  <c:v>2.43411</c:v>
                </c:pt>
                <c:pt idx="6" formatCode="General">
                  <c:v>2.3518400000000002</c:v>
                </c:pt>
                <c:pt idx="7" formatCode="General">
                  <c:v>2.0631699999999999</c:v>
                </c:pt>
                <c:pt idx="8" formatCode="General">
                  <c:v>2.6613069999999999</c:v>
                </c:pt>
                <c:pt idx="9" formatCode="General">
                  <c:v>2.928261</c:v>
                </c:pt>
                <c:pt idx="10" formatCode="General">
                  <c:v>2.940385</c:v>
                </c:pt>
                <c:pt idx="11" formatCode="General">
                  <c:v>2.73224</c:v>
                </c:pt>
                <c:pt idx="12" formatCode="General">
                  <c:v>2.7970090000000001</c:v>
                </c:pt>
                <c:pt idx="13" formatCode="General">
                  <c:v>3.1132796379999998</c:v>
                </c:pt>
                <c:pt idx="14" formatCode="General">
                  <c:v>3.2780909999999999</c:v>
                </c:pt>
                <c:pt idx="15" formatCode="General">
                  <c:v>3.0628609999999998</c:v>
                </c:pt>
                <c:pt idx="16" formatCode="General">
                  <c:v>2.8316720000000002</c:v>
                </c:pt>
                <c:pt idx="17" formatCode="General">
                  <c:v>2.92258</c:v>
                </c:pt>
                <c:pt idx="18" formatCode="General">
                  <c:v>2.856328</c:v>
                </c:pt>
                <c:pt idx="19" formatCode="General">
                  <c:v>2.7639670000000001</c:v>
                </c:pt>
                <c:pt idx="20" formatCode="General">
                  <c:v>2.771827</c:v>
                </c:pt>
                <c:pt idx="21" formatCode="General">
                  <c:v>2.6816580000000001</c:v>
                </c:pt>
                <c:pt idx="22" formatCode="General">
                  <c:v>2.8314870000000001</c:v>
                </c:pt>
                <c:pt idx="23" formatCode="General">
                  <c:v>2.650223</c:v>
                </c:pt>
                <c:pt idx="24" formatCode="General">
                  <c:v>2.548273</c:v>
                </c:pt>
                <c:pt idx="25" formatCode="General">
                  <c:v>2.1618849999999998</c:v>
                </c:pt>
                <c:pt idx="26" formatCode="General">
                  <c:v>1.876698</c:v>
                </c:pt>
                <c:pt idx="27" formatCode="General">
                  <c:v>1.7420690000000001</c:v>
                </c:pt>
                <c:pt idx="28" formatCode="General">
                  <c:v>1.6611089999999999</c:v>
                </c:pt>
                <c:pt idx="29" formatCode="General">
                  <c:v>1.6218889999999999</c:v>
                </c:pt>
                <c:pt idx="30" formatCode="General">
                  <c:v>1.688687</c:v>
                </c:pt>
                <c:pt idx="31" formatCode="General">
                  <c:v>1.746875</c:v>
                </c:pt>
                <c:pt idx="32" formatCode="General">
                  <c:v>1.7570969999999999</c:v>
                </c:pt>
                <c:pt idx="33" formatCode="General">
                  <c:v>1.737841</c:v>
                </c:pt>
                <c:pt idx="34" formatCode="General">
                  <c:v>1.767898</c:v>
                </c:pt>
                <c:pt idx="35" formatCode="General">
                  <c:v>1.7255339999999999</c:v>
                </c:pt>
                <c:pt idx="36" formatCode="General">
                  <c:v>1.7374099999999999</c:v>
                </c:pt>
                <c:pt idx="37" formatCode="General">
                  <c:v>1.77373</c:v>
                </c:pt>
                <c:pt idx="38" formatCode="General">
                  <c:v>1.7559959999999999</c:v>
                </c:pt>
                <c:pt idx="39" formatCode="General">
                  <c:v>1.718013</c:v>
                </c:pt>
                <c:pt idx="40" formatCode="General">
                  <c:v>1.536503</c:v>
                </c:pt>
              </c:numCache>
            </c:numRef>
          </c:yVal>
          <c:smooth val="0"/>
          <c:extLst>
            <c:ext xmlns:c16="http://schemas.microsoft.com/office/drawing/2014/chart" uri="{C3380CC4-5D6E-409C-BE32-E72D297353CC}">
              <c16:uniqueId val="{00000008-B539-4E24-8821-63B41D56773B}"/>
            </c:ext>
          </c:extLst>
        </c:ser>
        <c:dLbls>
          <c:showLegendKey val="0"/>
          <c:showVal val="0"/>
          <c:showCatName val="0"/>
          <c:showSerName val="0"/>
          <c:showPercent val="0"/>
          <c:showBubbleSize val="0"/>
        </c:dLbls>
        <c:axId val="405238464"/>
        <c:axId val="634669496"/>
      </c:scatterChart>
      <c:valAx>
        <c:axId val="405238464"/>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634669496"/>
        <c:crosses val="autoZero"/>
        <c:crossBetween val="midCat"/>
      </c:valAx>
      <c:valAx>
        <c:axId val="634669496"/>
        <c:scaling>
          <c:orientation val="minMax"/>
          <c:max val="10"/>
        </c:scaling>
        <c:delete val="0"/>
        <c:axPos val="l"/>
        <c:title>
          <c:tx>
            <c:rich>
              <a:bodyPr rot="-5400000" vert="horz"/>
              <a:lstStyle/>
              <a:p>
                <a:pPr>
                  <a:defRPr/>
                </a:pPr>
                <a:r>
                  <a:rPr lang="en-US" baseline="0"/>
                  <a:t>NG Demand (Quads)</a:t>
                </a:r>
                <a:endParaRPr lang="en-US"/>
              </a:p>
            </c:rich>
          </c:tx>
          <c:overlay val="0"/>
        </c:title>
        <c:numFmt formatCode="0.000" sourceLinked="1"/>
        <c:majorTickMark val="out"/>
        <c:minorTickMark val="none"/>
        <c:tickLblPos val="nextTo"/>
        <c:crossAx val="405238464"/>
        <c:crosses val="autoZero"/>
        <c:crossBetween val="midCat"/>
      </c:valAx>
      <c:spPr>
        <a:ln>
          <a:solidFill>
            <a:schemeClr val="tx1">
              <a:lumMod val="50000"/>
              <a:lumOff val="50000"/>
            </a:schemeClr>
          </a:solidFill>
        </a:ln>
      </c:spPr>
    </c:plotArea>
    <c:legend>
      <c:legendPos val="r"/>
      <c:layout>
        <c:manualLayout>
          <c:xMode val="edge"/>
          <c:yMode val="edge"/>
          <c:x val="0.14671754492226927"/>
          <c:y val="0.13118832851589757"/>
          <c:w val="0.11174399353926913"/>
          <c:h val="0.41228712689983521"/>
        </c:manualLayout>
      </c:layout>
      <c:overlay val="1"/>
      <c:spPr>
        <a:solidFill>
          <a:sysClr val="window" lastClr="FFFFFF">
            <a:lumMod val="100000"/>
          </a:sysClr>
        </a:solidFill>
        <a:ln w="9525" cap="flat" cmpd="sng" algn="ctr">
          <a:solidFill>
            <a:sysClr val="windowText" lastClr="000000">
              <a:lumMod val="50000"/>
              <a:lumOff val="50000"/>
            </a:sysClr>
          </a:solidFill>
          <a:prstDash val="solid"/>
          <a:round/>
          <a:headEnd type="none" w="med" len="med"/>
          <a:tailEnd type="none" w="med" len="med"/>
        </a:ln>
      </c:sp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'Demand by Case'!$B$12</c:f>
              <c:strCache>
                <c:ptCount val="1"/>
                <c:pt idx="0">
                  <c:v>East North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Case'!$C$12:$AQ$12</c:f>
              <c:numCache>
                <c:formatCode>0.000</c:formatCode>
                <c:ptCount val="41"/>
                <c:pt idx="0">
                  <c:v>0.32600000000000001</c:v>
                </c:pt>
                <c:pt idx="1">
                  <c:v>0.39500000000000002</c:v>
                </c:pt>
                <c:pt idx="2">
                  <c:v>0.65559999999999996</c:v>
                </c:pt>
                <c:pt idx="3">
                  <c:v>0.4753</c:v>
                </c:pt>
                <c:pt idx="4" formatCode="General">
                  <c:v>0.48286000000000001</c:v>
                </c:pt>
                <c:pt idx="5" formatCode="General">
                  <c:v>0.71331</c:v>
                </c:pt>
                <c:pt idx="6" formatCode="General">
                  <c:v>0.91213999999999995</c:v>
                </c:pt>
                <c:pt idx="7" formatCode="General">
                  <c:v>0.81025999999999998</c:v>
                </c:pt>
                <c:pt idx="8" formatCode="General">
                  <c:v>1.00257</c:v>
                </c:pt>
                <c:pt idx="9" formatCode="General">
                  <c:v>1.185716</c:v>
                </c:pt>
                <c:pt idx="10" formatCode="General">
                  <c:v>1.262778</c:v>
                </c:pt>
                <c:pt idx="11" formatCode="General">
                  <c:v>1.082247</c:v>
                </c:pt>
                <c:pt idx="12" formatCode="General">
                  <c:v>1.477695</c:v>
                </c:pt>
                <c:pt idx="13" formatCode="General">
                  <c:v>1.3370293463999998</c:v>
                </c:pt>
                <c:pt idx="14" formatCode="General">
                  <c:v>1.8072170000000001</c:v>
                </c:pt>
                <c:pt idx="15" formatCode="General">
                  <c:v>1.7219869999999999</c:v>
                </c:pt>
                <c:pt idx="16" formatCode="General">
                  <c:v>2.0429940000000002</c:v>
                </c:pt>
                <c:pt idx="17" formatCode="General">
                  <c:v>2.2063380000000001</c:v>
                </c:pt>
                <c:pt idx="18" formatCode="General">
                  <c:v>2.334784</c:v>
                </c:pt>
                <c:pt idx="19" formatCode="General">
                  <c:v>2.512054</c:v>
                </c:pt>
                <c:pt idx="20" formatCode="General">
                  <c:v>2.6029279999999999</c:v>
                </c:pt>
                <c:pt idx="21" formatCode="General">
                  <c:v>2.7514639999999999</c:v>
                </c:pt>
                <c:pt idx="22" formatCode="General">
                  <c:v>3.2539709999999999</c:v>
                </c:pt>
                <c:pt idx="23" formatCode="General">
                  <c:v>3.2399300000000002</c:v>
                </c:pt>
                <c:pt idx="24" formatCode="General">
                  <c:v>3.205562</c:v>
                </c:pt>
                <c:pt idx="25" formatCode="General">
                  <c:v>3.2121879999999998</c:v>
                </c:pt>
                <c:pt idx="26" formatCode="General">
                  <c:v>3.1320510000000001</c:v>
                </c:pt>
                <c:pt idx="27" formatCode="General">
                  <c:v>3.140409</c:v>
                </c:pt>
                <c:pt idx="28" formatCode="General">
                  <c:v>2.716094</c:v>
                </c:pt>
                <c:pt idx="29" formatCode="General">
                  <c:v>2.581804</c:v>
                </c:pt>
                <c:pt idx="30" formatCode="General">
                  <c:v>2.5503960000000001</c:v>
                </c:pt>
                <c:pt idx="31" formatCode="General">
                  <c:v>2.6038380000000001</c:v>
                </c:pt>
                <c:pt idx="32" formatCode="General">
                  <c:v>2.7749090000000001</c:v>
                </c:pt>
                <c:pt idx="33" formatCode="General">
                  <c:v>2.8877470000000001</c:v>
                </c:pt>
                <c:pt idx="34" formatCode="General">
                  <c:v>2.9896379999999998</c:v>
                </c:pt>
                <c:pt idx="35" formatCode="General">
                  <c:v>3.06196</c:v>
                </c:pt>
                <c:pt idx="36" formatCode="General">
                  <c:v>3.0996619999999999</c:v>
                </c:pt>
                <c:pt idx="37" formatCode="General">
                  <c:v>2.9791099999999999</c:v>
                </c:pt>
                <c:pt idx="38" formatCode="General">
                  <c:v>2.855375</c:v>
                </c:pt>
                <c:pt idx="39" formatCode="General">
                  <c:v>2.9848370000000002</c:v>
                </c:pt>
                <c:pt idx="40" formatCode="General">
                  <c:v>2.9270170000000002</c:v>
                </c:pt>
              </c:numCache>
            </c:numRef>
          </c:yVal>
          <c:smooth val="0"/>
          <c:extLst>
            <c:ext xmlns:c16="http://schemas.microsoft.com/office/drawing/2014/chart" uri="{C3380CC4-5D6E-409C-BE32-E72D297353CC}">
              <c16:uniqueId val="{00000000-FA7B-43AB-B819-2B0AD4B28032}"/>
            </c:ext>
          </c:extLst>
        </c:ser>
        <c:ser>
          <c:idx val="1"/>
          <c:order val="1"/>
          <c:tx>
            <c:strRef>
              <c:f>'Demand by Case'!$B$13</c:f>
              <c:strCache>
                <c:ptCount val="1"/>
                <c:pt idx="0">
                  <c:v>East South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Case'!$C$13:$AQ$13</c:f>
              <c:numCache>
                <c:formatCode>0.000</c:formatCode>
                <c:ptCount val="41"/>
                <c:pt idx="0">
                  <c:v>0.56699999999999995</c:v>
                </c:pt>
                <c:pt idx="1">
                  <c:v>0.63900000000000001</c:v>
                </c:pt>
                <c:pt idx="2">
                  <c:v>0.79730000000000001</c:v>
                </c:pt>
                <c:pt idx="3">
                  <c:v>0.62895999999999996</c:v>
                </c:pt>
                <c:pt idx="4" formatCode="General">
                  <c:v>0.67191000000000001</c:v>
                </c:pt>
                <c:pt idx="5" formatCode="General">
                  <c:v>0.87541999999999998</c:v>
                </c:pt>
                <c:pt idx="6" formatCode="General">
                  <c:v>0.96189999999999998</c:v>
                </c:pt>
                <c:pt idx="7" formatCode="General">
                  <c:v>0.91090000000000004</c:v>
                </c:pt>
                <c:pt idx="8" formatCode="General">
                  <c:v>0.99460199999999999</c:v>
                </c:pt>
                <c:pt idx="9" formatCode="General">
                  <c:v>1.0298240000000001</c:v>
                </c:pt>
                <c:pt idx="10" formatCode="General">
                  <c:v>1.047204</c:v>
                </c:pt>
                <c:pt idx="11" formatCode="General">
                  <c:v>0.913914</c:v>
                </c:pt>
                <c:pt idx="12" formatCode="General">
                  <c:v>0.90047999999999995</c:v>
                </c:pt>
                <c:pt idx="13" formatCode="General">
                  <c:v>1.1087795951999999</c:v>
                </c:pt>
                <c:pt idx="14" formatCode="General">
                  <c:v>1.1207670000000001</c:v>
                </c:pt>
                <c:pt idx="15" formatCode="General">
                  <c:v>1.1014539999999999</c:v>
                </c:pt>
                <c:pt idx="16" formatCode="General">
                  <c:v>1.2405759999999999</c:v>
                </c:pt>
                <c:pt idx="17" formatCode="General">
                  <c:v>1.345413</c:v>
                </c:pt>
                <c:pt idx="18" formatCode="General">
                  <c:v>1.3067260000000001</c:v>
                </c:pt>
                <c:pt idx="19" formatCode="General">
                  <c:v>1.324362</c:v>
                </c:pt>
                <c:pt idx="20" formatCode="General">
                  <c:v>1.24977</c:v>
                </c:pt>
                <c:pt idx="21" formatCode="General">
                  <c:v>1.181122</c:v>
                </c:pt>
                <c:pt idx="22" formatCode="General">
                  <c:v>1.2029479999999999</c:v>
                </c:pt>
                <c:pt idx="23" formatCode="General">
                  <c:v>1.22631</c:v>
                </c:pt>
                <c:pt idx="24" formatCode="General">
                  <c:v>1.2287809999999999</c:v>
                </c:pt>
                <c:pt idx="25" formatCode="General">
                  <c:v>1.1853039999999999</c:v>
                </c:pt>
                <c:pt idx="26" formatCode="General">
                  <c:v>1.1377729999999999</c:v>
                </c:pt>
                <c:pt idx="27" formatCode="General">
                  <c:v>1.144755</c:v>
                </c:pt>
                <c:pt idx="28" formatCode="General">
                  <c:v>1.1585490000000001</c:v>
                </c:pt>
                <c:pt idx="29" formatCode="General">
                  <c:v>1.105213</c:v>
                </c:pt>
                <c:pt idx="30" formatCode="General">
                  <c:v>1.0843039999999999</c:v>
                </c:pt>
                <c:pt idx="31" formatCode="General">
                  <c:v>1.106517</c:v>
                </c:pt>
                <c:pt idx="32" formatCode="General">
                  <c:v>1.0884609999999999</c:v>
                </c:pt>
                <c:pt idx="33" formatCode="General">
                  <c:v>1.1507879999999999</c:v>
                </c:pt>
                <c:pt idx="34" formatCode="General">
                  <c:v>1.153446</c:v>
                </c:pt>
                <c:pt idx="35" formatCode="General">
                  <c:v>1.184258</c:v>
                </c:pt>
                <c:pt idx="36" formatCode="General">
                  <c:v>1.2557469999999999</c:v>
                </c:pt>
                <c:pt idx="37" formatCode="General">
                  <c:v>1.3059259999999999</c:v>
                </c:pt>
                <c:pt idx="38" formatCode="General">
                  <c:v>1.313169</c:v>
                </c:pt>
                <c:pt idx="39" formatCode="General">
                  <c:v>1.2989440000000001</c:v>
                </c:pt>
                <c:pt idx="40" formatCode="General">
                  <c:v>1.3173630000000001</c:v>
                </c:pt>
              </c:numCache>
            </c:numRef>
          </c:yVal>
          <c:smooth val="0"/>
          <c:extLst>
            <c:ext xmlns:c16="http://schemas.microsoft.com/office/drawing/2014/chart" uri="{C3380CC4-5D6E-409C-BE32-E72D297353CC}">
              <c16:uniqueId val="{00000001-FA7B-43AB-B819-2B0AD4B28032}"/>
            </c:ext>
          </c:extLst>
        </c:ser>
        <c:ser>
          <c:idx val="2"/>
          <c:order val="2"/>
          <c:tx>
            <c:strRef>
              <c:f>'Demand by Case'!$B$14</c:f>
              <c:strCache>
                <c:ptCount val="1"/>
                <c:pt idx="0">
                  <c:v>Middle Atlantic</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Case'!$C$14:$AQ$14</c:f>
              <c:numCache>
                <c:formatCode>0.000</c:formatCode>
                <c:ptCount val="41"/>
                <c:pt idx="0">
                  <c:v>0.89</c:v>
                </c:pt>
                <c:pt idx="1">
                  <c:v>0.96499999999999997</c:v>
                </c:pt>
                <c:pt idx="2">
                  <c:v>1.15412</c:v>
                </c:pt>
                <c:pt idx="3">
                  <c:v>1.0663400000000001</c:v>
                </c:pt>
                <c:pt idx="4" formatCode="General">
                  <c:v>1.13148</c:v>
                </c:pt>
                <c:pt idx="5" formatCode="General">
                  <c:v>1.23645</c:v>
                </c:pt>
                <c:pt idx="6" formatCode="General">
                  <c:v>1.3445</c:v>
                </c:pt>
                <c:pt idx="7" formatCode="General">
                  <c:v>1.1961599999999999</c:v>
                </c:pt>
                <c:pt idx="8" formatCode="General">
                  <c:v>1.3000640000000001</c:v>
                </c:pt>
                <c:pt idx="9" formatCode="General">
                  <c:v>1.451554</c:v>
                </c:pt>
                <c:pt idx="10" formatCode="General">
                  <c:v>1.684218</c:v>
                </c:pt>
                <c:pt idx="11" formatCode="General">
                  <c:v>1.654776</c:v>
                </c:pt>
                <c:pt idx="12" formatCode="General">
                  <c:v>1.9982930000000001</c:v>
                </c:pt>
                <c:pt idx="13" formatCode="General">
                  <c:v>1.7832500184</c:v>
                </c:pt>
                <c:pt idx="14" formatCode="General">
                  <c:v>1.951789</c:v>
                </c:pt>
                <c:pt idx="15" formatCode="General">
                  <c:v>1.5909059999999999</c:v>
                </c:pt>
                <c:pt idx="16" formatCode="General">
                  <c:v>1.697816</c:v>
                </c:pt>
                <c:pt idx="17" formatCode="General">
                  <c:v>1.701938</c:v>
                </c:pt>
                <c:pt idx="18" formatCode="General">
                  <c:v>1.644293</c:v>
                </c:pt>
                <c:pt idx="19" formatCode="General">
                  <c:v>1.6304970000000001</c:v>
                </c:pt>
                <c:pt idx="20" formatCode="General">
                  <c:v>1.7788630000000001</c:v>
                </c:pt>
                <c:pt idx="21" formatCode="General">
                  <c:v>1.787377</c:v>
                </c:pt>
                <c:pt idx="22" formatCode="General">
                  <c:v>1.8459460000000001</c:v>
                </c:pt>
                <c:pt idx="23" formatCode="General">
                  <c:v>1.84822</c:v>
                </c:pt>
                <c:pt idx="24" formatCode="General">
                  <c:v>1.8434539999999999</c:v>
                </c:pt>
                <c:pt idx="25" formatCode="General">
                  <c:v>1.710656</c:v>
                </c:pt>
                <c:pt idx="26" formatCode="General">
                  <c:v>1.6424190000000001</c:v>
                </c:pt>
                <c:pt idx="27" formatCode="General">
                  <c:v>1.6444000000000001</c:v>
                </c:pt>
                <c:pt idx="28" formatCode="General">
                  <c:v>1.5908910000000001</c:v>
                </c:pt>
                <c:pt idx="29" formatCode="General">
                  <c:v>1.437783</c:v>
                </c:pt>
                <c:pt idx="30" formatCode="General">
                  <c:v>1.440836</c:v>
                </c:pt>
                <c:pt idx="31" formatCode="General">
                  <c:v>1.4714449999999999</c:v>
                </c:pt>
                <c:pt idx="32" formatCode="General">
                  <c:v>1.400841</c:v>
                </c:pt>
                <c:pt idx="33" formatCode="General">
                  <c:v>1.453301</c:v>
                </c:pt>
                <c:pt idx="34" formatCode="General">
                  <c:v>1.5395540000000001</c:v>
                </c:pt>
                <c:pt idx="35" formatCode="General">
                  <c:v>1.580606</c:v>
                </c:pt>
                <c:pt idx="36" formatCode="General">
                  <c:v>1.6484510000000001</c:v>
                </c:pt>
                <c:pt idx="37" formatCode="General">
                  <c:v>1.739527</c:v>
                </c:pt>
                <c:pt idx="38" formatCode="General">
                  <c:v>1.7455579999999999</c:v>
                </c:pt>
                <c:pt idx="39" formatCode="General">
                  <c:v>1.680766</c:v>
                </c:pt>
                <c:pt idx="40" formatCode="General">
                  <c:v>1.6853990000000001</c:v>
                </c:pt>
              </c:numCache>
            </c:numRef>
          </c:yVal>
          <c:smooth val="0"/>
          <c:extLst>
            <c:ext xmlns:c16="http://schemas.microsoft.com/office/drawing/2014/chart" uri="{C3380CC4-5D6E-409C-BE32-E72D297353CC}">
              <c16:uniqueId val="{00000002-FA7B-43AB-B819-2B0AD4B28032}"/>
            </c:ext>
          </c:extLst>
        </c:ser>
        <c:ser>
          <c:idx val="3"/>
          <c:order val="3"/>
          <c:tx>
            <c:strRef>
              <c:f>'Demand by Case'!$B$15</c:f>
              <c:strCache>
                <c:ptCount val="1"/>
                <c:pt idx="0">
                  <c:v>Mountain</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Case'!$C$15:$AQ$15</c:f>
              <c:numCache>
                <c:formatCode>0.000</c:formatCode>
                <c:ptCount val="41"/>
                <c:pt idx="0">
                  <c:v>0.64100000000000001</c:v>
                </c:pt>
                <c:pt idx="1">
                  <c:v>0.56699999999999995</c:v>
                </c:pt>
                <c:pt idx="2">
                  <c:v>0.66283000000000003</c:v>
                </c:pt>
                <c:pt idx="3">
                  <c:v>0.65071999999999997</c:v>
                </c:pt>
                <c:pt idx="4" formatCode="General">
                  <c:v>0.64890999999999999</c:v>
                </c:pt>
                <c:pt idx="5" formatCode="General">
                  <c:v>0.75092000000000003</c:v>
                </c:pt>
                <c:pt idx="6" formatCode="General">
                  <c:v>0.76576</c:v>
                </c:pt>
                <c:pt idx="7" formatCode="General">
                  <c:v>0.69033</c:v>
                </c:pt>
                <c:pt idx="8" formatCode="General">
                  <c:v>0.76025900000000002</c:v>
                </c:pt>
                <c:pt idx="9" formatCode="General">
                  <c:v>0.98821499999999995</c:v>
                </c:pt>
                <c:pt idx="10" formatCode="General">
                  <c:v>0.95476099999999997</c:v>
                </c:pt>
                <c:pt idx="11" formatCode="General">
                  <c:v>0.94724699999999995</c:v>
                </c:pt>
                <c:pt idx="12" formatCode="General">
                  <c:v>0.94774400000000003</c:v>
                </c:pt>
                <c:pt idx="13" formatCode="General">
                  <c:v>1.0109009467999999</c:v>
                </c:pt>
                <c:pt idx="14" formatCode="General">
                  <c:v>1.198553</c:v>
                </c:pt>
                <c:pt idx="15" formatCode="General">
                  <c:v>1.094271</c:v>
                </c:pt>
                <c:pt idx="16" formatCode="General">
                  <c:v>1.1317390000000001</c:v>
                </c:pt>
                <c:pt idx="17" formatCode="General">
                  <c:v>1.092678</c:v>
                </c:pt>
                <c:pt idx="18" formatCode="General">
                  <c:v>1.0797159999999999</c:v>
                </c:pt>
                <c:pt idx="19" formatCode="General">
                  <c:v>1.0736239999999999</c:v>
                </c:pt>
                <c:pt idx="20" formatCode="General">
                  <c:v>1.1760839999999999</c:v>
                </c:pt>
                <c:pt idx="21" formatCode="General">
                  <c:v>1.2145820000000001</c:v>
                </c:pt>
                <c:pt idx="22" formatCode="General">
                  <c:v>1.3266439999999999</c:v>
                </c:pt>
                <c:pt idx="23" formatCode="General">
                  <c:v>1.2748090000000001</c:v>
                </c:pt>
                <c:pt idx="24" formatCode="General">
                  <c:v>1.246807</c:v>
                </c:pt>
                <c:pt idx="25" formatCode="General">
                  <c:v>1.1979200000000001</c:v>
                </c:pt>
                <c:pt idx="26" formatCode="General">
                  <c:v>1.3295319999999999</c:v>
                </c:pt>
                <c:pt idx="27" formatCode="General">
                  <c:v>1.32666</c:v>
                </c:pt>
                <c:pt idx="28" formatCode="General">
                  <c:v>1.1714830000000001</c:v>
                </c:pt>
                <c:pt idx="29" formatCode="General">
                  <c:v>1.0167820000000001</c:v>
                </c:pt>
                <c:pt idx="30" formatCode="General">
                  <c:v>1.0724070000000001</c:v>
                </c:pt>
                <c:pt idx="31" formatCode="General">
                  <c:v>1.0445720000000001</c:v>
                </c:pt>
                <c:pt idx="32" formatCode="General">
                  <c:v>1.0700909999999999</c:v>
                </c:pt>
                <c:pt idx="33" formatCode="General">
                  <c:v>1.107367</c:v>
                </c:pt>
                <c:pt idx="34" formatCode="General">
                  <c:v>1.171576</c:v>
                </c:pt>
                <c:pt idx="35" formatCode="General">
                  <c:v>1.259128</c:v>
                </c:pt>
                <c:pt idx="36" formatCode="General">
                  <c:v>1.248391</c:v>
                </c:pt>
                <c:pt idx="37" formatCode="General">
                  <c:v>1.285874</c:v>
                </c:pt>
                <c:pt idx="38" formatCode="General">
                  <c:v>1.3257760000000001</c:v>
                </c:pt>
                <c:pt idx="39" formatCode="General">
                  <c:v>1.364214</c:v>
                </c:pt>
                <c:pt idx="40" formatCode="General">
                  <c:v>1.4555899999999999</c:v>
                </c:pt>
              </c:numCache>
            </c:numRef>
          </c:yVal>
          <c:smooth val="0"/>
          <c:extLst>
            <c:ext xmlns:c16="http://schemas.microsoft.com/office/drawing/2014/chart" uri="{C3380CC4-5D6E-409C-BE32-E72D297353CC}">
              <c16:uniqueId val="{00000003-FA7B-43AB-B819-2B0AD4B28032}"/>
            </c:ext>
          </c:extLst>
        </c:ser>
        <c:ser>
          <c:idx val="4"/>
          <c:order val="4"/>
          <c:tx>
            <c:strRef>
              <c:f>'Demand by Case'!$B$16</c:f>
              <c:strCache>
                <c:ptCount val="1"/>
                <c:pt idx="0">
                  <c:v>New England</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Case'!$C$16:$AQ$16</c:f>
              <c:numCache>
                <c:formatCode>0.000</c:formatCode>
                <c:ptCount val="41"/>
                <c:pt idx="0">
                  <c:v>0.42</c:v>
                </c:pt>
                <c:pt idx="1">
                  <c:v>0.45600000000000002</c:v>
                </c:pt>
                <c:pt idx="2">
                  <c:v>0.44768000000000002</c:v>
                </c:pt>
                <c:pt idx="3">
                  <c:v>0.37154999999999999</c:v>
                </c:pt>
                <c:pt idx="4" formatCode="General">
                  <c:v>0.34175</c:v>
                </c:pt>
                <c:pt idx="5" formatCode="General">
                  <c:v>0.39761000000000002</c:v>
                </c:pt>
                <c:pt idx="6" formatCode="General">
                  <c:v>0.39317999999999997</c:v>
                </c:pt>
                <c:pt idx="7" formatCode="General">
                  <c:v>0.37141000000000002</c:v>
                </c:pt>
                <c:pt idx="8" formatCode="General">
                  <c:v>0.40040700000000001</c:v>
                </c:pt>
                <c:pt idx="9" formatCode="General">
                  <c:v>0.33865099999999998</c:v>
                </c:pt>
                <c:pt idx="10" formatCode="General">
                  <c:v>0.36085299999999998</c:v>
                </c:pt>
                <c:pt idx="11" formatCode="General">
                  <c:v>0.34459200000000001</c:v>
                </c:pt>
                <c:pt idx="12" formatCode="General">
                  <c:v>0.36677300000000002</c:v>
                </c:pt>
                <c:pt idx="13" formatCode="General">
                  <c:v>0.38207115639999994</c:v>
                </c:pt>
                <c:pt idx="14" formatCode="General">
                  <c:v>0.44650600000000001</c:v>
                </c:pt>
                <c:pt idx="15" formatCode="General">
                  <c:v>0.40023199999999998</c:v>
                </c:pt>
                <c:pt idx="16" formatCode="General">
                  <c:v>0.31166199999999999</c:v>
                </c:pt>
                <c:pt idx="17" formatCode="General">
                  <c:v>0.26856000000000002</c:v>
                </c:pt>
                <c:pt idx="18" formatCode="General">
                  <c:v>0.24493400000000001</c:v>
                </c:pt>
                <c:pt idx="19" formatCode="General">
                  <c:v>0.24136099999999999</c:v>
                </c:pt>
                <c:pt idx="20" formatCode="General">
                  <c:v>0.19605700000000001</c:v>
                </c:pt>
                <c:pt idx="21" formatCode="General">
                  <c:v>0.17458899999999999</c:v>
                </c:pt>
                <c:pt idx="22" formatCode="General">
                  <c:v>0.19328300000000001</c:v>
                </c:pt>
                <c:pt idx="23" formatCode="General">
                  <c:v>0.18547</c:v>
                </c:pt>
                <c:pt idx="24" formatCode="General">
                  <c:v>0.18739600000000001</c:v>
                </c:pt>
                <c:pt idx="25" formatCode="General">
                  <c:v>0.192078</c:v>
                </c:pt>
                <c:pt idx="26" formatCode="General">
                  <c:v>0.19969999999999999</c:v>
                </c:pt>
                <c:pt idx="27" formatCode="General">
                  <c:v>0.20652100000000001</c:v>
                </c:pt>
                <c:pt idx="28" formatCode="General">
                  <c:v>0.197384</c:v>
                </c:pt>
                <c:pt idx="29" formatCode="General">
                  <c:v>0.185696</c:v>
                </c:pt>
                <c:pt idx="30" formatCode="General">
                  <c:v>0.1913</c:v>
                </c:pt>
                <c:pt idx="31" formatCode="General">
                  <c:v>0.19642200000000001</c:v>
                </c:pt>
                <c:pt idx="32" formatCode="General">
                  <c:v>0.20803099999999999</c:v>
                </c:pt>
                <c:pt idx="33" formatCode="General">
                  <c:v>0.21592700000000001</c:v>
                </c:pt>
                <c:pt idx="34" formatCode="General">
                  <c:v>0.195102</c:v>
                </c:pt>
                <c:pt idx="35" formatCode="General">
                  <c:v>0.159384</c:v>
                </c:pt>
                <c:pt idx="36" formatCode="General">
                  <c:v>0.161159</c:v>
                </c:pt>
                <c:pt idx="37" formatCode="General">
                  <c:v>0.16706099999999999</c:v>
                </c:pt>
                <c:pt idx="38" formatCode="General">
                  <c:v>0.16881599999999999</c:v>
                </c:pt>
                <c:pt idx="39" formatCode="General">
                  <c:v>0.16794999999999999</c:v>
                </c:pt>
                <c:pt idx="40" formatCode="General">
                  <c:v>0.15661</c:v>
                </c:pt>
              </c:numCache>
            </c:numRef>
          </c:yVal>
          <c:smooth val="0"/>
          <c:extLst>
            <c:ext xmlns:c16="http://schemas.microsoft.com/office/drawing/2014/chart" uri="{C3380CC4-5D6E-409C-BE32-E72D297353CC}">
              <c16:uniqueId val="{00000004-FA7B-43AB-B819-2B0AD4B28032}"/>
            </c:ext>
          </c:extLst>
        </c:ser>
        <c:ser>
          <c:idx val="5"/>
          <c:order val="5"/>
          <c:tx>
            <c:strRef>
              <c:f>'Demand by Case'!$B$17</c:f>
              <c:strCache>
                <c:ptCount val="1"/>
                <c:pt idx="0">
                  <c:v>Pacific</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Case'!$C$17:$AQ$17</c:f>
              <c:numCache>
                <c:formatCode>0.000</c:formatCode>
                <c:ptCount val="41"/>
                <c:pt idx="0">
                  <c:v>0.98899999999999999</c:v>
                </c:pt>
                <c:pt idx="1">
                  <c:v>0.76600000000000001</c:v>
                </c:pt>
                <c:pt idx="2">
                  <c:v>1.0445500000000001</c:v>
                </c:pt>
                <c:pt idx="3">
                  <c:v>1.06898</c:v>
                </c:pt>
                <c:pt idx="4" formatCode="General">
                  <c:v>1.0737300000000001</c:v>
                </c:pt>
                <c:pt idx="5" formatCode="General">
                  <c:v>1.08443</c:v>
                </c:pt>
                <c:pt idx="6" formatCode="General">
                  <c:v>0.91791</c:v>
                </c:pt>
                <c:pt idx="7" formatCode="General">
                  <c:v>0.84089999999999998</c:v>
                </c:pt>
                <c:pt idx="8" formatCode="General">
                  <c:v>0.87173500000000004</c:v>
                </c:pt>
                <c:pt idx="9" formatCode="General">
                  <c:v>0.83400300000000005</c:v>
                </c:pt>
                <c:pt idx="10" formatCode="General">
                  <c:v>0.84768100000000002</c:v>
                </c:pt>
                <c:pt idx="11" formatCode="General">
                  <c:v>0.88703399999999999</c:v>
                </c:pt>
                <c:pt idx="12" formatCode="General">
                  <c:v>0.85017500000000001</c:v>
                </c:pt>
                <c:pt idx="13" formatCode="General">
                  <c:v>0.89752464279999999</c:v>
                </c:pt>
                <c:pt idx="14" formatCode="General">
                  <c:v>1.01817</c:v>
                </c:pt>
                <c:pt idx="15" formatCode="General">
                  <c:v>0.85408799999999996</c:v>
                </c:pt>
                <c:pt idx="16" formatCode="General">
                  <c:v>0.76151400000000002</c:v>
                </c:pt>
                <c:pt idx="17" formatCode="General">
                  <c:v>0.75090100000000004</c:v>
                </c:pt>
                <c:pt idx="18" formatCode="General">
                  <c:v>0.78061000000000003</c:v>
                </c:pt>
                <c:pt idx="19" formatCode="General">
                  <c:v>0.82847099999999996</c:v>
                </c:pt>
                <c:pt idx="20" formatCode="General">
                  <c:v>0.90130399999999999</c:v>
                </c:pt>
                <c:pt idx="21" formatCode="General">
                  <c:v>0.96684199999999998</c:v>
                </c:pt>
                <c:pt idx="22" formatCode="General">
                  <c:v>1.003485</c:v>
                </c:pt>
                <c:pt idx="23" formatCode="General">
                  <c:v>1.094409</c:v>
                </c:pt>
                <c:pt idx="24" formatCode="General">
                  <c:v>1.119302</c:v>
                </c:pt>
                <c:pt idx="25" formatCode="General">
                  <c:v>1.1376090000000001</c:v>
                </c:pt>
                <c:pt idx="26" formatCode="General">
                  <c:v>1.0085649999999999</c:v>
                </c:pt>
                <c:pt idx="27" formatCode="General">
                  <c:v>1.047966</c:v>
                </c:pt>
                <c:pt idx="28" formatCode="General">
                  <c:v>1.034278</c:v>
                </c:pt>
                <c:pt idx="29" formatCode="General">
                  <c:v>1.041979</c:v>
                </c:pt>
                <c:pt idx="30" formatCode="General">
                  <c:v>1.0486530000000001</c:v>
                </c:pt>
                <c:pt idx="31" formatCode="General">
                  <c:v>1.0877870000000001</c:v>
                </c:pt>
                <c:pt idx="32" formatCode="General">
                  <c:v>1.072913</c:v>
                </c:pt>
                <c:pt idx="33" formatCode="General">
                  <c:v>1.0473600000000001</c:v>
                </c:pt>
                <c:pt idx="34" formatCode="General">
                  <c:v>1.0455589999999999</c:v>
                </c:pt>
                <c:pt idx="35" formatCode="General">
                  <c:v>1.036926</c:v>
                </c:pt>
                <c:pt idx="36" formatCode="General">
                  <c:v>1.04817</c:v>
                </c:pt>
                <c:pt idx="37" formatCode="General">
                  <c:v>1.030689</c:v>
                </c:pt>
                <c:pt idx="38" formatCode="General">
                  <c:v>1.004289</c:v>
                </c:pt>
                <c:pt idx="39" formatCode="General">
                  <c:v>1.004726</c:v>
                </c:pt>
                <c:pt idx="40" formatCode="General">
                  <c:v>0.99037699999999995</c:v>
                </c:pt>
              </c:numCache>
            </c:numRef>
          </c:yVal>
          <c:smooth val="0"/>
          <c:extLst>
            <c:ext xmlns:c16="http://schemas.microsoft.com/office/drawing/2014/chart" uri="{C3380CC4-5D6E-409C-BE32-E72D297353CC}">
              <c16:uniqueId val="{00000005-FA7B-43AB-B819-2B0AD4B28032}"/>
            </c:ext>
          </c:extLst>
        </c:ser>
        <c:ser>
          <c:idx val="6"/>
          <c:order val="6"/>
          <c:tx>
            <c:strRef>
              <c:f>'Demand by Case'!$B$18</c:f>
              <c:strCache>
                <c:ptCount val="1"/>
                <c:pt idx="0">
                  <c:v>South Atlantic</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Case'!$C$18:$AQ$18</c:f>
              <c:numCache>
                <c:formatCode>0.000</c:formatCode>
                <c:ptCount val="41"/>
                <c:pt idx="0">
                  <c:v>1.544</c:v>
                </c:pt>
                <c:pt idx="1">
                  <c:v>1.671</c:v>
                </c:pt>
                <c:pt idx="2">
                  <c:v>2.0428500000000001</c:v>
                </c:pt>
                <c:pt idx="3">
                  <c:v>1.8827100000000001</c:v>
                </c:pt>
                <c:pt idx="4" formatCode="General">
                  <c:v>1.89625</c:v>
                </c:pt>
                <c:pt idx="5" formatCode="General">
                  <c:v>2.3300999999999998</c:v>
                </c:pt>
                <c:pt idx="6" formatCode="General">
                  <c:v>2.46983</c:v>
                </c:pt>
                <c:pt idx="7" formatCode="General">
                  <c:v>2.4758900000000001</c:v>
                </c:pt>
                <c:pt idx="8" formatCode="General">
                  <c:v>2.5355310000000002</c:v>
                </c:pt>
                <c:pt idx="9" formatCode="General">
                  <c:v>2.7902589999999998</c:v>
                </c:pt>
                <c:pt idx="10" formatCode="General">
                  <c:v>2.7680370000000001</c:v>
                </c:pt>
                <c:pt idx="11" formatCode="General">
                  <c:v>2.4687269999999999</c:v>
                </c:pt>
                <c:pt idx="12" formatCode="General">
                  <c:v>2.6053380000000002</c:v>
                </c:pt>
                <c:pt idx="13" formatCode="General">
                  <c:v>2.9307975756000002</c:v>
                </c:pt>
                <c:pt idx="14" formatCode="General">
                  <c:v>2.7724310000000001</c:v>
                </c:pt>
                <c:pt idx="15" formatCode="General">
                  <c:v>2.8024439999999999</c:v>
                </c:pt>
                <c:pt idx="16" formatCode="General">
                  <c:v>2.951403</c:v>
                </c:pt>
                <c:pt idx="17" formatCode="General">
                  <c:v>3.0339809999999998</c:v>
                </c:pt>
                <c:pt idx="18" formatCode="General">
                  <c:v>3.0157699999999998</c:v>
                </c:pt>
                <c:pt idx="19" formatCode="General">
                  <c:v>2.9697230000000001</c:v>
                </c:pt>
                <c:pt idx="20" formatCode="General">
                  <c:v>2.868471</c:v>
                </c:pt>
                <c:pt idx="21" formatCode="General">
                  <c:v>2.6971500000000002</c:v>
                </c:pt>
                <c:pt idx="22" formatCode="General">
                  <c:v>2.8642020000000001</c:v>
                </c:pt>
                <c:pt idx="23" formatCode="General">
                  <c:v>2.768513</c:v>
                </c:pt>
                <c:pt idx="24" formatCode="General">
                  <c:v>2.7435420000000001</c:v>
                </c:pt>
                <c:pt idx="25" formatCode="General">
                  <c:v>2.6553939999999998</c:v>
                </c:pt>
                <c:pt idx="26" formatCode="General">
                  <c:v>2.5500560000000001</c:v>
                </c:pt>
                <c:pt idx="27" formatCode="General">
                  <c:v>2.471244</c:v>
                </c:pt>
                <c:pt idx="28" formatCode="General">
                  <c:v>2.4391090000000002</c:v>
                </c:pt>
                <c:pt idx="29" formatCode="General">
                  <c:v>2.3777949999999999</c:v>
                </c:pt>
                <c:pt idx="30" formatCode="General">
                  <c:v>2.49518</c:v>
                </c:pt>
                <c:pt idx="31" formatCode="General">
                  <c:v>2.572892</c:v>
                </c:pt>
                <c:pt idx="32" formatCode="General">
                  <c:v>2.5600019999999999</c:v>
                </c:pt>
                <c:pt idx="33" formatCode="General">
                  <c:v>2.6047400000000001</c:v>
                </c:pt>
                <c:pt idx="34" formatCode="General">
                  <c:v>2.5855670000000002</c:v>
                </c:pt>
                <c:pt idx="35" formatCode="General">
                  <c:v>2.5614599999999998</c:v>
                </c:pt>
                <c:pt idx="36" formatCode="General">
                  <c:v>2.5736750000000002</c:v>
                </c:pt>
                <c:pt idx="37" formatCode="General">
                  <c:v>2.5491139999999999</c:v>
                </c:pt>
                <c:pt idx="38" formatCode="General">
                  <c:v>2.5296759999999998</c:v>
                </c:pt>
                <c:pt idx="39" formatCode="General">
                  <c:v>2.6252620000000002</c:v>
                </c:pt>
                <c:pt idx="40" formatCode="General">
                  <c:v>2.6320610000000002</c:v>
                </c:pt>
              </c:numCache>
            </c:numRef>
          </c:yVal>
          <c:smooth val="0"/>
          <c:extLst>
            <c:ext xmlns:c16="http://schemas.microsoft.com/office/drawing/2014/chart" uri="{C3380CC4-5D6E-409C-BE32-E72D297353CC}">
              <c16:uniqueId val="{00000006-FA7B-43AB-B819-2B0AD4B28032}"/>
            </c:ext>
          </c:extLst>
        </c:ser>
        <c:ser>
          <c:idx val="7"/>
          <c:order val="7"/>
          <c:tx>
            <c:strRef>
              <c:f>'Demand by Case'!$B$19</c:f>
              <c:strCache>
                <c:ptCount val="1"/>
                <c:pt idx="0">
                  <c:v>West North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Case'!$C$19:$AQ$19</c:f>
              <c:numCache>
                <c:formatCode>0.000</c:formatCode>
                <c:ptCount val="41"/>
                <c:pt idx="0">
                  <c:v>0.124</c:v>
                </c:pt>
                <c:pt idx="1">
                  <c:v>0.11700000000000001</c:v>
                </c:pt>
                <c:pt idx="2">
                  <c:v>0.17066000000000001</c:v>
                </c:pt>
                <c:pt idx="3">
                  <c:v>0.13982</c:v>
                </c:pt>
                <c:pt idx="4" formatCode="General">
                  <c:v>0.10807</c:v>
                </c:pt>
                <c:pt idx="5" formatCode="General">
                  <c:v>0.14716000000000001</c:v>
                </c:pt>
                <c:pt idx="6" formatCode="General">
                  <c:v>0.19192000000000001</c:v>
                </c:pt>
                <c:pt idx="7" formatCode="General">
                  <c:v>0.17219000000000001</c:v>
                </c:pt>
                <c:pt idx="8" formatCode="General">
                  <c:v>0.189613</c:v>
                </c:pt>
                <c:pt idx="9" formatCode="General">
                  <c:v>0.22831399999999999</c:v>
                </c:pt>
                <c:pt idx="10" formatCode="General">
                  <c:v>0.247312</c:v>
                </c:pt>
                <c:pt idx="11" formatCode="General">
                  <c:v>0.19505600000000001</c:v>
                </c:pt>
                <c:pt idx="12" formatCode="General">
                  <c:v>0.25750699999999999</c:v>
                </c:pt>
                <c:pt idx="13" formatCode="General">
                  <c:v>0.26185394559999997</c:v>
                </c:pt>
                <c:pt idx="14" formatCode="General">
                  <c:v>0.32841399999999998</c:v>
                </c:pt>
                <c:pt idx="15" formatCode="General">
                  <c:v>0.31657999999999997</c:v>
                </c:pt>
                <c:pt idx="16" formatCode="General">
                  <c:v>0.33955400000000002</c:v>
                </c:pt>
                <c:pt idx="17" formatCode="General">
                  <c:v>0.389654</c:v>
                </c:pt>
                <c:pt idx="18" formatCode="General">
                  <c:v>0.37641000000000002</c:v>
                </c:pt>
                <c:pt idx="19" formatCode="General">
                  <c:v>0.39822299999999999</c:v>
                </c:pt>
                <c:pt idx="20" formatCode="General">
                  <c:v>0.42772700000000002</c:v>
                </c:pt>
                <c:pt idx="21" formatCode="General">
                  <c:v>0.49181399999999997</c:v>
                </c:pt>
                <c:pt idx="22" formatCode="General">
                  <c:v>0.599109</c:v>
                </c:pt>
                <c:pt idx="23" formatCode="General">
                  <c:v>0.49717899999999998</c:v>
                </c:pt>
                <c:pt idx="24" formatCode="General">
                  <c:v>0.49038500000000002</c:v>
                </c:pt>
                <c:pt idx="25" formatCode="General">
                  <c:v>0.48494399999999999</c:v>
                </c:pt>
                <c:pt idx="26" formatCode="General">
                  <c:v>0.420684</c:v>
                </c:pt>
                <c:pt idx="27" formatCode="General">
                  <c:v>0.41656100000000001</c:v>
                </c:pt>
                <c:pt idx="28" formatCode="General">
                  <c:v>0.376668</c:v>
                </c:pt>
                <c:pt idx="29" formatCode="General">
                  <c:v>0.35404099999999999</c:v>
                </c:pt>
                <c:pt idx="30" formatCode="General">
                  <c:v>0.35902699999999999</c:v>
                </c:pt>
                <c:pt idx="31" formatCode="General">
                  <c:v>0.36682799999999999</c:v>
                </c:pt>
                <c:pt idx="32" formatCode="General">
                  <c:v>0.38286399999999998</c:v>
                </c:pt>
                <c:pt idx="33" formatCode="General">
                  <c:v>0.40549400000000002</c:v>
                </c:pt>
                <c:pt idx="34" formatCode="General">
                  <c:v>0.4108</c:v>
                </c:pt>
                <c:pt idx="35" formatCode="General">
                  <c:v>0.439917</c:v>
                </c:pt>
                <c:pt idx="36" formatCode="General">
                  <c:v>0.46365099999999998</c:v>
                </c:pt>
                <c:pt idx="37" formatCode="General">
                  <c:v>0.46622999999999998</c:v>
                </c:pt>
                <c:pt idx="38" formatCode="General">
                  <c:v>0.474269</c:v>
                </c:pt>
                <c:pt idx="39" formatCode="General">
                  <c:v>0.42521300000000001</c:v>
                </c:pt>
                <c:pt idx="40" formatCode="General">
                  <c:v>0.38175500000000001</c:v>
                </c:pt>
              </c:numCache>
            </c:numRef>
          </c:yVal>
          <c:smooth val="0"/>
          <c:extLst>
            <c:ext xmlns:c16="http://schemas.microsoft.com/office/drawing/2014/chart" uri="{C3380CC4-5D6E-409C-BE32-E72D297353CC}">
              <c16:uniqueId val="{00000007-FA7B-43AB-B819-2B0AD4B28032}"/>
            </c:ext>
          </c:extLst>
        </c:ser>
        <c:ser>
          <c:idx val="8"/>
          <c:order val="8"/>
          <c:tx>
            <c:strRef>
              <c:f>'Demand by Case'!$B$20</c:f>
              <c:strCache>
                <c:ptCount val="1"/>
                <c:pt idx="0">
                  <c:v>West South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Case'!$C$20:$AQ$20</c:f>
              <c:numCache>
                <c:formatCode>0.000</c:formatCode>
                <c:ptCount val="41"/>
                <c:pt idx="0">
                  <c:v>2.0489999999999999</c:v>
                </c:pt>
                <c:pt idx="1">
                  <c:v>2.1880000000000002</c:v>
                </c:pt>
                <c:pt idx="2">
                  <c:v>2.33724</c:v>
                </c:pt>
                <c:pt idx="3">
                  <c:v>2.0754600000000001</c:v>
                </c:pt>
                <c:pt idx="4" formatCode="General">
                  <c:v>2.0256699999999999</c:v>
                </c:pt>
                <c:pt idx="5" formatCode="General">
                  <c:v>2.43411</c:v>
                </c:pt>
                <c:pt idx="6" formatCode="General">
                  <c:v>2.3518400000000002</c:v>
                </c:pt>
                <c:pt idx="7" formatCode="General">
                  <c:v>2.0631699999999999</c:v>
                </c:pt>
                <c:pt idx="8" formatCode="General">
                  <c:v>2.6613069999999999</c:v>
                </c:pt>
                <c:pt idx="9" formatCode="General">
                  <c:v>2.928261</c:v>
                </c:pt>
                <c:pt idx="10" formatCode="General">
                  <c:v>2.940385</c:v>
                </c:pt>
                <c:pt idx="11" formatCode="General">
                  <c:v>2.73224</c:v>
                </c:pt>
                <c:pt idx="12" formatCode="General">
                  <c:v>2.7970090000000001</c:v>
                </c:pt>
                <c:pt idx="13" formatCode="General">
                  <c:v>3.1132796379999998</c:v>
                </c:pt>
                <c:pt idx="14" formatCode="General">
                  <c:v>3.2826379999999999</c:v>
                </c:pt>
                <c:pt idx="15" formatCode="General">
                  <c:v>3.123186</c:v>
                </c:pt>
                <c:pt idx="16" formatCode="General">
                  <c:v>3.3750840000000002</c:v>
                </c:pt>
                <c:pt idx="17" formatCode="General">
                  <c:v>3.3942220000000001</c:v>
                </c:pt>
                <c:pt idx="18" formatCode="General">
                  <c:v>3.2932419999999998</c:v>
                </c:pt>
                <c:pt idx="19" formatCode="General">
                  <c:v>3.1882570000000001</c:v>
                </c:pt>
                <c:pt idx="20" formatCode="General">
                  <c:v>3.2442199999999999</c:v>
                </c:pt>
                <c:pt idx="21" formatCode="General">
                  <c:v>3.2516250000000002</c:v>
                </c:pt>
                <c:pt idx="22" formatCode="General">
                  <c:v>3.4153739999999999</c:v>
                </c:pt>
                <c:pt idx="23" formatCode="General">
                  <c:v>3.4080219999999999</c:v>
                </c:pt>
                <c:pt idx="24" formatCode="General">
                  <c:v>3.36646</c:v>
                </c:pt>
                <c:pt idx="25" formatCode="General">
                  <c:v>3.3178580000000002</c:v>
                </c:pt>
                <c:pt idx="26" formatCode="General">
                  <c:v>2.9391759999999998</c:v>
                </c:pt>
                <c:pt idx="27" formatCode="General">
                  <c:v>2.5354670000000001</c:v>
                </c:pt>
                <c:pt idx="28" formatCode="General">
                  <c:v>2.4727329999999998</c:v>
                </c:pt>
                <c:pt idx="29" formatCode="General">
                  <c:v>2.369297</c:v>
                </c:pt>
                <c:pt idx="30" formatCode="General">
                  <c:v>2.332093</c:v>
                </c:pt>
                <c:pt idx="31" formatCode="General">
                  <c:v>2.428086</c:v>
                </c:pt>
                <c:pt idx="32" formatCode="General">
                  <c:v>2.434259</c:v>
                </c:pt>
                <c:pt idx="33" formatCode="General">
                  <c:v>2.535568</c:v>
                </c:pt>
                <c:pt idx="34" formatCode="General">
                  <c:v>2.5704769999999999</c:v>
                </c:pt>
                <c:pt idx="35" formatCode="General">
                  <c:v>2.6012209999999998</c:v>
                </c:pt>
                <c:pt idx="36" formatCode="General">
                  <c:v>2.629858</c:v>
                </c:pt>
                <c:pt idx="37" formatCode="General">
                  <c:v>2.6505139999999998</c:v>
                </c:pt>
                <c:pt idx="38" formatCode="General">
                  <c:v>2.607504</c:v>
                </c:pt>
                <c:pt idx="39" formatCode="General">
                  <c:v>2.676126</c:v>
                </c:pt>
                <c:pt idx="40" formatCode="General">
                  <c:v>2.6585700000000001</c:v>
                </c:pt>
              </c:numCache>
            </c:numRef>
          </c:yVal>
          <c:smooth val="0"/>
          <c:extLst>
            <c:ext xmlns:c16="http://schemas.microsoft.com/office/drawing/2014/chart" uri="{C3380CC4-5D6E-409C-BE32-E72D297353CC}">
              <c16:uniqueId val="{00000008-FA7B-43AB-B819-2B0AD4B28032}"/>
            </c:ext>
          </c:extLst>
        </c:ser>
        <c:dLbls>
          <c:showLegendKey val="0"/>
          <c:showVal val="0"/>
          <c:showCatName val="0"/>
          <c:showSerName val="0"/>
          <c:showPercent val="0"/>
          <c:showBubbleSize val="0"/>
        </c:dLbls>
        <c:axId val="634670280"/>
        <c:axId val="634670672"/>
      </c:scatterChart>
      <c:valAx>
        <c:axId val="634670280"/>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634670672"/>
        <c:crosses val="autoZero"/>
        <c:crossBetween val="midCat"/>
      </c:valAx>
      <c:valAx>
        <c:axId val="634670672"/>
        <c:scaling>
          <c:orientation val="minMax"/>
          <c:max val="10"/>
        </c:scaling>
        <c:delete val="0"/>
        <c:axPos val="l"/>
        <c:title>
          <c:tx>
            <c:rich>
              <a:bodyPr rot="-5400000" vert="horz"/>
              <a:lstStyle/>
              <a:p>
                <a:pPr>
                  <a:defRPr/>
                </a:pPr>
                <a:r>
                  <a:rPr lang="en-US" baseline="0"/>
                  <a:t>NG Price (2013$/MMBtu)</a:t>
                </a:r>
                <a:endParaRPr lang="en-US"/>
              </a:p>
            </c:rich>
          </c:tx>
          <c:overlay val="0"/>
        </c:title>
        <c:numFmt formatCode="0.000" sourceLinked="1"/>
        <c:majorTickMark val="out"/>
        <c:minorTickMark val="none"/>
        <c:tickLblPos val="nextTo"/>
        <c:crossAx val="634670280"/>
        <c:crosses val="autoZero"/>
        <c:crossBetween val="midCat"/>
      </c:valAx>
      <c:spPr>
        <a:ln>
          <a:solidFill>
            <a:schemeClr val="tx1">
              <a:lumMod val="50000"/>
              <a:lumOff val="50000"/>
            </a:schemeClr>
          </a:solidFill>
        </a:ln>
      </c:spPr>
    </c:plotArea>
    <c:legend>
      <c:legendPos val="r"/>
      <c:layout>
        <c:manualLayout>
          <c:xMode val="edge"/>
          <c:yMode val="edge"/>
          <c:x val="0.17133292953765386"/>
          <c:y val="0.13909972092096085"/>
          <c:w val="0.11174399353926913"/>
          <c:h val="0.41228712689983521"/>
        </c:manualLayout>
      </c:layout>
      <c:overlay val="1"/>
      <c:spPr>
        <a:solidFill>
          <a:sysClr val="window" lastClr="FFFFFF">
            <a:lumMod val="100000"/>
          </a:sysClr>
        </a:solidFill>
        <a:ln w="9525" cap="flat" cmpd="sng" algn="ctr">
          <a:solidFill>
            <a:sysClr val="windowText" lastClr="000000">
              <a:lumMod val="50000"/>
              <a:lumOff val="50000"/>
            </a:sysClr>
          </a:solidFill>
          <a:prstDash val="solid"/>
          <a:round/>
          <a:headEnd type="none" w="med" len="med"/>
          <a:tailEnd type="none" w="med" len="med"/>
        </a:ln>
      </c:sp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'Demand by Case'!$B$22</c:f>
              <c:strCache>
                <c:ptCount val="1"/>
                <c:pt idx="0">
                  <c:v>East North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Case'!$C$22:$AQ$22</c:f>
              <c:numCache>
                <c:formatCode>0.000</c:formatCode>
                <c:ptCount val="41"/>
                <c:pt idx="0">
                  <c:v>0.32600000000000001</c:v>
                </c:pt>
                <c:pt idx="1">
                  <c:v>0.39500000000000002</c:v>
                </c:pt>
                <c:pt idx="2">
                  <c:v>0.65559999999999996</c:v>
                </c:pt>
                <c:pt idx="3">
                  <c:v>0.4753</c:v>
                </c:pt>
                <c:pt idx="4" formatCode="General">
                  <c:v>0.48286000000000001</c:v>
                </c:pt>
                <c:pt idx="5" formatCode="General">
                  <c:v>0.71331</c:v>
                </c:pt>
                <c:pt idx="6" formatCode="General">
                  <c:v>0.91213999999999995</c:v>
                </c:pt>
                <c:pt idx="7" formatCode="General">
                  <c:v>0.81025999999999998</c:v>
                </c:pt>
                <c:pt idx="8" formatCode="General">
                  <c:v>1.00257</c:v>
                </c:pt>
                <c:pt idx="9" formatCode="General">
                  <c:v>1.185716</c:v>
                </c:pt>
                <c:pt idx="10" formatCode="General">
                  <c:v>1.262778</c:v>
                </c:pt>
                <c:pt idx="11" formatCode="General">
                  <c:v>1.082247</c:v>
                </c:pt>
                <c:pt idx="12" formatCode="General">
                  <c:v>1.477695</c:v>
                </c:pt>
                <c:pt idx="13" formatCode="General">
                  <c:v>1.3370293463999998</c:v>
                </c:pt>
                <c:pt idx="14" formatCode="General">
                  <c:v>1.804559</c:v>
                </c:pt>
                <c:pt idx="15" formatCode="General">
                  <c:v>1.7483200000000001</c:v>
                </c:pt>
                <c:pt idx="16" formatCode="General">
                  <c:v>1.402841</c:v>
                </c:pt>
                <c:pt idx="17" formatCode="General">
                  <c:v>1.4980549999999999</c:v>
                </c:pt>
                <c:pt idx="18" formatCode="General">
                  <c:v>1.509668</c:v>
                </c:pt>
                <c:pt idx="19" formatCode="General">
                  <c:v>1.4968570000000001</c:v>
                </c:pt>
                <c:pt idx="20" formatCode="General">
                  <c:v>1.5340670000000001</c:v>
                </c:pt>
                <c:pt idx="21" formatCode="General">
                  <c:v>1.3846529999999999</c:v>
                </c:pt>
                <c:pt idx="22" formatCode="General">
                  <c:v>1.565061</c:v>
                </c:pt>
                <c:pt idx="23" formatCode="General">
                  <c:v>1.3330070000000001</c:v>
                </c:pt>
                <c:pt idx="24" formatCode="General">
                  <c:v>1.233128</c:v>
                </c:pt>
                <c:pt idx="25" formatCode="General">
                  <c:v>1.1114269999999999</c:v>
                </c:pt>
                <c:pt idx="26" formatCode="General">
                  <c:v>1.031229</c:v>
                </c:pt>
                <c:pt idx="27" formatCode="General">
                  <c:v>0.85496499999999997</c:v>
                </c:pt>
                <c:pt idx="28" formatCode="General">
                  <c:v>0.73247399999999996</c:v>
                </c:pt>
                <c:pt idx="29" formatCode="General">
                  <c:v>0.75810100000000002</c:v>
                </c:pt>
                <c:pt idx="30" formatCode="General">
                  <c:v>0.69853699999999996</c:v>
                </c:pt>
                <c:pt idx="31" formatCode="General">
                  <c:v>0.66412400000000005</c:v>
                </c:pt>
                <c:pt idx="32" formatCode="General">
                  <c:v>0.61507500000000004</c:v>
                </c:pt>
                <c:pt idx="33" formatCode="General">
                  <c:v>0.60669700000000004</c:v>
                </c:pt>
                <c:pt idx="34" formatCode="General">
                  <c:v>0.58708199999999999</c:v>
                </c:pt>
                <c:pt idx="35" formatCode="General">
                  <c:v>0.60744100000000001</c:v>
                </c:pt>
                <c:pt idx="36" formatCode="General">
                  <c:v>0.66343799999999997</c:v>
                </c:pt>
                <c:pt idx="37" formatCode="General">
                  <c:v>0.68706400000000001</c:v>
                </c:pt>
                <c:pt idx="38" formatCode="General">
                  <c:v>0.73440499999999997</c:v>
                </c:pt>
                <c:pt idx="39" formatCode="General">
                  <c:v>0.789578</c:v>
                </c:pt>
                <c:pt idx="40" formatCode="General">
                  <c:v>0.81628699999999998</c:v>
                </c:pt>
              </c:numCache>
            </c:numRef>
          </c:yVal>
          <c:smooth val="0"/>
          <c:extLst>
            <c:ext xmlns:c16="http://schemas.microsoft.com/office/drawing/2014/chart" uri="{C3380CC4-5D6E-409C-BE32-E72D297353CC}">
              <c16:uniqueId val="{00000000-36F5-41B0-A72C-BCE7F0A027BB}"/>
            </c:ext>
          </c:extLst>
        </c:ser>
        <c:ser>
          <c:idx val="1"/>
          <c:order val="1"/>
          <c:tx>
            <c:strRef>
              <c:f>'Demand by Case'!$B$23</c:f>
              <c:strCache>
                <c:ptCount val="1"/>
                <c:pt idx="0">
                  <c:v>East South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Case'!$C$23:$AQ$23</c:f>
              <c:numCache>
                <c:formatCode>0.000</c:formatCode>
                <c:ptCount val="41"/>
                <c:pt idx="0">
                  <c:v>0.56699999999999995</c:v>
                </c:pt>
                <c:pt idx="1">
                  <c:v>0.63900000000000001</c:v>
                </c:pt>
                <c:pt idx="2">
                  <c:v>0.79730000000000001</c:v>
                </c:pt>
                <c:pt idx="3">
                  <c:v>0.62895999999999996</c:v>
                </c:pt>
                <c:pt idx="4" formatCode="General">
                  <c:v>0.67191000000000001</c:v>
                </c:pt>
                <c:pt idx="5" formatCode="General">
                  <c:v>0.87541999999999998</c:v>
                </c:pt>
                <c:pt idx="6" formatCode="General">
                  <c:v>0.96189999999999998</c:v>
                </c:pt>
                <c:pt idx="7" formatCode="General">
                  <c:v>0.91090000000000004</c:v>
                </c:pt>
                <c:pt idx="8" formatCode="General">
                  <c:v>0.99460199999999999</c:v>
                </c:pt>
                <c:pt idx="9" formatCode="General">
                  <c:v>1.0298240000000001</c:v>
                </c:pt>
                <c:pt idx="10" formatCode="General">
                  <c:v>1.047204</c:v>
                </c:pt>
                <c:pt idx="11" formatCode="General">
                  <c:v>0.913914</c:v>
                </c:pt>
                <c:pt idx="12" formatCode="General">
                  <c:v>0.90047999999999995</c:v>
                </c:pt>
                <c:pt idx="13" formatCode="General">
                  <c:v>1.1087795951999999</c:v>
                </c:pt>
                <c:pt idx="14" formatCode="General">
                  <c:v>1.12185</c:v>
                </c:pt>
                <c:pt idx="15" formatCode="General">
                  <c:v>1.0538650000000001</c:v>
                </c:pt>
                <c:pt idx="16" formatCode="General">
                  <c:v>0.872166</c:v>
                </c:pt>
                <c:pt idx="17" formatCode="General">
                  <c:v>0.93093800000000004</c:v>
                </c:pt>
                <c:pt idx="18" formatCode="General">
                  <c:v>0.90715400000000002</c:v>
                </c:pt>
                <c:pt idx="19" formatCode="General">
                  <c:v>0.87167300000000003</c:v>
                </c:pt>
                <c:pt idx="20" formatCode="General">
                  <c:v>0.80887500000000001</c:v>
                </c:pt>
                <c:pt idx="21" formatCode="General">
                  <c:v>0.668381</c:v>
                </c:pt>
                <c:pt idx="22" formatCode="General">
                  <c:v>0.73492400000000002</c:v>
                </c:pt>
                <c:pt idx="23" formatCode="General">
                  <c:v>0.69140599999999997</c:v>
                </c:pt>
                <c:pt idx="24" formatCode="General">
                  <c:v>0.63474399999999997</c:v>
                </c:pt>
                <c:pt idx="25" formatCode="General">
                  <c:v>0.63707999999999998</c:v>
                </c:pt>
                <c:pt idx="26" formatCode="General">
                  <c:v>0.549481</c:v>
                </c:pt>
                <c:pt idx="27" formatCode="General">
                  <c:v>0.48276999999999998</c:v>
                </c:pt>
                <c:pt idx="28" formatCode="General">
                  <c:v>0.43524499999999999</c:v>
                </c:pt>
                <c:pt idx="29" formatCode="General">
                  <c:v>0.37465300000000001</c:v>
                </c:pt>
                <c:pt idx="30" formatCode="General">
                  <c:v>0.29641299999999998</c:v>
                </c:pt>
                <c:pt idx="31" formatCode="General">
                  <c:v>0.23860200000000001</c:v>
                </c:pt>
                <c:pt idx="32" formatCode="General">
                  <c:v>0.237566</c:v>
                </c:pt>
                <c:pt idx="33" formatCode="General">
                  <c:v>0.25715399999999999</c:v>
                </c:pt>
                <c:pt idx="34" formatCode="General">
                  <c:v>0.247615</c:v>
                </c:pt>
                <c:pt idx="35" formatCode="General">
                  <c:v>0.21817900000000001</c:v>
                </c:pt>
                <c:pt idx="36" formatCode="General">
                  <c:v>0.20949400000000001</c:v>
                </c:pt>
                <c:pt idx="37" formatCode="General">
                  <c:v>0.19895499999999999</c:v>
                </c:pt>
                <c:pt idx="38" formatCode="General">
                  <c:v>0.201429</c:v>
                </c:pt>
                <c:pt idx="39" formatCode="General">
                  <c:v>0.213645</c:v>
                </c:pt>
                <c:pt idx="40" formatCode="General">
                  <c:v>0.21790000000000001</c:v>
                </c:pt>
              </c:numCache>
            </c:numRef>
          </c:yVal>
          <c:smooth val="0"/>
          <c:extLst>
            <c:ext xmlns:c16="http://schemas.microsoft.com/office/drawing/2014/chart" uri="{C3380CC4-5D6E-409C-BE32-E72D297353CC}">
              <c16:uniqueId val="{00000001-36F5-41B0-A72C-BCE7F0A027BB}"/>
            </c:ext>
          </c:extLst>
        </c:ser>
        <c:ser>
          <c:idx val="2"/>
          <c:order val="2"/>
          <c:tx>
            <c:strRef>
              <c:f>'Demand by Case'!$B$24</c:f>
              <c:strCache>
                <c:ptCount val="1"/>
                <c:pt idx="0">
                  <c:v>Middle Atlantic</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Case'!$C$24:$AQ$24</c:f>
              <c:numCache>
                <c:formatCode>0.000</c:formatCode>
                <c:ptCount val="41"/>
                <c:pt idx="0">
                  <c:v>0.89</c:v>
                </c:pt>
                <c:pt idx="1">
                  <c:v>0.96499999999999997</c:v>
                </c:pt>
                <c:pt idx="2">
                  <c:v>1.15412</c:v>
                </c:pt>
                <c:pt idx="3">
                  <c:v>1.0663400000000001</c:v>
                </c:pt>
                <c:pt idx="4" formatCode="General">
                  <c:v>1.13148</c:v>
                </c:pt>
                <c:pt idx="5" formatCode="General">
                  <c:v>1.23645</c:v>
                </c:pt>
                <c:pt idx="6" formatCode="General">
                  <c:v>1.3445</c:v>
                </c:pt>
                <c:pt idx="7" formatCode="General">
                  <c:v>1.1961599999999999</c:v>
                </c:pt>
                <c:pt idx="8" formatCode="General">
                  <c:v>1.3000640000000001</c:v>
                </c:pt>
                <c:pt idx="9" formatCode="General">
                  <c:v>1.451554</c:v>
                </c:pt>
                <c:pt idx="10" formatCode="General">
                  <c:v>1.684218</c:v>
                </c:pt>
                <c:pt idx="11" formatCode="General">
                  <c:v>1.654776</c:v>
                </c:pt>
                <c:pt idx="12" formatCode="General">
                  <c:v>1.9982930000000001</c:v>
                </c:pt>
                <c:pt idx="13" formatCode="General">
                  <c:v>1.7832500184</c:v>
                </c:pt>
                <c:pt idx="14" formatCode="General">
                  <c:v>1.9547330000000001</c:v>
                </c:pt>
                <c:pt idx="15" formatCode="General">
                  <c:v>1.7208349999999999</c:v>
                </c:pt>
                <c:pt idx="16" formatCode="General">
                  <c:v>1.4908300000000001</c:v>
                </c:pt>
                <c:pt idx="17" formatCode="General">
                  <c:v>1.4678</c:v>
                </c:pt>
                <c:pt idx="18" formatCode="General">
                  <c:v>1.3853260000000001</c:v>
                </c:pt>
                <c:pt idx="19" formatCode="General">
                  <c:v>1.4121079999999999</c:v>
                </c:pt>
                <c:pt idx="20" formatCode="General">
                  <c:v>1.373499</c:v>
                </c:pt>
                <c:pt idx="21" formatCode="General">
                  <c:v>1.197684</c:v>
                </c:pt>
                <c:pt idx="22" formatCode="General">
                  <c:v>1.1321019999999999</c:v>
                </c:pt>
                <c:pt idx="23" formatCode="General">
                  <c:v>1.060135</c:v>
                </c:pt>
                <c:pt idx="24" formatCode="General">
                  <c:v>0.92996100000000004</c:v>
                </c:pt>
                <c:pt idx="25" formatCode="General">
                  <c:v>0.89326000000000005</c:v>
                </c:pt>
                <c:pt idx="26" formatCode="General">
                  <c:v>0.78853399999999996</c:v>
                </c:pt>
                <c:pt idx="27" formatCode="General">
                  <c:v>0.58671399999999996</c:v>
                </c:pt>
                <c:pt idx="28" formatCode="General">
                  <c:v>0.522783</c:v>
                </c:pt>
                <c:pt idx="29" formatCode="General">
                  <c:v>0.54962999999999995</c:v>
                </c:pt>
                <c:pt idx="30" formatCode="General">
                  <c:v>0.52787899999999999</c:v>
                </c:pt>
                <c:pt idx="31" formatCode="General">
                  <c:v>0.48866100000000001</c:v>
                </c:pt>
                <c:pt idx="32" formatCode="General">
                  <c:v>0.46338499999999999</c:v>
                </c:pt>
                <c:pt idx="33" formatCode="General">
                  <c:v>0.473387</c:v>
                </c:pt>
                <c:pt idx="34" formatCode="General">
                  <c:v>0.47438900000000001</c:v>
                </c:pt>
                <c:pt idx="35" formatCode="General">
                  <c:v>0.44475900000000002</c:v>
                </c:pt>
                <c:pt idx="36" formatCode="General">
                  <c:v>0.45091199999999998</c:v>
                </c:pt>
                <c:pt idx="37" formatCode="General">
                  <c:v>0.45028499999999999</c:v>
                </c:pt>
                <c:pt idx="38" formatCode="General">
                  <c:v>0.47370899999999999</c:v>
                </c:pt>
                <c:pt idx="39" formatCode="General">
                  <c:v>0.480987</c:v>
                </c:pt>
                <c:pt idx="40" formatCode="General">
                  <c:v>0.47220499999999999</c:v>
                </c:pt>
              </c:numCache>
            </c:numRef>
          </c:yVal>
          <c:smooth val="0"/>
          <c:extLst>
            <c:ext xmlns:c16="http://schemas.microsoft.com/office/drawing/2014/chart" uri="{C3380CC4-5D6E-409C-BE32-E72D297353CC}">
              <c16:uniqueId val="{00000002-36F5-41B0-A72C-BCE7F0A027BB}"/>
            </c:ext>
          </c:extLst>
        </c:ser>
        <c:ser>
          <c:idx val="3"/>
          <c:order val="3"/>
          <c:tx>
            <c:strRef>
              <c:f>'Demand by Case'!$B$25</c:f>
              <c:strCache>
                <c:ptCount val="1"/>
                <c:pt idx="0">
                  <c:v>Mountain</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Case'!$C$25:$AQ$25</c:f>
              <c:numCache>
                <c:formatCode>0.000</c:formatCode>
                <c:ptCount val="41"/>
                <c:pt idx="0">
                  <c:v>0.64100000000000001</c:v>
                </c:pt>
                <c:pt idx="1">
                  <c:v>0.56699999999999995</c:v>
                </c:pt>
                <c:pt idx="2">
                  <c:v>0.66283000000000003</c:v>
                </c:pt>
                <c:pt idx="3">
                  <c:v>0.65071999999999997</c:v>
                </c:pt>
                <c:pt idx="4" formatCode="General">
                  <c:v>0.64890999999999999</c:v>
                </c:pt>
                <c:pt idx="5" formatCode="General">
                  <c:v>0.75092000000000003</c:v>
                </c:pt>
                <c:pt idx="6" formatCode="General">
                  <c:v>0.76576</c:v>
                </c:pt>
                <c:pt idx="7" formatCode="General">
                  <c:v>0.69033</c:v>
                </c:pt>
                <c:pt idx="8" formatCode="General">
                  <c:v>0.76025900000000002</c:v>
                </c:pt>
                <c:pt idx="9" formatCode="General">
                  <c:v>0.98821499999999995</c:v>
                </c:pt>
                <c:pt idx="10" formatCode="General">
                  <c:v>0.95476099999999997</c:v>
                </c:pt>
                <c:pt idx="11" formatCode="General">
                  <c:v>0.94724699999999995</c:v>
                </c:pt>
                <c:pt idx="12" formatCode="General">
                  <c:v>0.94774400000000003</c:v>
                </c:pt>
                <c:pt idx="13" formatCode="General">
                  <c:v>1.0109009467999999</c:v>
                </c:pt>
                <c:pt idx="14" formatCode="General">
                  <c:v>1.2021329999999999</c:v>
                </c:pt>
                <c:pt idx="15" formatCode="General">
                  <c:v>1.0723849999999999</c:v>
                </c:pt>
                <c:pt idx="16" formatCode="General">
                  <c:v>0.82944200000000001</c:v>
                </c:pt>
                <c:pt idx="17" formatCode="General">
                  <c:v>0.80935199999999996</c:v>
                </c:pt>
                <c:pt idx="18" formatCode="General">
                  <c:v>0.78382799999999997</c:v>
                </c:pt>
                <c:pt idx="19" formatCode="General">
                  <c:v>0.77665799999999996</c:v>
                </c:pt>
                <c:pt idx="20" formatCode="General">
                  <c:v>0.770984</c:v>
                </c:pt>
                <c:pt idx="21" formatCode="General">
                  <c:v>0.69245800000000002</c:v>
                </c:pt>
                <c:pt idx="22" formatCode="General">
                  <c:v>0.84712299999999996</c:v>
                </c:pt>
                <c:pt idx="23" formatCode="General">
                  <c:v>0.82023000000000001</c:v>
                </c:pt>
                <c:pt idx="24" formatCode="General">
                  <c:v>0.75990800000000003</c:v>
                </c:pt>
                <c:pt idx="25" formatCode="General">
                  <c:v>0.72216999999999998</c:v>
                </c:pt>
                <c:pt idx="26" formatCode="General">
                  <c:v>0.65371999999999997</c:v>
                </c:pt>
                <c:pt idx="27" formatCode="General">
                  <c:v>0.62650300000000003</c:v>
                </c:pt>
                <c:pt idx="28" formatCode="General">
                  <c:v>0.52724000000000004</c:v>
                </c:pt>
                <c:pt idx="29" formatCode="General">
                  <c:v>0.54579</c:v>
                </c:pt>
                <c:pt idx="30" formatCode="General">
                  <c:v>0.50921099999999997</c:v>
                </c:pt>
                <c:pt idx="31" formatCode="General">
                  <c:v>0.43811499999999998</c:v>
                </c:pt>
                <c:pt idx="32" formatCode="General">
                  <c:v>0.39516200000000001</c:v>
                </c:pt>
                <c:pt idx="33" formatCode="General">
                  <c:v>0.38309399999999999</c:v>
                </c:pt>
                <c:pt idx="34" formatCode="General">
                  <c:v>0.39563300000000001</c:v>
                </c:pt>
                <c:pt idx="35" formatCode="General">
                  <c:v>0.40751900000000002</c:v>
                </c:pt>
                <c:pt idx="36" formatCode="General">
                  <c:v>0.36472700000000002</c:v>
                </c:pt>
                <c:pt idx="37" formatCode="General">
                  <c:v>0.38342199999999999</c:v>
                </c:pt>
                <c:pt idx="38" formatCode="General">
                  <c:v>0.41658699999999999</c:v>
                </c:pt>
                <c:pt idx="39" formatCode="General">
                  <c:v>0.45398699999999997</c:v>
                </c:pt>
                <c:pt idx="40" formatCode="General">
                  <c:v>0.48647000000000001</c:v>
                </c:pt>
              </c:numCache>
            </c:numRef>
          </c:yVal>
          <c:smooth val="0"/>
          <c:extLst>
            <c:ext xmlns:c16="http://schemas.microsoft.com/office/drawing/2014/chart" uri="{C3380CC4-5D6E-409C-BE32-E72D297353CC}">
              <c16:uniqueId val="{00000003-36F5-41B0-A72C-BCE7F0A027BB}"/>
            </c:ext>
          </c:extLst>
        </c:ser>
        <c:ser>
          <c:idx val="4"/>
          <c:order val="4"/>
          <c:tx>
            <c:strRef>
              <c:f>'Demand by Case'!$B$26</c:f>
              <c:strCache>
                <c:ptCount val="1"/>
                <c:pt idx="0">
                  <c:v>New England</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Case'!$C$26:$AQ$26</c:f>
              <c:numCache>
                <c:formatCode>0.000</c:formatCode>
                <c:ptCount val="41"/>
                <c:pt idx="0">
                  <c:v>0.42</c:v>
                </c:pt>
                <c:pt idx="1">
                  <c:v>0.45600000000000002</c:v>
                </c:pt>
                <c:pt idx="2">
                  <c:v>0.44768000000000002</c:v>
                </c:pt>
                <c:pt idx="3">
                  <c:v>0.37154999999999999</c:v>
                </c:pt>
                <c:pt idx="4" formatCode="General">
                  <c:v>0.34175</c:v>
                </c:pt>
                <c:pt idx="5" formatCode="General">
                  <c:v>0.39761000000000002</c:v>
                </c:pt>
                <c:pt idx="6" formatCode="General">
                  <c:v>0.39317999999999997</c:v>
                </c:pt>
                <c:pt idx="7" formatCode="General">
                  <c:v>0.37141000000000002</c:v>
                </c:pt>
                <c:pt idx="8" formatCode="General">
                  <c:v>0.40040700000000001</c:v>
                </c:pt>
                <c:pt idx="9" formatCode="General">
                  <c:v>0.33865099999999998</c:v>
                </c:pt>
                <c:pt idx="10" formatCode="General">
                  <c:v>0.36085299999999998</c:v>
                </c:pt>
                <c:pt idx="11" formatCode="General">
                  <c:v>0.34459200000000001</c:v>
                </c:pt>
                <c:pt idx="12" formatCode="General">
                  <c:v>0.36677300000000002</c:v>
                </c:pt>
                <c:pt idx="13" formatCode="General">
                  <c:v>0.38207115639999994</c:v>
                </c:pt>
                <c:pt idx="14" formatCode="General">
                  <c:v>0.45200099999999999</c:v>
                </c:pt>
                <c:pt idx="15" formatCode="General">
                  <c:v>0.40025300000000003</c:v>
                </c:pt>
                <c:pt idx="16" formatCode="General">
                  <c:v>0.25143399999999999</c:v>
                </c:pt>
                <c:pt idx="17" formatCode="General">
                  <c:v>0.21185799999999999</c:v>
                </c:pt>
                <c:pt idx="18" formatCode="General">
                  <c:v>0.19439799999999999</c:v>
                </c:pt>
                <c:pt idx="19" formatCode="General">
                  <c:v>0.192247</c:v>
                </c:pt>
                <c:pt idx="20" formatCode="General">
                  <c:v>0.17455899999999999</c:v>
                </c:pt>
                <c:pt idx="21" formatCode="General">
                  <c:v>0.15796199999999999</c:v>
                </c:pt>
                <c:pt idx="22" formatCode="General">
                  <c:v>0.176228</c:v>
                </c:pt>
                <c:pt idx="23" formatCode="General">
                  <c:v>0.16623499999999999</c:v>
                </c:pt>
                <c:pt idx="24" formatCode="General">
                  <c:v>0.16139999999999999</c:v>
                </c:pt>
                <c:pt idx="25" formatCode="General">
                  <c:v>0.16550500000000001</c:v>
                </c:pt>
                <c:pt idx="26" formatCode="General">
                  <c:v>0.162913</c:v>
                </c:pt>
                <c:pt idx="27" formatCode="General">
                  <c:v>0.13753799999999999</c:v>
                </c:pt>
                <c:pt idx="28" formatCode="General">
                  <c:v>0.132298</c:v>
                </c:pt>
                <c:pt idx="29" formatCode="General">
                  <c:v>0.134267</c:v>
                </c:pt>
                <c:pt idx="30" formatCode="General">
                  <c:v>0.13671700000000001</c:v>
                </c:pt>
                <c:pt idx="31" formatCode="General">
                  <c:v>0.13792299999999999</c:v>
                </c:pt>
                <c:pt idx="32" formatCode="General">
                  <c:v>0.13546</c:v>
                </c:pt>
                <c:pt idx="33" formatCode="General">
                  <c:v>0.13872300000000001</c:v>
                </c:pt>
                <c:pt idx="34" formatCode="General">
                  <c:v>0.10313</c:v>
                </c:pt>
                <c:pt idx="35" formatCode="General">
                  <c:v>8.7387000000000006E-2</c:v>
                </c:pt>
                <c:pt idx="36" formatCode="General">
                  <c:v>9.2547000000000004E-2</c:v>
                </c:pt>
                <c:pt idx="37" formatCode="General">
                  <c:v>9.2992000000000005E-2</c:v>
                </c:pt>
                <c:pt idx="38" formatCode="General">
                  <c:v>9.3810000000000004E-2</c:v>
                </c:pt>
                <c:pt idx="39" formatCode="General">
                  <c:v>9.5297000000000007E-2</c:v>
                </c:pt>
                <c:pt idx="40" formatCode="General">
                  <c:v>9.6417000000000003E-2</c:v>
                </c:pt>
              </c:numCache>
            </c:numRef>
          </c:yVal>
          <c:smooth val="0"/>
          <c:extLst>
            <c:ext xmlns:c16="http://schemas.microsoft.com/office/drawing/2014/chart" uri="{C3380CC4-5D6E-409C-BE32-E72D297353CC}">
              <c16:uniqueId val="{00000004-36F5-41B0-A72C-BCE7F0A027BB}"/>
            </c:ext>
          </c:extLst>
        </c:ser>
        <c:ser>
          <c:idx val="5"/>
          <c:order val="5"/>
          <c:tx>
            <c:strRef>
              <c:f>'Demand by Case'!$B$27</c:f>
              <c:strCache>
                <c:ptCount val="1"/>
                <c:pt idx="0">
                  <c:v>Pacific</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Case'!$C$27:$AQ$27</c:f>
              <c:numCache>
                <c:formatCode>0.000</c:formatCode>
                <c:ptCount val="41"/>
                <c:pt idx="0">
                  <c:v>0.98899999999999999</c:v>
                </c:pt>
                <c:pt idx="1">
                  <c:v>0.76600000000000001</c:v>
                </c:pt>
                <c:pt idx="2">
                  <c:v>1.0445500000000001</c:v>
                </c:pt>
                <c:pt idx="3">
                  <c:v>1.06898</c:v>
                </c:pt>
                <c:pt idx="4" formatCode="General">
                  <c:v>1.0737300000000001</c:v>
                </c:pt>
                <c:pt idx="5" formatCode="General">
                  <c:v>1.08443</c:v>
                </c:pt>
                <c:pt idx="6" formatCode="General">
                  <c:v>0.91791</c:v>
                </c:pt>
                <c:pt idx="7" formatCode="General">
                  <c:v>0.84089999999999998</c:v>
                </c:pt>
                <c:pt idx="8" formatCode="General">
                  <c:v>0.87173500000000004</c:v>
                </c:pt>
                <c:pt idx="9" formatCode="General">
                  <c:v>0.83400300000000005</c:v>
                </c:pt>
                <c:pt idx="10" formatCode="General">
                  <c:v>0.84768100000000002</c:v>
                </c:pt>
                <c:pt idx="11" formatCode="General">
                  <c:v>0.88703399999999999</c:v>
                </c:pt>
                <c:pt idx="12" formatCode="General">
                  <c:v>0.85017500000000001</c:v>
                </c:pt>
                <c:pt idx="13" formatCode="General">
                  <c:v>0.89752464279999999</c:v>
                </c:pt>
                <c:pt idx="14" formatCode="General">
                  <c:v>1.018694</c:v>
                </c:pt>
                <c:pt idx="15" formatCode="General">
                  <c:v>0.78655299999999995</c:v>
                </c:pt>
                <c:pt idx="16" formatCode="General">
                  <c:v>0.68776499999999996</c:v>
                </c:pt>
                <c:pt idx="17" formatCode="General">
                  <c:v>0.66492200000000001</c:v>
                </c:pt>
                <c:pt idx="18" formatCode="General">
                  <c:v>0.70440899999999995</c:v>
                </c:pt>
                <c:pt idx="19" formatCode="General">
                  <c:v>0.74171600000000004</c:v>
                </c:pt>
                <c:pt idx="20" formatCode="General">
                  <c:v>0.77234800000000003</c:v>
                </c:pt>
                <c:pt idx="21" formatCode="General">
                  <c:v>0.789767</c:v>
                </c:pt>
                <c:pt idx="22" formatCode="General">
                  <c:v>0.81521600000000005</c:v>
                </c:pt>
                <c:pt idx="23" formatCode="General">
                  <c:v>0.79763099999999998</c:v>
                </c:pt>
                <c:pt idx="24" formatCode="General">
                  <c:v>0.75609599999999999</c:v>
                </c:pt>
                <c:pt idx="25" formatCode="General">
                  <c:v>0.68895700000000004</c:v>
                </c:pt>
                <c:pt idx="26" formatCode="General">
                  <c:v>0.63269200000000003</c:v>
                </c:pt>
                <c:pt idx="27" formatCode="General">
                  <c:v>0.55487900000000001</c:v>
                </c:pt>
                <c:pt idx="28" formatCode="General">
                  <c:v>0.49409199999999998</c:v>
                </c:pt>
                <c:pt idx="29" formatCode="General">
                  <c:v>0.45425700000000002</c:v>
                </c:pt>
                <c:pt idx="30" formatCode="General">
                  <c:v>0.46717399999999998</c:v>
                </c:pt>
                <c:pt idx="31" formatCode="General">
                  <c:v>0.44918799999999998</c:v>
                </c:pt>
                <c:pt idx="32" formatCode="General">
                  <c:v>0.43763800000000003</c:v>
                </c:pt>
                <c:pt idx="33" formatCode="General">
                  <c:v>0.435116</c:v>
                </c:pt>
                <c:pt idx="34" formatCode="General">
                  <c:v>0.44263599999999997</c:v>
                </c:pt>
                <c:pt idx="35" formatCode="General">
                  <c:v>0.440998</c:v>
                </c:pt>
                <c:pt idx="36" formatCode="General">
                  <c:v>0.44123899999999999</c:v>
                </c:pt>
                <c:pt idx="37" formatCode="General">
                  <c:v>0.44654300000000002</c:v>
                </c:pt>
                <c:pt idx="38" formatCode="General">
                  <c:v>0.46514100000000003</c:v>
                </c:pt>
                <c:pt idx="39" formatCode="General">
                  <c:v>0.473856</c:v>
                </c:pt>
                <c:pt idx="40" formatCode="General">
                  <c:v>0.48840800000000001</c:v>
                </c:pt>
              </c:numCache>
            </c:numRef>
          </c:yVal>
          <c:smooth val="0"/>
          <c:extLst>
            <c:ext xmlns:c16="http://schemas.microsoft.com/office/drawing/2014/chart" uri="{C3380CC4-5D6E-409C-BE32-E72D297353CC}">
              <c16:uniqueId val="{00000005-36F5-41B0-A72C-BCE7F0A027BB}"/>
            </c:ext>
          </c:extLst>
        </c:ser>
        <c:ser>
          <c:idx val="6"/>
          <c:order val="6"/>
          <c:tx>
            <c:strRef>
              <c:f>'Demand by Case'!$B$28</c:f>
              <c:strCache>
                <c:ptCount val="1"/>
                <c:pt idx="0">
                  <c:v>South Atlantic</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Case'!$C$28:$AQ$28</c:f>
              <c:numCache>
                <c:formatCode>0.000</c:formatCode>
                <c:ptCount val="41"/>
                <c:pt idx="0">
                  <c:v>1.544</c:v>
                </c:pt>
                <c:pt idx="1">
                  <c:v>1.671</c:v>
                </c:pt>
                <c:pt idx="2">
                  <c:v>2.0428500000000001</c:v>
                </c:pt>
                <c:pt idx="3">
                  <c:v>1.8827100000000001</c:v>
                </c:pt>
                <c:pt idx="4" formatCode="General">
                  <c:v>1.89625</c:v>
                </c:pt>
                <c:pt idx="5" formatCode="General">
                  <c:v>2.3300999999999998</c:v>
                </c:pt>
                <c:pt idx="6" formatCode="General">
                  <c:v>2.46983</c:v>
                </c:pt>
                <c:pt idx="7" formatCode="General">
                  <c:v>2.4758900000000001</c:v>
                </c:pt>
                <c:pt idx="8" formatCode="General">
                  <c:v>2.5355310000000002</c:v>
                </c:pt>
                <c:pt idx="9" formatCode="General">
                  <c:v>2.7902589999999998</c:v>
                </c:pt>
                <c:pt idx="10" formatCode="General">
                  <c:v>2.7680370000000001</c:v>
                </c:pt>
                <c:pt idx="11" formatCode="General">
                  <c:v>2.4687269999999999</c:v>
                </c:pt>
                <c:pt idx="12" formatCode="General">
                  <c:v>2.6053380000000002</c:v>
                </c:pt>
                <c:pt idx="13" formatCode="General">
                  <c:v>2.9307975756000002</c:v>
                </c:pt>
                <c:pt idx="14" formatCode="General">
                  <c:v>2.7746919999999999</c:v>
                </c:pt>
                <c:pt idx="15" formatCode="General">
                  <c:v>2.7280329999999999</c:v>
                </c:pt>
                <c:pt idx="16" formatCode="General">
                  <c:v>2.3045249999999999</c:v>
                </c:pt>
                <c:pt idx="17" formatCode="General">
                  <c:v>2.2495449999999999</c:v>
                </c:pt>
                <c:pt idx="18" formatCode="General">
                  <c:v>2.0341960000000001</c:v>
                </c:pt>
                <c:pt idx="19" formatCode="General">
                  <c:v>1.8464100000000001</c:v>
                </c:pt>
                <c:pt idx="20" formatCode="General">
                  <c:v>1.719123</c:v>
                </c:pt>
                <c:pt idx="21" formatCode="General">
                  <c:v>1.4518789999999999</c:v>
                </c:pt>
                <c:pt idx="22" formatCode="General">
                  <c:v>1.5853360000000001</c:v>
                </c:pt>
                <c:pt idx="23" formatCode="General">
                  <c:v>1.433254</c:v>
                </c:pt>
                <c:pt idx="24" formatCode="General">
                  <c:v>1.357102</c:v>
                </c:pt>
                <c:pt idx="25" formatCode="General">
                  <c:v>1.3580989999999999</c:v>
                </c:pt>
                <c:pt idx="26" formatCode="General">
                  <c:v>1.2443500000000001</c:v>
                </c:pt>
                <c:pt idx="27" formatCode="General">
                  <c:v>1.119637</c:v>
                </c:pt>
                <c:pt idx="28" formatCode="General">
                  <c:v>1.0645640000000001</c:v>
                </c:pt>
                <c:pt idx="29" formatCode="General">
                  <c:v>0.99374399999999996</c:v>
                </c:pt>
                <c:pt idx="30" formatCode="General">
                  <c:v>0.97467899999999996</c:v>
                </c:pt>
                <c:pt idx="31" formatCode="General">
                  <c:v>0.97514500000000004</c:v>
                </c:pt>
                <c:pt idx="32" formatCode="General">
                  <c:v>0.97449200000000002</c:v>
                </c:pt>
                <c:pt idx="33" formatCode="General">
                  <c:v>0.92529600000000001</c:v>
                </c:pt>
                <c:pt idx="34" formatCode="General">
                  <c:v>0.87176699999999996</c:v>
                </c:pt>
                <c:pt idx="35" formatCode="General">
                  <c:v>0.77989200000000003</c:v>
                </c:pt>
                <c:pt idx="36" formatCode="General">
                  <c:v>0.73018799999999995</c:v>
                </c:pt>
                <c:pt idx="37" formatCode="General">
                  <c:v>0.69349300000000003</c:v>
                </c:pt>
                <c:pt idx="38" formatCode="General">
                  <c:v>0.71479000000000004</c:v>
                </c:pt>
                <c:pt idx="39" formatCode="General">
                  <c:v>0.70042199999999999</c:v>
                </c:pt>
                <c:pt idx="40" formatCode="General">
                  <c:v>0.69838599999999995</c:v>
                </c:pt>
              </c:numCache>
            </c:numRef>
          </c:yVal>
          <c:smooth val="0"/>
          <c:extLst>
            <c:ext xmlns:c16="http://schemas.microsoft.com/office/drawing/2014/chart" uri="{C3380CC4-5D6E-409C-BE32-E72D297353CC}">
              <c16:uniqueId val="{00000006-36F5-41B0-A72C-BCE7F0A027BB}"/>
            </c:ext>
          </c:extLst>
        </c:ser>
        <c:ser>
          <c:idx val="7"/>
          <c:order val="7"/>
          <c:tx>
            <c:strRef>
              <c:f>'Demand by Case'!$B$29</c:f>
              <c:strCache>
                <c:ptCount val="1"/>
                <c:pt idx="0">
                  <c:v>West North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Case'!$C$29:$AQ$29</c:f>
              <c:numCache>
                <c:formatCode>0.000</c:formatCode>
                <c:ptCount val="41"/>
                <c:pt idx="0">
                  <c:v>0.124</c:v>
                </c:pt>
                <c:pt idx="1">
                  <c:v>0.11700000000000001</c:v>
                </c:pt>
                <c:pt idx="2">
                  <c:v>0.17066000000000001</c:v>
                </c:pt>
                <c:pt idx="3">
                  <c:v>0.13982</c:v>
                </c:pt>
                <c:pt idx="4" formatCode="General">
                  <c:v>0.10807</c:v>
                </c:pt>
                <c:pt idx="5" formatCode="General">
                  <c:v>0.14716000000000001</c:v>
                </c:pt>
                <c:pt idx="6" formatCode="General">
                  <c:v>0.19192000000000001</c:v>
                </c:pt>
                <c:pt idx="7" formatCode="General">
                  <c:v>0.17219000000000001</c:v>
                </c:pt>
                <c:pt idx="8" formatCode="General">
                  <c:v>0.189613</c:v>
                </c:pt>
                <c:pt idx="9" formatCode="General">
                  <c:v>0.22831399999999999</c:v>
                </c:pt>
                <c:pt idx="10" formatCode="General">
                  <c:v>0.247312</c:v>
                </c:pt>
                <c:pt idx="11" formatCode="General">
                  <c:v>0.19505600000000001</c:v>
                </c:pt>
                <c:pt idx="12" formatCode="General">
                  <c:v>0.25750699999999999</c:v>
                </c:pt>
                <c:pt idx="13" formatCode="General">
                  <c:v>0.26185394559999997</c:v>
                </c:pt>
                <c:pt idx="14" formatCode="General">
                  <c:v>0.33001000000000003</c:v>
                </c:pt>
                <c:pt idx="15" formatCode="General">
                  <c:v>0.311531</c:v>
                </c:pt>
                <c:pt idx="16" formatCode="General">
                  <c:v>0.199013</c:v>
                </c:pt>
                <c:pt idx="17" formatCode="General">
                  <c:v>0.23838400000000001</c:v>
                </c:pt>
                <c:pt idx="18" formatCode="General">
                  <c:v>0.24606700000000001</c:v>
                </c:pt>
                <c:pt idx="19" formatCode="General">
                  <c:v>0.27598</c:v>
                </c:pt>
                <c:pt idx="20" formatCode="General">
                  <c:v>0.43711100000000003</c:v>
                </c:pt>
                <c:pt idx="21" formatCode="General">
                  <c:v>0.35888799999999998</c:v>
                </c:pt>
                <c:pt idx="22" formatCode="General">
                  <c:v>0.45103100000000002</c:v>
                </c:pt>
                <c:pt idx="23" formatCode="General">
                  <c:v>0.36838100000000001</c:v>
                </c:pt>
                <c:pt idx="24" formatCode="General">
                  <c:v>0.30826599999999998</c:v>
                </c:pt>
                <c:pt idx="25" formatCode="General">
                  <c:v>0.27542800000000001</c:v>
                </c:pt>
                <c:pt idx="26" formatCode="General">
                  <c:v>0.26153999999999999</c:v>
                </c:pt>
                <c:pt idx="27" formatCode="General">
                  <c:v>0.27124300000000001</c:v>
                </c:pt>
                <c:pt idx="28" formatCode="General">
                  <c:v>0.25408999999999998</c:v>
                </c:pt>
                <c:pt idx="29" formatCode="General">
                  <c:v>0.266654</c:v>
                </c:pt>
                <c:pt idx="30" formatCode="General">
                  <c:v>0.27107900000000001</c:v>
                </c:pt>
                <c:pt idx="31" formatCode="General">
                  <c:v>0.224717</c:v>
                </c:pt>
                <c:pt idx="32" formatCode="General">
                  <c:v>0.20615</c:v>
                </c:pt>
                <c:pt idx="33" formatCode="General">
                  <c:v>0.213672</c:v>
                </c:pt>
                <c:pt idx="34" formatCode="General">
                  <c:v>0.23618400000000001</c:v>
                </c:pt>
                <c:pt idx="35" formatCode="General">
                  <c:v>0.234486</c:v>
                </c:pt>
                <c:pt idx="36" formatCode="General">
                  <c:v>0.23739299999999999</c:v>
                </c:pt>
                <c:pt idx="37" formatCode="General">
                  <c:v>0.26339899999999999</c:v>
                </c:pt>
                <c:pt idx="38" formatCode="General">
                  <c:v>0.26542300000000002</c:v>
                </c:pt>
                <c:pt idx="39" formatCode="General">
                  <c:v>0.27048699999999998</c:v>
                </c:pt>
                <c:pt idx="40" formatCode="General">
                  <c:v>0.27868599999999999</c:v>
                </c:pt>
              </c:numCache>
            </c:numRef>
          </c:yVal>
          <c:smooth val="0"/>
          <c:extLst>
            <c:ext xmlns:c16="http://schemas.microsoft.com/office/drawing/2014/chart" uri="{C3380CC4-5D6E-409C-BE32-E72D297353CC}">
              <c16:uniqueId val="{00000007-36F5-41B0-A72C-BCE7F0A027BB}"/>
            </c:ext>
          </c:extLst>
        </c:ser>
        <c:ser>
          <c:idx val="8"/>
          <c:order val="8"/>
          <c:tx>
            <c:strRef>
              <c:f>'Demand by Case'!$B$30</c:f>
              <c:strCache>
                <c:ptCount val="1"/>
                <c:pt idx="0">
                  <c:v>West South Central</c:v>
                </c:pt>
              </c:strCache>
            </c:strRef>
          </c:tx>
          <c:xVal>
            <c:numRef>
              <c:f>'Demand by Case'!$C$1:$AQ$1</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xVal>
          <c:yVal>
            <c:numRef>
              <c:f>'Demand by Case'!$C$30:$AQ$30</c:f>
              <c:numCache>
                <c:formatCode>0.000</c:formatCode>
                <c:ptCount val="41"/>
                <c:pt idx="0">
                  <c:v>2.0489999999999999</c:v>
                </c:pt>
                <c:pt idx="1">
                  <c:v>2.1880000000000002</c:v>
                </c:pt>
                <c:pt idx="2">
                  <c:v>2.33724</c:v>
                </c:pt>
                <c:pt idx="3">
                  <c:v>2.0754600000000001</c:v>
                </c:pt>
                <c:pt idx="4" formatCode="General">
                  <c:v>2.0256699999999999</c:v>
                </c:pt>
                <c:pt idx="5" formatCode="General">
                  <c:v>2.43411</c:v>
                </c:pt>
                <c:pt idx="6" formatCode="General">
                  <c:v>2.3518400000000002</c:v>
                </c:pt>
                <c:pt idx="7" formatCode="General">
                  <c:v>2.0631699999999999</c:v>
                </c:pt>
                <c:pt idx="8" formatCode="General">
                  <c:v>2.6613069999999999</c:v>
                </c:pt>
                <c:pt idx="9" formatCode="General">
                  <c:v>2.928261</c:v>
                </c:pt>
                <c:pt idx="10" formatCode="General">
                  <c:v>2.940385</c:v>
                </c:pt>
                <c:pt idx="11" formatCode="General">
                  <c:v>2.73224</c:v>
                </c:pt>
                <c:pt idx="12" formatCode="General">
                  <c:v>2.7970090000000001</c:v>
                </c:pt>
                <c:pt idx="13" formatCode="General">
                  <c:v>3.1132796379999998</c:v>
                </c:pt>
                <c:pt idx="14" formatCode="General">
                  <c:v>3.2716400000000001</c:v>
                </c:pt>
                <c:pt idx="15" formatCode="General">
                  <c:v>3.1399949999999999</c:v>
                </c:pt>
                <c:pt idx="16" formatCode="General">
                  <c:v>2.0629219999999999</c:v>
                </c:pt>
                <c:pt idx="17" formatCode="General">
                  <c:v>2.1326999999999998</c:v>
                </c:pt>
                <c:pt idx="18" formatCode="General">
                  <c:v>1.9912129999999999</c:v>
                </c:pt>
                <c:pt idx="19" formatCode="General">
                  <c:v>1.8561380000000001</c:v>
                </c:pt>
                <c:pt idx="20" formatCode="General">
                  <c:v>1.8570329999999999</c:v>
                </c:pt>
                <c:pt idx="21" formatCode="General">
                  <c:v>1.640671</c:v>
                </c:pt>
                <c:pt idx="22" formatCode="General">
                  <c:v>1.7899560000000001</c:v>
                </c:pt>
                <c:pt idx="23" formatCode="General">
                  <c:v>1.5794969999999999</c:v>
                </c:pt>
                <c:pt idx="24" formatCode="General">
                  <c:v>1.513954</c:v>
                </c:pt>
                <c:pt idx="25" formatCode="General">
                  <c:v>1.327169</c:v>
                </c:pt>
                <c:pt idx="26" formatCode="General">
                  <c:v>1.2262029999999999</c:v>
                </c:pt>
                <c:pt idx="27" formatCode="General">
                  <c:v>1.1158330000000001</c:v>
                </c:pt>
                <c:pt idx="28" formatCode="General">
                  <c:v>1.0578149999999999</c:v>
                </c:pt>
                <c:pt idx="29" formatCode="General">
                  <c:v>1.0178510000000001</c:v>
                </c:pt>
                <c:pt idx="30" formatCode="General">
                  <c:v>1.0494250000000001</c:v>
                </c:pt>
                <c:pt idx="31" formatCode="General">
                  <c:v>0.99479600000000001</c:v>
                </c:pt>
                <c:pt idx="32" formatCode="General">
                  <c:v>0.978935</c:v>
                </c:pt>
                <c:pt idx="33" formatCode="General">
                  <c:v>0.99171900000000002</c:v>
                </c:pt>
                <c:pt idx="34" formatCode="General">
                  <c:v>1.0007189999999999</c:v>
                </c:pt>
                <c:pt idx="35" formatCode="General">
                  <c:v>1.004305</c:v>
                </c:pt>
                <c:pt idx="36" formatCode="General">
                  <c:v>0.99362300000000003</c:v>
                </c:pt>
                <c:pt idx="37" formatCode="General">
                  <c:v>1.0472999999999999</c:v>
                </c:pt>
                <c:pt idx="38" formatCode="General">
                  <c:v>1.086109</c:v>
                </c:pt>
                <c:pt idx="39" formatCode="General">
                  <c:v>1.0954790000000001</c:v>
                </c:pt>
                <c:pt idx="40" formatCode="General">
                  <c:v>1.125022</c:v>
                </c:pt>
              </c:numCache>
            </c:numRef>
          </c:yVal>
          <c:smooth val="0"/>
          <c:extLst>
            <c:ext xmlns:c16="http://schemas.microsoft.com/office/drawing/2014/chart" uri="{C3380CC4-5D6E-409C-BE32-E72D297353CC}">
              <c16:uniqueId val="{00000008-36F5-41B0-A72C-BCE7F0A027BB}"/>
            </c:ext>
          </c:extLst>
        </c:ser>
        <c:dLbls>
          <c:showLegendKey val="0"/>
          <c:showVal val="0"/>
          <c:showCatName val="0"/>
          <c:showSerName val="0"/>
          <c:showPercent val="0"/>
          <c:showBubbleSize val="0"/>
        </c:dLbls>
        <c:axId val="634670280"/>
        <c:axId val="634670672"/>
      </c:scatterChart>
      <c:valAx>
        <c:axId val="634670280"/>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634670672"/>
        <c:crosses val="autoZero"/>
        <c:crossBetween val="midCat"/>
      </c:valAx>
      <c:valAx>
        <c:axId val="634670672"/>
        <c:scaling>
          <c:orientation val="minMax"/>
          <c:max val="10"/>
        </c:scaling>
        <c:delete val="0"/>
        <c:axPos val="l"/>
        <c:title>
          <c:tx>
            <c:rich>
              <a:bodyPr rot="-5400000" vert="horz"/>
              <a:lstStyle/>
              <a:p>
                <a:pPr>
                  <a:defRPr/>
                </a:pPr>
                <a:r>
                  <a:rPr lang="en-US" baseline="0"/>
                  <a:t>NG Price (2013$/MMBtu)</a:t>
                </a:r>
                <a:endParaRPr lang="en-US"/>
              </a:p>
            </c:rich>
          </c:tx>
          <c:overlay val="0"/>
        </c:title>
        <c:numFmt formatCode="0.000" sourceLinked="1"/>
        <c:majorTickMark val="out"/>
        <c:minorTickMark val="none"/>
        <c:tickLblPos val="nextTo"/>
        <c:crossAx val="634670280"/>
        <c:crosses val="autoZero"/>
        <c:crossBetween val="midCat"/>
      </c:valAx>
      <c:spPr>
        <a:ln>
          <a:solidFill>
            <a:schemeClr val="tx1">
              <a:lumMod val="50000"/>
              <a:lumOff val="50000"/>
            </a:schemeClr>
          </a:solidFill>
        </a:ln>
      </c:spPr>
    </c:plotArea>
    <c:legend>
      <c:legendPos val="r"/>
      <c:layout>
        <c:manualLayout>
          <c:xMode val="edge"/>
          <c:yMode val="edge"/>
          <c:x val="0.17133292953765386"/>
          <c:y val="0.13909972092096085"/>
          <c:w val="0.11174399353926913"/>
          <c:h val="0.41228712689983521"/>
        </c:manualLayout>
      </c:layout>
      <c:overlay val="1"/>
      <c:spPr>
        <a:solidFill>
          <a:sysClr val="window" lastClr="FFFFFF">
            <a:lumMod val="100000"/>
          </a:sysClr>
        </a:solidFill>
        <a:ln w="9525" cap="flat" cmpd="sng" algn="ctr">
          <a:solidFill>
            <a:sysClr val="windowText" lastClr="000000">
              <a:lumMod val="50000"/>
              <a:lumOff val="50000"/>
            </a:sysClr>
          </a:solidFill>
          <a:prstDash val="solid"/>
          <a:round/>
          <a:headEnd type="none" w="med" len="med"/>
          <a:tailEnd type="none" w="med" len="med"/>
        </a:ln>
      </c:sp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Check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'NG Alphas'!$AU$4</c:f>
              <c:strCache>
                <c:ptCount val="1"/>
                <c:pt idx="0">
                  <c:v>AEO Price</c:v>
                </c:pt>
              </c:strCache>
            </c:strRef>
          </c:tx>
          <c:spPr>
            <a:ln w="28575" cap="rnd">
              <a:noFill/>
              <a:round/>
            </a:ln>
            <a:effectLst/>
          </c:spPr>
          <c:marker>
            <c:symbol val="circle"/>
            <c:size val="5"/>
            <c:spPr>
              <a:solidFill>
                <a:schemeClr val="accent1"/>
              </a:solidFill>
              <a:ln w="9525">
                <a:solidFill>
                  <a:schemeClr val="accent1"/>
                </a:solidFill>
              </a:ln>
              <a:effectLst/>
            </c:spPr>
          </c:marker>
          <c:xVal>
            <c:numRef>
              <c:f>'NG Alphas'!$AT$5:$AT$34</c:f>
              <c:numCache>
                <c:formatCode>0.00</c:formatCode>
                <c:ptCount val="30"/>
                <c:pt idx="0">
                  <c:v>3.6628890000000007</c:v>
                </c:pt>
                <c:pt idx="1">
                  <c:v>4.2991330000000012</c:v>
                </c:pt>
                <c:pt idx="2">
                  <c:v>3.2155029999999996</c:v>
                </c:pt>
                <c:pt idx="3">
                  <c:v>5.3064039999999997</c:v>
                </c:pt>
                <c:pt idx="4">
                  <c:v>3.872509</c:v>
                </c:pt>
                <c:pt idx="5">
                  <c:v>5.0555430000000001</c:v>
                </c:pt>
                <c:pt idx="6">
                  <c:v>4.8540460000000003</c:v>
                </c:pt>
                <c:pt idx="7">
                  <c:v>4.491251000000001</c:v>
                </c:pt>
                <c:pt idx="8">
                  <c:v>4.305593</c:v>
                </c:pt>
                <c:pt idx="9">
                  <c:v>4.3096769999999998</c:v>
                </c:pt>
                <c:pt idx="10">
                  <c:v>2.7657880000000001</c:v>
                </c:pt>
                <c:pt idx="11">
                  <c:v>3.2491560000000002</c:v>
                </c:pt>
                <c:pt idx="12">
                  <c:v>2.5420180000000001</c:v>
                </c:pt>
                <c:pt idx="13">
                  <c:v>4.2917139999999998</c:v>
                </c:pt>
                <c:pt idx="14">
                  <c:v>3.1723659999999998</c:v>
                </c:pt>
                <c:pt idx="15">
                  <c:v>4.3760579999999996</c:v>
                </c:pt>
                <c:pt idx="16">
                  <c:v>3.8260420000000006</c:v>
                </c:pt>
                <c:pt idx="17">
                  <c:v>3.599415</c:v>
                </c:pt>
                <c:pt idx="18">
                  <c:v>2.9543159999999999</c:v>
                </c:pt>
                <c:pt idx="19">
                  <c:v>3.3216079999999999</c:v>
                </c:pt>
                <c:pt idx="20">
                  <c:v>7.3823619999999996</c:v>
                </c:pt>
                <c:pt idx="21">
                  <c:v>8.0719259999999995</c:v>
                </c:pt>
                <c:pt idx="22">
                  <c:v>6.6783539999999997</c:v>
                </c:pt>
                <c:pt idx="23">
                  <c:v>9.0266760000000001</c:v>
                </c:pt>
                <c:pt idx="24">
                  <c:v>7.2187059999999992</c:v>
                </c:pt>
                <c:pt idx="25">
                  <c:v>8.6618899999999996</c:v>
                </c:pt>
                <c:pt idx="26">
                  <c:v>8.8365340000000003</c:v>
                </c:pt>
                <c:pt idx="27">
                  <c:v>7.8223190000000002</c:v>
                </c:pt>
                <c:pt idx="28">
                  <c:v>8.2321729999999995</c:v>
                </c:pt>
                <c:pt idx="29">
                  <c:v>8.1274029999999993</c:v>
                </c:pt>
              </c:numCache>
            </c:numRef>
          </c:xVal>
          <c:yVal>
            <c:numRef>
              <c:f>'NG Alphas'!$AU$5:$AU$34</c:f>
              <c:numCache>
                <c:formatCode>0.00</c:formatCode>
                <c:ptCount val="30"/>
                <c:pt idx="0">
                  <c:v>5.5852389999999996</c:v>
                </c:pt>
                <c:pt idx="1">
                  <c:v>5.0295740000000002</c:v>
                </c:pt>
                <c:pt idx="2">
                  <c:v>5.7500429999999998</c:v>
                </c:pt>
                <c:pt idx="3">
                  <c:v>5.961182</c:v>
                </c:pt>
                <c:pt idx="4">
                  <c:v>6.1492699999999996</c:v>
                </c:pt>
                <c:pt idx="5">
                  <c:v>5.3081880000000004</c:v>
                </c:pt>
                <c:pt idx="6">
                  <c:v>5.0393119999999998</c:v>
                </c:pt>
                <c:pt idx="7">
                  <c:v>5.0113349999999999</c:v>
                </c:pt>
                <c:pt idx="8">
                  <c:v>5.1394570000000002</c:v>
                </c:pt>
                <c:pt idx="9">
                  <c:v>5.4386109999999999</c:v>
                </c:pt>
                <c:pt idx="10">
                  <c:v>4.067107</c:v>
                </c:pt>
                <c:pt idx="11">
                  <c:v>3.465214</c:v>
                </c:pt>
                <c:pt idx="12">
                  <c:v>3.7341319999999998</c:v>
                </c:pt>
                <c:pt idx="13">
                  <c:v>4.3085680000000002</c:v>
                </c:pt>
                <c:pt idx="14">
                  <c:v>4.60398</c:v>
                </c:pt>
                <c:pt idx="15">
                  <c:v>3.7682169999999999</c:v>
                </c:pt>
                <c:pt idx="16">
                  <c:v>3.4382000000000001</c:v>
                </c:pt>
                <c:pt idx="17">
                  <c:v>3.6323940000000001</c:v>
                </c:pt>
                <c:pt idx="18">
                  <c:v>3.6849729999999998</c:v>
                </c:pt>
                <c:pt idx="19">
                  <c:v>3.9545849999999998</c:v>
                </c:pt>
                <c:pt idx="20">
                  <c:v>9.628088</c:v>
                </c:pt>
                <c:pt idx="21">
                  <c:v>8.7762349999999998</c:v>
                </c:pt>
                <c:pt idx="22">
                  <c:v>9.6345749999999999</c:v>
                </c:pt>
                <c:pt idx="23">
                  <c:v>10.296882999999999</c:v>
                </c:pt>
                <c:pt idx="24">
                  <c:v>10.885576</c:v>
                </c:pt>
                <c:pt idx="25">
                  <c:v>9.4772770000000008</c:v>
                </c:pt>
                <c:pt idx="26">
                  <c:v>9.43323</c:v>
                </c:pt>
                <c:pt idx="27">
                  <c:v>9.1653040000000008</c:v>
                </c:pt>
                <c:pt idx="28">
                  <c:v>9.0795809999999992</c:v>
                </c:pt>
                <c:pt idx="29">
                  <c:v>9.6156880000000005</c:v>
                </c:pt>
              </c:numCache>
            </c:numRef>
          </c:yVal>
          <c:smooth val="0"/>
          <c:extLst>
            <c:ext xmlns:c16="http://schemas.microsoft.com/office/drawing/2014/chart" uri="{C3380CC4-5D6E-409C-BE32-E72D297353CC}">
              <c16:uniqueId val="{00000000-CD9E-44FF-A30F-C29BE1780823}"/>
            </c:ext>
          </c:extLst>
        </c:ser>
        <c:dLbls>
          <c:showLegendKey val="0"/>
          <c:showVal val="0"/>
          <c:showCatName val="0"/>
          <c:showSerName val="0"/>
          <c:showPercent val="0"/>
          <c:showBubbleSize val="0"/>
        </c:dLbls>
        <c:axId val="396597664"/>
        <c:axId val="396598056"/>
      </c:scatterChart>
      <c:valAx>
        <c:axId val="3965976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598056"/>
        <c:crosses val="autoZero"/>
        <c:crossBetween val="midCat"/>
      </c:valAx>
      <c:valAx>
        <c:axId val="396598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5976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567690</xdr:colOff>
      <xdr:row>33</xdr:row>
      <xdr:rowOff>68580</xdr:rowOff>
    </xdr:from>
    <xdr:to>
      <xdr:col>26</xdr:col>
      <xdr:colOff>148590</xdr:colOff>
      <xdr:row>58</xdr:row>
      <xdr:rowOff>102870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135255</xdr:colOff>
      <xdr:row>63</xdr:row>
      <xdr:rowOff>156210</xdr:rowOff>
    </xdr:from>
    <xdr:to>
      <xdr:col>26</xdr:col>
      <xdr:colOff>325755</xdr:colOff>
      <xdr:row>89</xdr:row>
      <xdr:rowOff>19050</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90</xdr:row>
      <xdr:rowOff>0</xdr:rowOff>
    </xdr:from>
    <xdr:to>
      <xdr:col>26</xdr:col>
      <xdr:colOff>190500</xdr:colOff>
      <xdr:row>115</xdr:row>
      <xdr:rowOff>53340</xdr:rowOff>
    </xdr:to>
    <xdr:graphicFrame macro="">
      <xdr:nvGraphicFramePr>
        <xdr:cNvPr id="3" name="Chart 2">
          <a:extLst>
            <a:ext uri="{FF2B5EF4-FFF2-40B4-BE49-F238E27FC236}">
              <a16:creationId xmlns:a16="http://schemas.microsoft.com/office/drawing/2014/main" id="{BDD80B16-8A02-4D77-9D5D-56304DFAD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567690</xdr:colOff>
      <xdr:row>31</xdr:row>
      <xdr:rowOff>97155</xdr:rowOff>
    </xdr:from>
    <xdr:to>
      <xdr:col>27</xdr:col>
      <xdr:colOff>148590</xdr:colOff>
      <xdr:row>56</xdr:row>
      <xdr:rowOff>150495</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544830</xdr:colOff>
      <xdr:row>57</xdr:row>
      <xdr:rowOff>3810</xdr:rowOff>
    </xdr:from>
    <xdr:to>
      <xdr:col>27</xdr:col>
      <xdr:colOff>125730</xdr:colOff>
      <xdr:row>82</xdr:row>
      <xdr:rowOff>57150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83</xdr:row>
      <xdr:rowOff>0</xdr:rowOff>
    </xdr:from>
    <xdr:to>
      <xdr:col>27</xdr:col>
      <xdr:colOff>190500</xdr:colOff>
      <xdr:row>108</xdr:row>
      <xdr:rowOff>53340</xdr:rowOff>
    </xdr:to>
    <xdr:graphicFrame macro="">
      <xdr:nvGraphicFramePr>
        <xdr:cNvPr id="4" name="Chart 3">
          <a:extLst>
            <a:ext uri="{FF2B5EF4-FFF2-40B4-BE49-F238E27FC236}">
              <a16:creationId xmlns:a16="http://schemas.microsoft.com/office/drawing/2014/main" id="{F95C69FE-4397-46A7-9978-6BAA615F6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53340</xdr:colOff>
      <xdr:row>5</xdr:row>
      <xdr:rowOff>30480</xdr:rowOff>
    </xdr:from>
    <xdr:to>
      <xdr:col>13</xdr:col>
      <xdr:colOff>541020</xdr:colOff>
      <xdr:row>11</xdr:row>
      <xdr:rowOff>152400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278880" y="944880"/>
          <a:ext cx="353568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the formula for the</a:t>
          </a:r>
          <a:r>
            <a:rPr lang="en-US" sz="1100" baseline="0"/>
            <a:t> "Total" row is slightly different because it is the alphas for the national supply curves rather than the regional supply curves.</a:t>
          </a:r>
        </a:p>
        <a:p>
          <a:endParaRPr lang="en-US" sz="1100" baseline="0"/>
        </a:p>
        <a:p>
          <a:r>
            <a:rPr lang="en-US" sz="1100" baseline="0"/>
            <a:t>Note: The beta were kept the same as AEO 2014.</a:t>
          </a:r>
          <a:endParaRPr lang="en-US" sz="1100"/>
        </a:p>
      </xdr:txBody>
    </xdr:sp>
    <xdr:clientData/>
  </xdr:twoCellAnchor>
  <xdr:twoCellAnchor>
    <xdr:from>
      <xdr:col>47</xdr:col>
      <xdr:colOff>106680</xdr:colOff>
      <xdr:row>4</xdr:row>
      <xdr:rowOff>163830</xdr:rowOff>
    </xdr:from>
    <xdr:to>
      <xdr:col>54</xdr:col>
      <xdr:colOff>411480</xdr:colOff>
      <xdr:row>19</xdr:row>
      <xdr:rowOff>163830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83820</xdr:colOff>
      <xdr:row>18</xdr:row>
      <xdr:rowOff>15240</xdr:rowOff>
    </xdr:from>
    <xdr:to>
      <xdr:col>9</xdr:col>
      <xdr:colOff>60960</xdr:colOff>
      <xdr:row>25</xdr:row>
      <xdr:rowOff>22860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303020" y="3307080"/>
          <a:ext cx="4244340" cy="1287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02-24-2017 WJC: When the original betas were calculated they</a:t>
          </a:r>
          <a:r>
            <a:rPr lang="en-US" sz="1100" baseline="0"/>
            <a:t> were determined using the electricity sector demand minus CHP demand.  In summer of 2016 we learned that we were improperly excluding CHP, so we are now including the CHP demand (CHP demand was excluded in our AEO 2016 update).  When we include the CHP demand, we need to decrement the betas, otherwise the alphas will be too low.</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Q34"/>
  <sheetViews>
    <sheetView tabSelected="1" zoomScaleNormal="100" workbookViewId="0">
      <pane xSplit="2" ySplit="1" topLeftCell="C2" activePane="bottomRight" state="frozen"/>
      <selection pane="topRight" activeCell="C1" sqref="C1"/>
      <selection pane="bottomLeft" activeCell="A2" sqref="A2"/>
      <selection pane="bottomRight" activeCell="A2" sqref="A2"/>
    </sheetView>
  </sheetViews>
  <sheetFormatPr defaultRowHeight="15" x14ac:dyDescent="0.25"/>
  <cols>
    <col min="1" max="1" width="20.28515625" bestFit="1" customWidth="1"/>
    <col min="2" max="2" width="16.5703125" customWidth="1"/>
    <col min="3" max="3" width="8.85546875" customWidth="1"/>
    <col min="34" max="43" width="9.5703125" bestFit="1" customWidth="1"/>
  </cols>
  <sheetData>
    <row r="1" spans="1:43" s="1" customFormat="1" x14ac:dyDescent="0.25">
      <c r="A1" s="1" t="s">
        <v>32</v>
      </c>
      <c r="C1" s="1">
        <v>2010</v>
      </c>
      <c r="D1" s="2">
        <v>2011</v>
      </c>
      <c r="E1" s="2">
        <v>2012</v>
      </c>
      <c r="F1" s="2">
        <v>2013</v>
      </c>
      <c r="G1" s="2">
        <v>2014</v>
      </c>
      <c r="H1" s="2">
        <v>2015</v>
      </c>
      <c r="I1" s="2">
        <v>2016</v>
      </c>
      <c r="J1" s="2">
        <v>2017</v>
      </c>
      <c r="K1" s="2">
        <v>2018</v>
      </c>
      <c r="L1" s="2">
        <v>2019</v>
      </c>
      <c r="M1" s="2">
        <v>2020</v>
      </c>
      <c r="N1" s="2">
        <v>2021</v>
      </c>
      <c r="O1" s="2">
        <v>2022</v>
      </c>
      <c r="P1" s="2">
        <v>2023</v>
      </c>
      <c r="Q1" s="2">
        <v>2024</v>
      </c>
      <c r="R1" s="2">
        <v>2025</v>
      </c>
      <c r="S1" s="2">
        <v>2026</v>
      </c>
      <c r="T1" s="2">
        <v>2027</v>
      </c>
      <c r="U1" s="2">
        <v>2028</v>
      </c>
      <c r="V1" s="2">
        <v>2029</v>
      </c>
      <c r="W1" s="2">
        <v>2030</v>
      </c>
      <c r="X1" s="2">
        <v>2031</v>
      </c>
      <c r="Y1" s="2">
        <v>2032</v>
      </c>
      <c r="Z1" s="2">
        <v>2033</v>
      </c>
      <c r="AA1" s="2">
        <v>2034</v>
      </c>
      <c r="AB1" s="2">
        <v>2035</v>
      </c>
      <c r="AC1" s="2">
        <v>2036</v>
      </c>
      <c r="AD1" s="2">
        <v>2037</v>
      </c>
      <c r="AE1" s="2">
        <v>2038</v>
      </c>
      <c r="AF1" s="2">
        <v>2039</v>
      </c>
      <c r="AG1" s="2">
        <v>2040</v>
      </c>
      <c r="AH1" s="2">
        <v>2041</v>
      </c>
      <c r="AI1" s="2">
        <v>2042</v>
      </c>
      <c r="AJ1" s="2">
        <v>2043</v>
      </c>
      <c r="AK1" s="2">
        <v>2044</v>
      </c>
      <c r="AL1" s="2">
        <v>2045</v>
      </c>
      <c r="AM1" s="2">
        <v>2046</v>
      </c>
      <c r="AN1" s="2">
        <v>2047</v>
      </c>
      <c r="AO1" s="2">
        <v>2048</v>
      </c>
      <c r="AP1" s="2">
        <v>2049</v>
      </c>
      <c r="AQ1" s="2">
        <v>2050</v>
      </c>
    </row>
    <row r="2" spans="1:43" x14ac:dyDescent="0.25">
      <c r="A2" t="s">
        <v>0</v>
      </c>
      <c r="B2" t="s">
        <v>3</v>
      </c>
      <c r="C2" s="13">
        <v>7.090994508717106</v>
      </c>
      <c r="D2" s="13">
        <v>6.4152443188854322</v>
      </c>
      <c r="E2" s="13">
        <v>4.3183962877048669</v>
      </c>
      <c r="F2" s="13">
        <v>5.6445716047461643</v>
      </c>
      <c r="G2" s="13">
        <v>6.9015738325704152</v>
      </c>
      <c r="H2" s="13">
        <v>3.7284692761307245</v>
      </c>
      <c r="I2" s="13">
        <v>3.6043292687159338</v>
      </c>
      <c r="J2" s="13">
        <v>4.2513316214100101</v>
      </c>
      <c r="K2" s="13">
        <v>4.0830605958860016</v>
      </c>
      <c r="L2" s="13">
        <v>3.0741546450235249</v>
      </c>
      <c r="M2" s="13">
        <v>2.4336007775091524</v>
      </c>
      <c r="N2" s="13">
        <v>5.2120498678617588</v>
      </c>
      <c r="O2" s="13">
        <v>6.7368104551439982</v>
      </c>
      <c r="P2" s="13">
        <v>2.5766965032266906</v>
      </c>
      <c r="Q2">
        <v>2.2850799999999998</v>
      </c>
      <c r="R2">
        <v>2.8372769999999998</v>
      </c>
      <c r="S2">
        <v>2.7632780000000001</v>
      </c>
      <c r="T2">
        <v>2.7038120000000001</v>
      </c>
      <c r="U2">
        <v>2.7625649999999999</v>
      </c>
      <c r="V2">
        <v>2.91825</v>
      </c>
      <c r="W2">
        <v>3.0495760000000001</v>
      </c>
      <c r="X2">
        <v>3.1700810000000001</v>
      </c>
      <c r="Y2">
        <v>3.6357740000000001</v>
      </c>
      <c r="Z2">
        <v>3.8813439999999999</v>
      </c>
      <c r="AA2">
        <v>3.987692</v>
      </c>
      <c r="AB2">
        <v>4.0454699999999999</v>
      </c>
      <c r="AC2">
        <v>4.0368050000000002</v>
      </c>
      <c r="AD2">
        <v>3.8998759999999999</v>
      </c>
      <c r="AE2">
        <v>3.733063</v>
      </c>
      <c r="AF2">
        <v>3.6814089999999999</v>
      </c>
      <c r="AG2">
        <v>3.6628889999999998</v>
      </c>
      <c r="AH2">
        <v>3.7237819999999999</v>
      </c>
      <c r="AI2">
        <v>3.7739699999999998</v>
      </c>
      <c r="AJ2">
        <v>3.8057539999999999</v>
      </c>
      <c r="AK2">
        <v>3.8000409999999998</v>
      </c>
      <c r="AL2">
        <v>3.7980499999999999</v>
      </c>
      <c r="AM2">
        <v>3.8105319999999998</v>
      </c>
      <c r="AN2">
        <v>3.7706689999999998</v>
      </c>
      <c r="AO2">
        <v>3.7408440000000001</v>
      </c>
      <c r="AP2">
        <v>3.6850879999999999</v>
      </c>
      <c r="AQ2">
        <v>3.642668</v>
      </c>
    </row>
    <row r="3" spans="1:43" x14ac:dyDescent="0.25">
      <c r="A3" t="s">
        <v>0</v>
      </c>
      <c r="B3" t="s">
        <v>6</v>
      </c>
      <c r="C3" s="13">
        <v>6.8646270393788669</v>
      </c>
      <c r="D3" s="13">
        <v>6.0358029832029461</v>
      </c>
      <c r="E3" s="13">
        <v>4.1713367840510776</v>
      </c>
      <c r="F3" s="13">
        <v>5.4256613490178243</v>
      </c>
      <c r="G3" s="13">
        <v>6.1961337234536131</v>
      </c>
      <c r="H3" s="13">
        <v>3.8318580449735551</v>
      </c>
      <c r="I3" s="13">
        <v>3.3489419294063545</v>
      </c>
      <c r="J3" s="13">
        <v>4.0602410342776896</v>
      </c>
      <c r="K3" s="13">
        <v>4.0259848629389596</v>
      </c>
      <c r="L3" s="13">
        <v>3.2921435015159952</v>
      </c>
      <c r="M3" s="13">
        <v>2.7713175857850891</v>
      </c>
      <c r="N3" s="13">
        <v>5.9408671964317188</v>
      </c>
      <c r="O3" s="13">
        <v>7.9109310773429984</v>
      </c>
      <c r="P3" s="13">
        <v>2.9342710598292521</v>
      </c>
      <c r="Q3">
        <v>2.645327</v>
      </c>
      <c r="R3">
        <v>3.1424280000000002</v>
      </c>
      <c r="S3">
        <v>3.0551219999999999</v>
      </c>
      <c r="T3">
        <v>2.9886940000000002</v>
      </c>
      <c r="U3">
        <v>3.1272180000000001</v>
      </c>
      <c r="V3">
        <v>3.3064779999999998</v>
      </c>
      <c r="W3">
        <v>3.5123920000000002</v>
      </c>
      <c r="X3">
        <v>3.6137549999999998</v>
      </c>
      <c r="Y3">
        <v>4.0852570000000004</v>
      </c>
      <c r="Z3">
        <v>4.3885170000000002</v>
      </c>
      <c r="AA3">
        <v>4.5441950000000002</v>
      </c>
      <c r="AB3">
        <v>4.609845</v>
      </c>
      <c r="AC3">
        <v>4.5566940000000002</v>
      </c>
      <c r="AD3">
        <v>4.4640170000000001</v>
      </c>
      <c r="AE3">
        <v>4.3762629999999998</v>
      </c>
      <c r="AF3">
        <v>4.2860940000000003</v>
      </c>
      <c r="AG3">
        <v>4.2991330000000003</v>
      </c>
      <c r="AH3">
        <v>4.3616270000000004</v>
      </c>
      <c r="AI3">
        <v>4.3900119999999996</v>
      </c>
      <c r="AJ3">
        <v>4.5224070000000003</v>
      </c>
      <c r="AK3">
        <v>4.578125</v>
      </c>
      <c r="AL3">
        <v>4.5960539999999996</v>
      </c>
      <c r="AM3">
        <v>4.6652560000000003</v>
      </c>
      <c r="AN3">
        <v>4.6527609999999999</v>
      </c>
      <c r="AO3">
        <v>4.5713619999999997</v>
      </c>
      <c r="AP3">
        <v>4.3889639999999996</v>
      </c>
      <c r="AQ3">
        <v>4.2353579999999997</v>
      </c>
    </row>
    <row r="4" spans="1:43" x14ac:dyDescent="0.25">
      <c r="A4" t="s">
        <v>0</v>
      </c>
      <c r="B4" t="s">
        <v>2</v>
      </c>
      <c r="C4" s="13">
        <v>7.8163644994350978</v>
      </c>
      <c r="D4" s="13">
        <v>7.1816098697838058</v>
      </c>
      <c r="E4" s="13">
        <v>4.92095484442806</v>
      </c>
      <c r="F4" s="13">
        <v>6.2217721142422837</v>
      </c>
      <c r="G4" s="13">
        <v>6.7497855572105729</v>
      </c>
      <c r="H4" s="13">
        <v>3.8503199987203129</v>
      </c>
      <c r="I4" s="13">
        <v>3.6610676709662813</v>
      </c>
      <c r="J4" s="13">
        <v>4.1596902485794329</v>
      </c>
      <c r="K4" s="13">
        <v>4.2283623169574369</v>
      </c>
      <c r="L4" s="13">
        <v>3.5693197617014345</v>
      </c>
      <c r="M4" s="13">
        <v>2.9222608833010848</v>
      </c>
      <c r="N4" s="13">
        <v>5.3239298173387199</v>
      </c>
      <c r="O4" s="13">
        <v>6.1751710657979988</v>
      </c>
      <c r="P4" s="13">
        <v>3.0940898232391887</v>
      </c>
      <c r="Q4">
        <v>2.26953</v>
      </c>
      <c r="R4">
        <v>2.7246649999999999</v>
      </c>
      <c r="S4">
        <v>2.7802150000000001</v>
      </c>
      <c r="T4">
        <v>2.6369229999999999</v>
      </c>
      <c r="U4">
        <v>2.5768119999999999</v>
      </c>
      <c r="V4">
        <v>2.6436739999999999</v>
      </c>
      <c r="W4">
        <v>2.7737059999999998</v>
      </c>
      <c r="X4">
        <v>2.8664689999999999</v>
      </c>
      <c r="Y4">
        <v>3.2229869999999998</v>
      </c>
      <c r="Z4">
        <v>3.4833850000000002</v>
      </c>
      <c r="AA4">
        <v>3.598001</v>
      </c>
      <c r="AB4">
        <v>3.6316190000000002</v>
      </c>
      <c r="AC4">
        <v>3.610814</v>
      </c>
      <c r="AD4">
        <v>3.518157</v>
      </c>
      <c r="AE4">
        <v>3.376865</v>
      </c>
      <c r="AF4">
        <v>3.256926</v>
      </c>
      <c r="AG4">
        <v>3.215503</v>
      </c>
      <c r="AH4">
        <v>3.252421</v>
      </c>
      <c r="AI4">
        <v>3.2981530000000001</v>
      </c>
      <c r="AJ4">
        <v>3.3440240000000001</v>
      </c>
      <c r="AK4">
        <v>3.3472149999999998</v>
      </c>
      <c r="AL4">
        <v>3.329523</v>
      </c>
      <c r="AM4">
        <v>3.3935559999999998</v>
      </c>
      <c r="AN4">
        <v>3.3836680000000001</v>
      </c>
      <c r="AO4">
        <v>3.3496619999999999</v>
      </c>
      <c r="AP4">
        <v>3.274235</v>
      </c>
      <c r="AQ4">
        <v>3.1613509999999998</v>
      </c>
    </row>
    <row r="5" spans="1:43" x14ac:dyDescent="0.25">
      <c r="A5" t="s">
        <v>0</v>
      </c>
      <c r="B5" t="s">
        <v>8</v>
      </c>
      <c r="C5" s="13">
        <v>7.2146330760128921</v>
      </c>
      <c r="D5" s="13">
        <v>6.7590396787123188</v>
      </c>
      <c r="E5" s="13">
        <v>4.8126921868409474</v>
      </c>
      <c r="F5" s="13">
        <v>6.0267139856312832</v>
      </c>
      <c r="G5" s="13">
        <v>6.5332482987966625</v>
      </c>
      <c r="H5" s="13">
        <v>4.2834864127316594</v>
      </c>
      <c r="I5" s="13">
        <v>3.5443835743986463</v>
      </c>
      <c r="J5" s="13">
        <v>4.1952504305202671</v>
      </c>
      <c r="K5" s="13">
        <v>4.3117016969307889</v>
      </c>
      <c r="L5" s="13">
        <v>3.5556913977321183</v>
      </c>
      <c r="M5" s="13">
        <v>3.1170105258419452</v>
      </c>
      <c r="N5" s="13">
        <v>6.2959380705421193</v>
      </c>
      <c r="O5" s="13">
        <v>7.8164372108969982</v>
      </c>
      <c r="P5" s="13">
        <v>3.3002907447614516</v>
      </c>
      <c r="Q5">
        <v>2.8411909999999998</v>
      </c>
      <c r="R5">
        <v>3.296411</v>
      </c>
      <c r="S5">
        <v>3.1563430000000001</v>
      </c>
      <c r="T5">
        <v>3.1221640000000002</v>
      </c>
      <c r="U5">
        <v>3.269873</v>
      </c>
      <c r="V5">
        <v>3.5139179999999999</v>
      </c>
      <c r="W5">
        <v>3.8613040000000001</v>
      </c>
      <c r="X5">
        <v>4.0797470000000002</v>
      </c>
      <c r="Y5">
        <v>4.7336830000000001</v>
      </c>
      <c r="Z5">
        <v>5.0401730000000002</v>
      </c>
      <c r="AA5">
        <v>5.230925</v>
      </c>
      <c r="AB5">
        <v>5.3034660000000002</v>
      </c>
      <c r="AC5">
        <v>5.2519369999999999</v>
      </c>
      <c r="AD5">
        <v>5.176685</v>
      </c>
      <c r="AE5">
        <v>5.1548030000000002</v>
      </c>
      <c r="AF5">
        <v>5.160571</v>
      </c>
      <c r="AG5">
        <v>5.3064039999999997</v>
      </c>
      <c r="AH5">
        <v>5.5054889999999999</v>
      </c>
      <c r="AI5">
        <v>5.6836690000000001</v>
      </c>
      <c r="AJ5">
        <v>5.8368719999999996</v>
      </c>
      <c r="AK5">
        <v>5.905303</v>
      </c>
      <c r="AL5">
        <v>5.9451999999999998</v>
      </c>
      <c r="AM5">
        <v>6.0132479999999999</v>
      </c>
      <c r="AN5">
        <v>6.0694840000000001</v>
      </c>
      <c r="AO5">
        <v>6.0100769999999999</v>
      </c>
      <c r="AP5">
        <v>5.9124559999999997</v>
      </c>
      <c r="AQ5">
        <v>5.9721200000000003</v>
      </c>
    </row>
    <row r="6" spans="1:43" x14ac:dyDescent="0.25">
      <c r="A6" t="s">
        <v>0</v>
      </c>
      <c r="B6" t="s">
        <v>1</v>
      </c>
      <c r="C6" s="13">
        <v>7.7704294706317905</v>
      </c>
      <c r="D6" s="13">
        <v>6.976605820209147</v>
      </c>
      <c r="E6" s="13">
        <v>5.1256876548060566</v>
      </c>
      <c r="F6" s="13">
        <v>8.0681247014345718</v>
      </c>
      <c r="G6" s="13">
        <v>8.7692015299317383</v>
      </c>
      <c r="H6" s="13">
        <v>5.6641394518249273</v>
      </c>
      <c r="I6" s="13">
        <v>5.1482992248515442</v>
      </c>
      <c r="J6" s="13">
        <v>5.3552845357250467</v>
      </c>
      <c r="K6" s="13">
        <v>5.8812537804770528</v>
      </c>
      <c r="L6" s="13">
        <v>5.4764620814960274</v>
      </c>
      <c r="M6" s="13">
        <v>4.8945565983197907</v>
      </c>
      <c r="N6" s="13">
        <v>7.9478482779536375</v>
      </c>
      <c r="O6" s="13">
        <v>8.928908763767998</v>
      </c>
      <c r="P6" s="13">
        <v>5.1823565263009943</v>
      </c>
      <c r="Q6">
        <v>3.9147449999999999</v>
      </c>
      <c r="R6">
        <v>3.945919</v>
      </c>
      <c r="S6">
        <v>3.8191090000000001</v>
      </c>
      <c r="T6">
        <v>3.4353600000000002</v>
      </c>
      <c r="U6">
        <v>3.2407520000000001</v>
      </c>
      <c r="V6">
        <v>3.2298119999999999</v>
      </c>
      <c r="W6">
        <v>3.1292849999999999</v>
      </c>
      <c r="X6">
        <v>3.3261289999999999</v>
      </c>
      <c r="Y6">
        <v>3.779099</v>
      </c>
      <c r="Z6">
        <v>4.0712270000000004</v>
      </c>
      <c r="AA6">
        <v>4.168971</v>
      </c>
      <c r="AB6">
        <v>4.1994429999999996</v>
      </c>
      <c r="AC6">
        <v>4.265835</v>
      </c>
      <c r="AD6">
        <v>4.1203159999999999</v>
      </c>
      <c r="AE6">
        <v>3.9936099999999999</v>
      </c>
      <c r="AF6">
        <v>3.816716</v>
      </c>
      <c r="AG6">
        <v>3.872509</v>
      </c>
      <c r="AH6">
        <v>3.9666869999999999</v>
      </c>
      <c r="AI6">
        <v>4.0911340000000003</v>
      </c>
      <c r="AJ6">
        <v>4.1699289999999998</v>
      </c>
      <c r="AK6">
        <v>4.0871240000000002</v>
      </c>
      <c r="AL6">
        <v>3.8919190000000001</v>
      </c>
      <c r="AM6">
        <v>3.9026290000000001</v>
      </c>
      <c r="AN6">
        <v>3.9459689999999998</v>
      </c>
      <c r="AO6">
        <v>3.7875960000000002</v>
      </c>
      <c r="AP6">
        <v>3.870886</v>
      </c>
      <c r="AQ6">
        <v>3.7880440000000002</v>
      </c>
    </row>
    <row r="7" spans="1:43" x14ac:dyDescent="0.25">
      <c r="A7" t="s">
        <v>0</v>
      </c>
      <c r="B7" t="s">
        <v>9</v>
      </c>
      <c r="C7" s="13">
        <v>6.9220750255495984</v>
      </c>
      <c r="D7" s="13">
        <v>6.5230920278203843</v>
      </c>
      <c r="E7" s="13">
        <v>4.981962977951806</v>
      </c>
      <c r="F7" s="13">
        <v>5.9665944124189529</v>
      </c>
      <c r="G7" s="13">
        <v>6.6528652175327077</v>
      </c>
      <c r="H7" s="13">
        <v>4.318227658544374</v>
      </c>
      <c r="I7" s="13">
        <v>3.6670861353628124</v>
      </c>
      <c r="J7" s="13">
        <v>4.1891583924729243</v>
      </c>
      <c r="K7" s="13">
        <v>4.3173220450187113</v>
      </c>
      <c r="L7" s="13">
        <v>3.7488371122416662</v>
      </c>
      <c r="M7" s="13">
        <v>3.3050449558401449</v>
      </c>
      <c r="N7" s="13">
        <v>6.7127102023085996</v>
      </c>
      <c r="O7" s="13">
        <v>8.0403981934499988</v>
      </c>
      <c r="P7" s="13">
        <v>3.4993815992435451</v>
      </c>
      <c r="Q7">
        <v>3.1787709999999998</v>
      </c>
      <c r="R7">
        <v>3.4497650000000002</v>
      </c>
      <c r="S7">
        <v>3.2324410000000001</v>
      </c>
      <c r="T7">
        <v>3.1548940000000001</v>
      </c>
      <c r="U7">
        <v>3.344125</v>
      </c>
      <c r="V7">
        <v>3.63497</v>
      </c>
      <c r="W7">
        <v>4.0198600000000004</v>
      </c>
      <c r="X7">
        <v>4.2745639999999998</v>
      </c>
      <c r="Y7">
        <v>4.89114</v>
      </c>
      <c r="Z7">
        <v>5.1914509999999998</v>
      </c>
      <c r="AA7">
        <v>5.3848269999999996</v>
      </c>
      <c r="AB7">
        <v>5.4120600000000003</v>
      </c>
      <c r="AC7">
        <v>5.2829199999999998</v>
      </c>
      <c r="AD7">
        <v>5.1045230000000004</v>
      </c>
      <c r="AE7">
        <v>5.0104769999999998</v>
      </c>
      <c r="AF7">
        <v>4.9236490000000002</v>
      </c>
      <c r="AG7">
        <v>5.0555430000000001</v>
      </c>
      <c r="AH7">
        <v>5.287903</v>
      </c>
      <c r="AI7">
        <v>5.4087639999999997</v>
      </c>
      <c r="AJ7">
        <v>5.5636210000000004</v>
      </c>
      <c r="AK7">
        <v>5.645613</v>
      </c>
      <c r="AL7">
        <v>5.6369670000000003</v>
      </c>
      <c r="AM7">
        <v>5.7589649999999999</v>
      </c>
      <c r="AN7">
        <v>5.8089510000000004</v>
      </c>
      <c r="AO7">
        <v>5.8133319999999999</v>
      </c>
      <c r="AP7">
        <v>5.796697</v>
      </c>
      <c r="AQ7">
        <v>5.7458200000000001</v>
      </c>
    </row>
    <row r="8" spans="1:43" x14ac:dyDescent="0.25">
      <c r="A8" t="s">
        <v>0</v>
      </c>
      <c r="B8" t="s">
        <v>5</v>
      </c>
      <c r="C8" s="13">
        <v>8.6455874780352708</v>
      </c>
      <c r="D8" s="13">
        <v>7.6126830897202264</v>
      </c>
      <c r="E8" s="13">
        <v>5.7441421781360376</v>
      </c>
      <c r="F8" s="13">
        <v>6.4880622749653449</v>
      </c>
      <c r="G8" s="13">
        <v>7.2176795218036691</v>
      </c>
      <c r="H8" s="13">
        <v>5.2096382675996793</v>
      </c>
      <c r="I8" s="13">
        <v>4.5142801956919705</v>
      </c>
      <c r="J8" s="13">
        <v>4.872571007251846</v>
      </c>
      <c r="K8" s="13">
        <v>4.6931878148266497</v>
      </c>
      <c r="L8" s="13">
        <v>4.0989786868068077</v>
      </c>
      <c r="M8" s="13">
        <v>3.5356090652751919</v>
      </c>
      <c r="N8" s="13">
        <v>6.632815784981398</v>
      </c>
      <c r="O8" s="13">
        <v>8.5436920603439983</v>
      </c>
      <c r="P8" s="13">
        <v>3.743502878313373</v>
      </c>
      <c r="Q8">
        <v>3.5816759999999999</v>
      </c>
      <c r="R8">
        <v>3.8462010000000002</v>
      </c>
      <c r="S8">
        <v>3.7656390000000002</v>
      </c>
      <c r="T8">
        <v>3.8377020000000002</v>
      </c>
      <c r="U8">
        <v>3.7854399999999999</v>
      </c>
      <c r="V8">
        <v>4.0857950000000001</v>
      </c>
      <c r="W8">
        <v>4.0874839999999999</v>
      </c>
      <c r="X8">
        <v>4.1015370000000004</v>
      </c>
      <c r="Y8">
        <v>4.5591860000000004</v>
      </c>
      <c r="Z8">
        <v>4.8424820000000004</v>
      </c>
      <c r="AA8">
        <v>4.962396</v>
      </c>
      <c r="AB8">
        <v>5.0166069999999996</v>
      </c>
      <c r="AC8">
        <v>5.044314</v>
      </c>
      <c r="AD8">
        <v>4.9791670000000003</v>
      </c>
      <c r="AE8">
        <v>4.9096529999999996</v>
      </c>
      <c r="AF8">
        <v>4.8506720000000003</v>
      </c>
      <c r="AG8">
        <v>4.8540460000000003</v>
      </c>
      <c r="AH8">
        <v>4.8807340000000003</v>
      </c>
      <c r="AI8">
        <v>4.9258579999999998</v>
      </c>
      <c r="AJ8">
        <v>5.0089180000000004</v>
      </c>
      <c r="AK8">
        <v>5.0123090000000001</v>
      </c>
      <c r="AL8">
        <v>4.9701639999999996</v>
      </c>
      <c r="AM8">
        <v>4.9948949999999996</v>
      </c>
      <c r="AN8">
        <v>4.9172169999999999</v>
      </c>
      <c r="AO8">
        <v>4.8024500000000003</v>
      </c>
      <c r="AP8">
        <v>4.690213</v>
      </c>
      <c r="AQ8">
        <v>4.5787969999999998</v>
      </c>
    </row>
    <row r="9" spans="1:43" x14ac:dyDescent="0.25">
      <c r="A9" t="s">
        <v>0</v>
      </c>
      <c r="B9" t="s">
        <v>4</v>
      </c>
      <c r="C9" s="13">
        <v>7.7342882889509372</v>
      </c>
      <c r="D9" s="13">
        <v>7.1878303510036723</v>
      </c>
      <c r="E9" s="13">
        <v>4.8369681523439674</v>
      </c>
      <c r="F9" s="13">
        <v>6.217397451918627</v>
      </c>
      <c r="G9" s="13">
        <v>7.3986154289774317</v>
      </c>
      <c r="H9" s="13">
        <v>4.4282165978108354</v>
      </c>
      <c r="I9" s="13">
        <v>3.5004066167190326</v>
      </c>
      <c r="J9" s="13">
        <v>4.4694969626417187</v>
      </c>
      <c r="K9" s="13">
        <v>4.3344101992629396</v>
      </c>
      <c r="L9" s="13">
        <v>3.3526081812708477</v>
      </c>
      <c r="M9" s="13">
        <v>2.8541639768890446</v>
      </c>
      <c r="N9" s="13">
        <v>5.6582080131603583</v>
      </c>
      <c r="O9" s="13">
        <v>7.6279947132059984</v>
      </c>
      <c r="P9" s="13">
        <v>3.0219888187301205</v>
      </c>
      <c r="Q9">
        <v>2.6050719999999998</v>
      </c>
      <c r="R9">
        <v>3.1620529999999998</v>
      </c>
      <c r="S9">
        <v>3.0761370000000001</v>
      </c>
      <c r="T9">
        <v>3.0542379999999998</v>
      </c>
      <c r="U9">
        <v>3.1953819999999999</v>
      </c>
      <c r="V9">
        <v>3.3982709999999998</v>
      </c>
      <c r="W9">
        <v>3.6461549999999998</v>
      </c>
      <c r="X9">
        <v>3.762861</v>
      </c>
      <c r="Y9">
        <v>4.4230590000000003</v>
      </c>
      <c r="Z9">
        <v>4.7042849999999996</v>
      </c>
      <c r="AA9">
        <v>4.7726879999999996</v>
      </c>
      <c r="AB9">
        <v>4.784186</v>
      </c>
      <c r="AC9">
        <v>4.7803069999999996</v>
      </c>
      <c r="AD9">
        <v>4.6720579999999998</v>
      </c>
      <c r="AE9">
        <v>4.5664300000000004</v>
      </c>
      <c r="AF9">
        <v>4.4084390000000004</v>
      </c>
      <c r="AG9">
        <v>4.4912510000000001</v>
      </c>
      <c r="AH9">
        <v>4.6490859999999996</v>
      </c>
      <c r="AI9">
        <v>4.7518010000000004</v>
      </c>
      <c r="AJ9">
        <v>4.8073430000000004</v>
      </c>
      <c r="AK9">
        <v>4.817755</v>
      </c>
      <c r="AL9">
        <v>4.8391719999999996</v>
      </c>
      <c r="AM9">
        <v>4.9451890000000001</v>
      </c>
      <c r="AN9">
        <v>4.9095399999999998</v>
      </c>
      <c r="AO9">
        <v>4.8590970000000002</v>
      </c>
      <c r="AP9">
        <v>4.774216</v>
      </c>
      <c r="AQ9">
        <v>4.7918520000000004</v>
      </c>
    </row>
    <row r="10" spans="1:43" x14ac:dyDescent="0.25">
      <c r="A10" t="s">
        <v>0</v>
      </c>
      <c r="B10" t="s">
        <v>7</v>
      </c>
      <c r="C10" s="13">
        <v>6.6138470952172108</v>
      </c>
      <c r="D10" s="13">
        <v>6.0219340804874886</v>
      </c>
      <c r="E10" s="13">
        <v>4.0862421172094443</v>
      </c>
      <c r="F10" s="13">
        <v>5.3117252570087867</v>
      </c>
      <c r="G10" s="13">
        <v>6.1419078301821202</v>
      </c>
      <c r="H10" s="13">
        <v>3.7096081029697383</v>
      </c>
      <c r="I10" s="13">
        <v>3.0974697864685288</v>
      </c>
      <c r="J10" s="13">
        <v>3.8143408225748088</v>
      </c>
      <c r="K10" s="13">
        <v>3.7845594665654065</v>
      </c>
      <c r="L10" s="13">
        <v>2.8508973312239743</v>
      </c>
      <c r="M10" s="13">
        <v>2.3729458382439561</v>
      </c>
      <c r="N10" s="13">
        <v>5.4412251413813983</v>
      </c>
      <c r="O10" s="13">
        <v>7.3605166775279978</v>
      </c>
      <c r="P10" s="13">
        <v>2.5124750535327007</v>
      </c>
      <c r="Q10">
        <v>2.1994799999999999</v>
      </c>
      <c r="R10">
        <v>2.7028840000000001</v>
      </c>
      <c r="S10">
        <v>2.6025450000000001</v>
      </c>
      <c r="T10">
        <v>2.5492240000000002</v>
      </c>
      <c r="U10">
        <v>2.7017540000000002</v>
      </c>
      <c r="V10">
        <v>2.910596</v>
      </c>
      <c r="W10">
        <v>3.163967</v>
      </c>
      <c r="X10">
        <v>3.3038479999999999</v>
      </c>
      <c r="Y10">
        <v>3.843493</v>
      </c>
      <c r="Z10">
        <v>4.2143730000000001</v>
      </c>
      <c r="AA10">
        <v>4.409548</v>
      </c>
      <c r="AB10">
        <v>4.4258379999999997</v>
      </c>
      <c r="AC10">
        <v>4.3744480000000001</v>
      </c>
      <c r="AD10">
        <v>4.3173630000000003</v>
      </c>
      <c r="AE10">
        <v>4.2731209999999997</v>
      </c>
      <c r="AF10">
        <v>4.2338209999999998</v>
      </c>
      <c r="AG10">
        <v>4.305593</v>
      </c>
      <c r="AH10">
        <v>4.4324079999999997</v>
      </c>
      <c r="AI10">
        <v>4.5483779999999996</v>
      </c>
      <c r="AJ10">
        <v>4.7048509999999997</v>
      </c>
      <c r="AK10">
        <v>4.8134309999999996</v>
      </c>
      <c r="AL10">
        <v>4.8581349999999999</v>
      </c>
      <c r="AM10">
        <v>4.9233510000000003</v>
      </c>
      <c r="AN10">
        <v>5.0019159999999996</v>
      </c>
      <c r="AO10">
        <v>5.0007630000000001</v>
      </c>
      <c r="AP10">
        <v>4.9469110000000001</v>
      </c>
      <c r="AQ10">
        <v>4.9044080000000001</v>
      </c>
    </row>
    <row r="11" spans="1:43" s="4" customFormat="1" x14ac:dyDescent="0.25">
      <c r="A11" s="4" t="s">
        <v>0</v>
      </c>
      <c r="B11" s="4" t="s">
        <v>10</v>
      </c>
      <c r="C11" s="13">
        <v>7.4287481187538065</v>
      </c>
      <c r="D11" s="13">
        <v>6.7037262880480606</v>
      </c>
      <c r="E11" s="13">
        <v>4.7928849172414028</v>
      </c>
      <c r="F11" s="13">
        <v>5.997271557758733</v>
      </c>
      <c r="G11" s="13">
        <v>6.7346123247610592</v>
      </c>
      <c r="H11" s="13">
        <v>4.2877225773695686</v>
      </c>
      <c r="I11" s="13">
        <v>3.7483609608280575</v>
      </c>
      <c r="J11" s="13">
        <v>4.3257650457209484</v>
      </c>
      <c r="K11" s="13">
        <v>4.2709841218622042</v>
      </c>
      <c r="L11" s="13">
        <v>3.5042841007231984</v>
      </c>
      <c r="M11" s="13">
        <v>2.9645882827064347</v>
      </c>
      <c r="N11" s="13">
        <v>5.9572671857168391</v>
      </c>
      <c r="O11" s="13">
        <v>7.5198121225289984</v>
      </c>
      <c r="P11" s="13">
        <v>3.1389060737295731</v>
      </c>
      <c r="Q11">
        <v>2.7239149999999999</v>
      </c>
      <c r="R11">
        <v>3.1569289999999999</v>
      </c>
      <c r="S11">
        <v>3.0739700000000001</v>
      </c>
      <c r="T11">
        <v>3.0153080000000001</v>
      </c>
      <c r="U11">
        <v>3.0705049999999998</v>
      </c>
      <c r="V11">
        <v>3.2646169999999999</v>
      </c>
      <c r="W11">
        <v>3.4315820000000001</v>
      </c>
      <c r="X11">
        <v>3.5506389999999999</v>
      </c>
      <c r="Y11">
        <v>4.043609</v>
      </c>
      <c r="Z11">
        <v>4.3247770000000001</v>
      </c>
      <c r="AA11">
        <v>4.4705380000000003</v>
      </c>
      <c r="AB11">
        <v>4.5190190000000001</v>
      </c>
      <c r="AC11">
        <v>4.5014159999999999</v>
      </c>
      <c r="AD11">
        <v>4.4108809999999998</v>
      </c>
      <c r="AE11">
        <v>4.3408300000000004</v>
      </c>
      <c r="AF11">
        <v>4.2817970000000001</v>
      </c>
      <c r="AG11">
        <v>4.3096769999999998</v>
      </c>
      <c r="AH11">
        <v>4.3984069999999997</v>
      </c>
      <c r="AI11">
        <v>4.4850729999999999</v>
      </c>
      <c r="AJ11">
        <v>4.5699630000000004</v>
      </c>
      <c r="AK11">
        <v>4.5927829999999998</v>
      </c>
      <c r="AL11">
        <v>4.5856329999999996</v>
      </c>
      <c r="AM11">
        <v>4.6211710000000004</v>
      </c>
      <c r="AN11">
        <v>4.6284669999999997</v>
      </c>
      <c r="AO11">
        <v>4.5858759999999998</v>
      </c>
      <c r="AP11">
        <v>4.5211319999999997</v>
      </c>
      <c r="AQ11">
        <v>4.4591669999999999</v>
      </c>
    </row>
    <row r="12" spans="1:43" x14ac:dyDescent="0.25">
      <c r="A12" t="s">
        <v>11</v>
      </c>
      <c r="B12" t="s">
        <v>3</v>
      </c>
      <c r="C12" s="13">
        <v>7.090994508717106</v>
      </c>
      <c r="D12" s="13">
        <v>6.4152443188854322</v>
      </c>
      <c r="E12" s="13">
        <v>4.3183962877048669</v>
      </c>
      <c r="F12" s="13">
        <v>5.6445716047461643</v>
      </c>
      <c r="G12" s="13">
        <v>6.9015738325704152</v>
      </c>
      <c r="H12" s="13">
        <v>3.7284692761307245</v>
      </c>
      <c r="I12" s="13">
        <v>3.6043292687159338</v>
      </c>
      <c r="J12" s="13">
        <v>4.2513316214100101</v>
      </c>
      <c r="K12" s="13">
        <v>4.0830605958860016</v>
      </c>
      <c r="L12" s="13">
        <v>3.0741546450235249</v>
      </c>
      <c r="M12" s="13">
        <v>2.4336007775091524</v>
      </c>
      <c r="N12" s="13">
        <v>5.2120498678617588</v>
      </c>
      <c r="O12" s="13">
        <v>6.7368104551439982</v>
      </c>
      <c r="P12" s="13">
        <v>2.5766965032266906</v>
      </c>
      <c r="Q12">
        <v>2.298708</v>
      </c>
      <c r="R12">
        <v>2.3942019999999999</v>
      </c>
      <c r="S12">
        <v>2.2793950000000001</v>
      </c>
      <c r="T12">
        <v>2.2674120000000002</v>
      </c>
      <c r="U12">
        <v>2.3424230000000001</v>
      </c>
      <c r="V12">
        <v>2.4226380000000001</v>
      </c>
      <c r="W12">
        <v>2.5097149999999999</v>
      </c>
      <c r="X12">
        <v>2.5259360000000002</v>
      </c>
      <c r="Y12">
        <v>2.8165040000000001</v>
      </c>
      <c r="Z12">
        <v>2.8601320000000001</v>
      </c>
      <c r="AA12">
        <v>2.8966889999999998</v>
      </c>
      <c r="AB12">
        <v>2.9116309999999999</v>
      </c>
      <c r="AC12">
        <v>2.9024589999999999</v>
      </c>
      <c r="AD12">
        <v>2.8492649999999999</v>
      </c>
      <c r="AE12">
        <v>2.7876310000000002</v>
      </c>
      <c r="AF12">
        <v>2.7547830000000002</v>
      </c>
      <c r="AG12">
        <v>2.7657880000000001</v>
      </c>
      <c r="AH12">
        <v>2.8093919999999999</v>
      </c>
      <c r="AI12">
        <v>2.8039640000000001</v>
      </c>
      <c r="AJ12">
        <v>2.7523789999999999</v>
      </c>
      <c r="AK12">
        <v>2.6832600000000002</v>
      </c>
      <c r="AL12">
        <v>2.6278100000000002</v>
      </c>
      <c r="AM12">
        <v>2.6281729999999999</v>
      </c>
      <c r="AN12">
        <v>2.5621130000000001</v>
      </c>
      <c r="AO12">
        <v>2.5123799999999998</v>
      </c>
      <c r="AP12">
        <v>2.4616850000000001</v>
      </c>
      <c r="AQ12">
        <v>2.4218130000000002</v>
      </c>
    </row>
    <row r="13" spans="1:43" x14ac:dyDescent="0.25">
      <c r="A13" t="s">
        <v>11</v>
      </c>
      <c r="B13" t="s">
        <v>6</v>
      </c>
      <c r="C13" s="13">
        <v>6.8646270393788669</v>
      </c>
      <c r="D13" s="13">
        <v>6.0358029832029461</v>
      </c>
      <c r="E13" s="13">
        <v>4.1713367840510776</v>
      </c>
      <c r="F13" s="13">
        <v>5.4256613490178243</v>
      </c>
      <c r="G13" s="13">
        <v>6.1961337234536131</v>
      </c>
      <c r="H13" s="13">
        <v>3.8318580449735551</v>
      </c>
      <c r="I13" s="13">
        <v>3.3489419294063545</v>
      </c>
      <c r="J13" s="13">
        <v>4.0602410342776896</v>
      </c>
      <c r="K13" s="13">
        <v>4.0259848629389596</v>
      </c>
      <c r="L13" s="13">
        <v>3.2921435015159952</v>
      </c>
      <c r="M13" s="13">
        <v>2.7713175857850891</v>
      </c>
      <c r="N13" s="13">
        <v>5.9408671964317188</v>
      </c>
      <c r="O13" s="13">
        <v>7.9109310773429984</v>
      </c>
      <c r="P13" s="13">
        <v>2.9342710598292521</v>
      </c>
      <c r="Q13">
        <v>2.6806770000000002</v>
      </c>
      <c r="R13">
        <v>2.663157</v>
      </c>
      <c r="S13">
        <v>2.4986950000000001</v>
      </c>
      <c r="T13">
        <v>2.4848789999999998</v>
      </c>
      <c r="U13">
        <v>2.607332</v>
      </c>
      <c r="V13">
        <v>2.7094770000000001</v>
      </c>
      <c r="W13">
        <v>2.8351510000000002</v>
      </c>
      <c r="X13">
        <v>2.9051469999999999</v>
      </c>
      <c r="Y13">
        <v>3.177044</v>
      </c>
      <c r="Z13">
        <v>3.242102</v>
      </c>
      <c r="AA13">
        <v>3.271004</v>
      </c>
      <c r="AB13">
        <v>3.2856529999999999</v>
      </c>
      <c r="AC13">
        <v>3.2777820000000002</v>
      </c>
      <c r="AD13">
        <v>3.2484190000000002</v>
      </c>
      <c r="AE13">
        <v>3.2334040000000002</v>
      </c>
      <c r="AF13">
        <v>3.2192029999999998</v>
      </c>
      <c r="AG13">
        <v>3.2491560000000002</v>
      </c>
      <c r="AH13">
        <v>3.3102689999999999</v>
      </c>
      <c r="AI13">
        <v>3.3261599999999998</v>
      </c>
      <c r="AJ13">
        <v>3.2899310000000002</v>
      </c>
      <c r="AK13">
        <v>3.2634789999999998</v>
      </c>
      <c r="AL13">
        <v>3.2482500000000001</v>
      </c>
      <c r="AM13">
        <v>3.2774459999999999</v>
      </c>
      <c r="AN13">
        <v>3.2606959999999998</v>
      </c>
      <c r="AO13">
        <v>3.2563909999999998</v>
      </c>
      <c r="AP13">
        <v>3.2138339999999999</v>
      </c>
      <c r="AQ13">
        <v>3.1623589999999999</v>
      </c>
    </row>
    <row r="14" spans="1:43" x14ac:dyDescent="0.25">
      <c r="A14" t="s">
        <v>11</v>
      </c>
      <c r="B14" t="s">
        <v>2</v>
      </c>
      <c r="C14" s="13">
        <v>7.8163644994350978</v>
      </c>
      <c r="D14" s="13">
        <v>7.1816098697838058</v>
      </c>
      <c r="E14" s="13">
        <v>4.92095484442806</v>
      </c>
      <c r="F14" s="13">
        <v>6.2217721142422837</v>
      </c>
      <c r="G14" s="13">
        <v>6.7497855572105729</v>
      </c>
      <c r="H14" s="13">
        <v>3.8503199987203129</v>
      </c>
      <c r="I14" s="13">
        <v>3.6610676709662813</v>
      </c>
      <c r="J14" s="13">
        <v>4.1596902485794329</v>
      </c>
      <c r="K14" s="13">
        <v>4.2283623169574369</v>
      </c>
      <c r="L14" s="13">
        <v>3.5693197617014345</v>
      </c>
      <c r="M14" s="13">
        <v>2.9222608833010848</v>
      </c>
      <c r="N14" s="13">
        <v>5.3239298173387199</v>
      </c>
      <c r="O14" s="13">
        <v>6.1751710657979988</v>
      </c>
      <c r="P14" s="13">
        <v>3.0940898232391887</v>
      </c>
      <c r="Q14">
        <v>2.2872699999999999</v>
      </c>
      <c r="R14">
        <v>2.3132959999999998</v>
      </c>
      <c r="S14">
        <v>2.298251</v>
      </c>
      <c r="T14">
        <v>2.255369</v>
      </c>
      <c r="U14">
        <v>2.219732</v>
      </c>
      <c r="V14">
        <v>2.237025</v>
      </c>
      <c r="W14">
        <v>2.3095469999999998</v>
      </c>
      <c r="X14">
        <v>2.3374100000000002</v>
      </c>
      <c r="Y14">
        <v>2.5310260000000002</v>
      </c>
      <c r="Z14">
        <v>2.6339899999999998</v>
      </c>
      <c r="AA14">
        <v>2.714677</v>
      </c>
      <c r="AB14">
        <v>2.7189109999999999</v>
      </c>
      <c r="AC14">
        <v>2.679176</v>
      </c>
      <c r="AD14">
        <v>2.6557930000000001</v>
      </c>
      <c r="AE14">
        <v>2.6109420000000001</v>
      </c>
      <c r="AF14">
        <v>2.5719259999999999</v>
      </c>
      <c r="AG14">
        <v>2.5420180000000001</v>
      </c>
      <c r="AH14">
        <v>2.5895549999999998</v>
      </c>
      <c r="AI14">
        <v>2.603526</v>
      </c>
      <c r="AJ14">
        <v>2.5362900000000002</v>
      </c>
      <c r="AK14">
        <v>2.4376769999999999</v>
      </c>
      <c r="AL14">
        <v>2.3669500000000001</v>
      </c>
      <c r="AM14">
        <v>2.3386130000000001</v>
      </c>
      <c r="AN14">
        <v>2.3039999999999998</v>
      </c>
      <c r="AO14">
        <v>2.2515540000000001</v>
      </c>
      <c r="AP14">
        <v>2.2038540000000002</v>
      </c>
      <c r="AQ14">
        <v>2.1504639999999999</v>
      </c>
    </row>
    <row r="15" spans="1:43" x14ac:dyDescent="0.25">
      <c r="A15" t="s">
        <v>11</v>
      </c>
      <c r="B15" t="s">
        <v>8</v>
      </c>
      <c r="C15" s="13">
        <v>7.2146330760128921</v>
      </c>
      <c r="D15" s="13">
        <v>6.7590396787123188</v>
      </c>
      <c r="E15" s="13">
        <v>4.8126921868409474</v>
      </c>
      <c r="F15" s="13">
        <v>6.0267139856312832</v>
      </c>
      <c r="G15" s="13">
        <v>6.5332482987966625</v>
      </c>
      <c r="H15" s="13">
        <v>4.2834864127316594</v>
      </c>
      <c r="I15" s="13">
        <v>3.5443835743986463</v>
      </c>
      <c r="J15" s="13">
        <v>4.1952504305202671</v>
      </c>
      <c r="K15" s="13">
        <v>4.3117016969307889</v>
      </c>
      <c r="L15" s="13">
        <v>3.5556913977321183</v>
      </c>
      <c r="M15" s="13">
        <v>3.1170105258419452</v>
      </c>
      <c r="N15" s="13">
        <v>6.2959380705421193</v>
      </c>
      <c r="O15" s="13">
        <v>7.8164372108969982</v>
      </c>
      <c r="P15" s="13">
        <v>3.3002907447614516</v>
      </c>
      <c r="Q15">
        <v>2.8636940000000002</v>
      </c>
      <c r="R15">
        <v>2.777358</v>
      </c>
      <c r="S15">
        <v>2.712186</v>
      </c>
      <c r="T15">
        <v>2.7173690000000001</v>
      </c>
      <c r="U15">
        <v>2.8609420000000001</v>
      </c>
      <c r="V15">
        <v>2.9643419999999998</v>
      </c>
      <c r="W15">
        <v>3.2282069999999998</v>
      </c>
      <c r="X15">
        <v>3.3930980000000002</v>
      </c>
      <c r="Y15">
        <v>3.8143440000000002</v>
      </c>
      <c r="Z15">
        <v>3.9502350000000002</v>
      </c>
      <c r="AA15">
        <v>4.0495770000000002</v>
      </c>
      <c r="AB15">
        <v>4.1069399999999998</v>
      </c>
      <c r="AC15">
        <v>4.1548489999999996</v>
      </c>
      <c r="AD15">
        <v>4.1592710000000004</v>
      </c>
      <c r="AE15">
        <v>4.1974320000000001</v>
      </c>
      <c r="AF15">
        <v>4.1738390000000001</v>
      </c>
      <c r="AG15">
        <v>4.2917139999999998</v>
      </c>
      <c r="AH15">
        <v>4.4041430000000004</v>
      </c>
      <c r="AI15">
        <v>4.4469979999999998</v>
      </c>
      <c r="AJ15">
        <v>4.3912599999999999</v>
      </c>
      <c r="AK15">
        <v>4.3282610000000004</v>
      </c>
      <c r="AL15">
        <v>4.3649060000000004</v>
      </c>
      <c r="AM15">
        <v>4.4176099999999998</v>
      </c>
      <c r="AN15">
        <v>4.4070109999999998</v>
      </c>
      <c r="AO15">
        <v>4.4343240000000002</v>
      </c>
      <c r="AP15">
        <v>4.3896629999999996</v>
      </c>
      <c r="AQ15">
        <v>4.3765169999999998</v>
      </c>
    </row>
    <row r="16" spans="1:43" x14ac:dyDescent="0.25">
      <c r="A16" t="s">
        <v>11</v>
      </c>
      <c r="B16" t="s">
        <v>1</v>
      </c>
      <c r="C16" s="13">
        <v>7.7704294706317905</v>
      </c>
      <c r="D16" s="13">
        <v>6.976605820209147</v>
      </c>
      <c r="E16" s="13">
        <v>5.1256876548060566</v>
      </c>
      <c r="F16" s="13">
        <v>8.0681247014345718</v>
      </c>
      <c r="G16" s="13">
        <v>8.7692015299317383</v>
      </c>
      <c r="H16" s="13">
        <v>5.6641394518249273</v>
      </c>
      <c r="I16" s="13">
        <v>5.1482992248515442</v>
      </c>
      <c r="J16" s="13">
        <v>5.3552845357250467</v>
      </c>
      <c r="K16" s="13">
        <v>5.8812537804770528</v>
      </c>
      <c r="L16" s="13">
        <v>5.4764620814960274</v>
      </c>
      <c r="M16" s="13">
        <v>4.8945565983197907</v>
      </c>
      <c r="N16" s="13">
        <v>7.9478482779536375</v>
      </c>
      <c r="O16" s="13">
        <v>8.928908763767998</v>
      </c>
      <c r="P16" s="13">
        <v>5.1823565263009943</v>
      </c>
      <c r="Q16">
        <v>3.9428860000000001</v>
      </c>
      <c r="R16">
        <v>3.5459070000000001</v>
      </c>
      <c r="S16">
        <v>3.4243570000000001</v>
      </c>
      <c r="T16">
        <v>3.179948</v>
      </c>
      <c r="U16">
        <v>2.9636279999999999</v>
      </c>
      <c r="V16">
        <v>2.8975789999999999</v>
      </c>
      <c r="W16">
        <v>2.7611889999999999</v>
      </c>
      <c r="X16">
        <v>2.747252</v>
      </c>
      <c r="Y16">
        <v>3.035183</v>
      </c>
      <c r="Z16">
        <v>3.1190329999999999</v>
      </c>
      <c r="AA16">
        <v>3.2350240000000001</v>
      </c>
      <c r="AB16">
        <v>3.332014</v>
      </c>
      <c r="AC16">
        <v>3.3451620000000002</v>
      </c>
      <c r="AD16">
        <v>3.3316119999999998</v>
      </c>
      <c r="AE16">
        <v>3.3455569999999999</v>
      </c>
      <c r="AF16">
        <v>3.2177419999999999</v>
      </c>
      <c r="AG16">
        <v>3.1723659999999998</v>
      </c>
      <c r="AH16">
        <v>3.3393860000000002</v>
      </c>
      <c r="AI16">
        <v>3.3919130000000002</v>
      </c>
      <c r="AJ16">
        <v>3.3305799999999999</v>
      </c>
      <c r="AK16">
        <v>3.113896</v>
      </c>
      <c r="AL16">
        <v>2.985338</v>
      </c>
      <c r="AM16">
        <v>2.9840339999999999</v>
      </c>
      <c r="AN16">
        <v>2.9340760000000001</v>
      </c>
      <c r="AO16">
        <v>2.8921480000000002</v>
      </c>
      <c r="AP16">
        <v>2.8653119999999999</v>
      </c>
      <c r="AQ16">
        <v>2.7904080000000002</v>
      </c>
    </row>
    <row r="17" spans="1:43" x14ac:dyDescent="0.25">
      <c r="A17" t="s">
        <v>11</v>
      </c>
      <c r="B17" t="s">
        <v>9</v>
      </c>
      <c r="C17" s="13">
        <v>6.9220750255495984</v>
      </c>
      <c r="D17" s="13">
        <v>6.5230920278203843</v>
      </c>
      <c r="E17" s="13">
        <v>4.981962977951806</v>
      </c>
      <c r="F17" s="13">
        <v>5.9665944124189529</v>
      </c>
      <c r="G17" s="13">
        <v>6.6528652175327077</v>
      </c>
      <c r="H17" s="13">
        <v>4.318227658544374</v>
      </c>
      <c r="I17" s="13">
        <v>3.6670861353628124</v>
      </c>
      <c r="J17" s="13">
        <v>4.1891583924729243</v>
      </c>
      <c r="K17" s="13">
        <v>4.3173220450187113</v>
      </c>
      <c r="L17" s="13">
        <v>3.7488371122416662</v>
      </c>
      <c r="M17" s="13">
        <v>3.3050449558401449</v>
      </c>
      <c r="N17" s="13">
        <v>6.7127102023085996</v>
      </c>
      <c r="O17" s="13">
        <v>8.0403981934499988</v>
      </c>
      <c r="P17" s="13">
        <v>3.4993815992435451</v>
      </c>
      <c r="Q17">
        <v>3.2089129999999999</v>
      </c>
      <c r="R17">
        <v>2.8879830000000002</v>
      </c>
      <c r="S17">
        <v>2.8039070000000001</v>
      </c>
      <c r="T17">
        <v>2.824805</v>
      </c>
      <c r="U17">
        <v>2.9937969999999998</v>
      </c>
      <c r="V17">
        <v>3.117639</v>
      </c>
      <c r="W17">
        <v>3.4056890000000002</v>
      </c>
      <c r="X17">
        <v>3.5869689999999999</v>
      </c>
      <c r="Y17">
        <v>4.0139579999999997</v>
      </c>
      <c r="Z17">
        <v>4.2088559999999999</v>
      </c>
      <c r="AA17">
        <v>4.3347709999999999</v>
      </c>
      <c r="AB17">
        <v>4.3635590000000004</v>
      </c>
      <c r="AC17">
        <v>4.2881650000000002</v>
      </c>
      <c r="AD17">
        <v>4.2516970000000001</v>
      </c>
      <c r="AE17">
        <v>4.234464</v>
      </c>
      <c r="AF17">
        <v>4.2811110000000001</v>
      </c>
      <c r="AG17">
        <v>4.3760579999999996</v>
      </c>
      <c r="AH17">
        <v>4.470148</v>
      </c>
      <c r="AI17">
        <v>4.5164879999999998</v>
      </c>
      <c r="AJ17">
        <v>4.5043670000000002</v>
      </c>
      <c r="AK17">
        <v>4.4248609999999999</v>
      </c>
      <c r="AL17">
        <v>4.5113120000000002</v>
      </c>
      <c r="AM17">
        <v>4.5390519999999999</v>
      </c>
      <c r="AN17">
        <v>4.5573069999999998</v>
      </c>
      <c r="AO17">
        <v>4.586201</v>
      </c>
      <c r="AP17">
        <v>4.5652109999999997</v>
      </c>
      <c r="AQ17">
        <v>4.5567190000000002</v>
      </c>
    </row>
    <row r="18" spans="1:43" x14ac:dyDescent="0.25">
      <c r="A18" t="s">
        <v>11</v>
      </c>
      <c r="B18" t="s">
        <v>5</v>
      </c>
      <c r="C18" s="13">
        <v>8.6455874780352708</v>
      </c>
      <c r="D18" s="13">
        <v>7.6126830897202264</v>
      </c>
      <c r="E18" s="13">
        <v>5.7441421781360376</v>
      </c>
      <c r="F18" s="13">
        <v>6.4880622749653449</v>
      </c>
      <c r="G18" s="13">
        <v>7.2176795218036691</v>
      </c>
      <c r="H18" s="13">
        <v>5.2096382675996793</v>
      </c>
      <c r="I18" s="13">
        <v>4.5142801956919705</v>
      </c>
      <c r="J18" s="13">
        <v>4.872571007251846</v>
      </c>
      <c r="K18" s="13">
        <v>4.6931878148266497</v>
      </c>
      <c r="L18" s="13">
        <v>4.0989786868068077</v>
      </c>
      <c r="M18" s="13">
        <v>3.5356090652751919</v>
      </c>
      <c r="N18" s="13">
        <v>6.632815784981398</v>
      </c>
      <c r="O18" s="13">
        <v>8.5436920603439983</v>
      </c>
      <c r="P18" s="13">
        <v>3.743502878313373</v>
      </c>
      <c r="Q18">
        <v>3.481087</v>
      </c>
      <c r="R18">
        <v>3.3710450000000001</v>
      </c>
      <c r="S18">
        <v>3.2229549999999998</v>
      </c>
      <c r="T18">
        <v>3.3525170000000002</v>
      </c>
      <c r="U18">
        <v>3.4716170000000002</v>
      </c>
      <c r="V18">
        <v>3.5365829999999998</v>
      </c>
      <c r="W18">
        <v>3.637365</v>
      </c>
      <c r="X18">
        <v>3.5104989999999998</v>
      </c>
      <c r="Y18">
        <v>3.9642780000000002</v>
      </c>
      <c r="Z18">
        <v>3.8483930000000002</v>
      </c>
      <c r="AA18">
        <v>3.874689</v>
      </c>
      <c r="AB18">
        <v>3.8865270000000001</v>
      </c>
      <c r="AC18">
        <v>3.8715220000000001</v>
      </c>
      <c r="AD18">
        <v>3.8260730000000001</v>
      </c>
      <c r="AE18">
        <v>3.8066499999999999</v>
      </c>
      <c r="AF18">
        <v>3.7871730000000001</v>
      </c>
      <c r="AG18">
        <v>3.8260420000000002</v>
      </c>
      <c r="AH18">
        <v>3.9027959999999999</v>
      </c>
      <c r="AI18">
        <v>3.9095369999999998</v>
      </c>
      <c r="AJ18">
        <v>3.8985439999999998</v>
      </c>
      <c r="AK18">
        <v>3.86422</v>
      </c>
      <c r="AL18">
        <v>3.8474219999999999</v>
      </c>
      <c r="AM18">
        <v>3.857837</v>
      </c>
      <c r="AN18">
        <v>4.0069419999999996</v>
      </c>
      <c r="AO18">
        <v>4.0034989999999997</v>
      </c>
      <c r="AP18">
        <v>3.9665599999999999</v>
      </c>
      <c r="AQ18">
        <v>3.9077769999999998</v>
      </c>
    </row>
    <row r="19" spans="1:43" x14ac:dyDescent="0.25">
      <c r="A19" t="s">
        <v>11</v>
      </c>
      <c r="B19" t="s">
        <v>4</v>
      </c>
      <c r="C19" s="13">
        <v>7.7342882889509372</v>
      </c>
      <c r="D19" s="13">
        <v>7.1878303510036723</v>
      </c>
      <c r="E19" s="13">
        <v>4.8369681523439674</v>
      </c>
      <c r="F19" s="13">
        <v>6.217397451918627</v>
      </c>
      <c r="G19" s="13">
        <v>7.3986154289774317</v>
      </c>
      <c r="H19" s="13">
        <v>4.4282165978108354</v>
      </c>
      <c r="I19" s="13">
        <v>3.5004066167190326</v>
      </c>
      <c r="J19" s="13">
        <v>4.4694969626417187</v>
      </c>
      <c r="K19" s="13">
        <v>4.3344101992629396</v>
      </c>
      <c r="L19" s="13">
        <v>3.3526081812708477</v>
      </c>
      <c r="M19" s="13">
        <v>2.8541639768890446</v>
      </c>
      <c r="N19" s="13">
        <v>5.6582080131603583</v>
      </c>
      <c r="O19" s="13">
        <v>7.6279947132059984</v>
      </c>
      <c r="P19" s="13">
        <v>3.0219888187301205</v>
      </c>
      <c r="Q19">
        <v>2.6217730000000001</v>
      </c>
      <c r="R19">
        <v>2.708847</v>
      </c>
      <c r="S19">
        <v>2.6646329999999998</v>
      </c>
      <c r="T19">
        <v>2.7025730000000001</v>
      </c>
      <c r="U19">
        <v>2.822133</v>
      </c>
      <c r="V19">
        <v>2.905383</v>
      </c>
      <c r="W19">
        <v>3.080562</v>
      </c>
      <c r="X19">
        <v>3.1227710000000002</v>
      </c>
      <c r="Y19">
        <v>3.5014599999999998</v>
      </c>
      <c r="Z19">
        <v>3.5167989999999998</v>
      </c>
      <c r="AA19">
        <v>3.576314</v>
      </c>
      <c r="AB19">
        <v>3.6325530000000001</v>
      </c>
      <c r="AC19">
        <v>3.6516980000000001</v>
      </c>
      <c r="AD19">
        <v>3.584962</v>
      </c>
      <c r="AE19">
        <v>3.559825</v>
      </c>
      <c r="AF19">
        <v>3.5072770000000002</v>
      </c>
      <c r="AG19">
        <v>3.599415</v>
      </c>
      <c r="AH19">
        <v>3.7173889999999998</v>
      </c>
      <c r="AI19">
        <v>3.73176</v>
      </c>
      <c r="AJ19">
        <v>3.7035589999999998</v>
      </c>
      <c r="AK19">
        <v>3.6468180000000001</v>
      </c>
      <c r="AL19">
        <v>3.6517979999999999</v>
      </c>
      <c r="AM19">
        <v>3.7209150000000002</v>
      </c>
      <c r="AN19">
        <v>3.6992910000000001</v>
      </c>
      <c r="AO19">
        <v>3.6895159999999998</v>
      </c>
      <c r="AP19">
        <v>3.6552479999999998</v>
      </c>
      <c r="AQ19">
        <v>3.5918899999999998</v>
      </c>
    </row>
    <row r="20" spans="1:43" x14ac:dyDescent="0.25">
      <c r="A20" t="s">
        <v>11</v>
      </c>
      <c r="B20" t="s">
        <v>7</v>
      </c>
      <c r="C20" s="13">
        <v>6.6138470952172108</v>
      </c>
      <c r="D20" s="13">
        <v>6.0219340804874886</v>
      </c>
      <c r="E20" s="13">
        <v>4.0862421172094443</v>
      </c>
      <c r="F20" s="13">
        <v>5.3117252570087867</v>
      </c>
      <c r="G20" s="13">
        <v>6.1419078301821202</v>
      </c>
      <c r="H20" s="13">
        <v>3.7096081029697383</v>
      </c>
      <c r="I20" s="13">
        <v>3.0974697864685288</v>
      </c>
      <c r="J20" s="13">
        <v>3.8143408225748088</v>
      </c>
      <c r="K20" s="13">
        <v>3.7845594665654065</v>
      </c>
      <c r="L20" s="13">
        <v>2.8508973312239743</v>
      </c>
      <c r="M20" s="13">
        <v>2.3729458382439561</v>
      </c>
      <c r="N20" s="13">
        <v>5.4412251413813983</v>
      </c>
      <c r="O20" s="13">
        <v>7.3605166775279978</v>
      </c>
      <c r="P20" s="13">
        <v>2.5124750535327007</v>
      </c>
      <c r="Q20">
        <v>2.2106150000000002</v>
      </c>
      <c r="R20">
        <v>2.2186140000000001</v>
      </c>
      <c r="S20">
        <v>2.0592959999999998</v>
      </c>
      <c r="T20">
        <v>2.0339040000000002</v>
      </c>
      <c r="U20">
        <v>2.178029</v>
      </c>
      <c r="V20">
        <v>2.2799839999999998</v>
      </c>
      <c r="W20">
        <v>2.440423</v>
      </c>
      <c r="X20">
        <v>2.5441889999999998</v>
      </c>
      <c r="Y20">
        <v>2.8430960000000001</v>
      </c>
      <c r="Z20">
        <v>2.9263029999999999</v>
      </c>
      <c r="AA20">
        <v>2.9592139999999998</v>
      </c>
      <c r="AB20">
        <v>2.9907569999999999</v>
      </c>
      <c r="AC20">
        <v>2.995825</v>
      </c>
      <c r="AD20">
        <v>2.9551940000000001</v>
      </c>
      <c r="AE20">
        <v>2.903788</v>
      </c>
      <c r="AF20">
        <v>2.8950230000000001</v>
      </c>
      <c r="AG20">
        <v>2.9543159999999999</v>
      </c>
      <c r="AH20">
        <v>3.0313729999999999</v>
      </c>
      <c r="AI20">
        <v>3.0681099999999999</v>
      </c>
      <c r="AJ20">
        <v>3.0633110000000001</v>
      </c>
      <c r="AK20">
        <v>3.049417</v>
      </c>
      <c r="AL20">
        <v>3.0602450000000001</v>
      </c>
      <c r="AM20">
        <v>3.1017839999999999</v>
      </c>
      <c r="AN20">
        <v>3.0615800000000002</v>
      </c>
      <c r="AO20">
        <v>3.06514</v>
      </c>
      <c r="AP20">
        <v>3.0416439999999998</v>
      </c>
      <c r="AQ20">
        <v>3.0104220000000002</v>
      </c>
    </row>
    <row r="21" spans="1:43" s="4" customFormat="1" x14ac:dyDescent="0.25">
      <c r="A21" s="4" t="s">
        <v>11</v>
      </c>
      <c r="B21" s="4" t="s">
        <v>10</v>
      </c>
      <c r="C21" s="13">
        <v>7.4287481187538065</v>
      </c>
      <c r="D21" s="13">
        <v>6.7037262880480606</v>
      </c>
      <c r="E21" s="13">
        <v>4.7928849172414028</v>
      </c>
      <c r="F21" s="13">
        <v>5.997271557758733</v>
      </c>
      <c r="G21" s="13">
        <v>6.7346123247610592</v>
      </c>
      <c r="H21" s="13">
        <v>4.2877225773695686</v>
      </c>
      <c r="I21" s="13">
        <v>3.7483609608280575</v>
      </c>
      <c r="J21" s="13">
        <v>4.3257650457209484</v>
      </c>
      <c r="K21" s="13">
        <v>4.2709841218622042</v>
      </c>
      <c r="L21" s="13">
        <v>3.5042841007231984</v>
      </c>
      <c r="M21" s="13">
        <v>2.9645882827064347</v>
      </c>
      <c r="N21" s="13">
        <v>5.9572671857168391</v>
      </c>
      <c r="O21" s="13">
        <v>7.5198121225289984</v>
      </c>
      <c r="P21" s="13">
        <v>3.1389060737295731</v>
      </c>
      <c r="Q21">
        <v>2.7179669999999998</v>
      </c>
      <c r="R21">
        <v>2.6831839999999998</v>
      </c>
      <c r="S21">
        <v>2.5481530000000001</v>
      </c>
      <c r="T21">
        <v>2.5562320000000001</v>
      </c>
      <c r="U21">
        <v>2.6556739999999999</v>
      </c>
      <c r="V21">
        <v>2.7328600000000001</v>
      </c>
      <c r="W21">
        <v>2.8562949999999998</v>
      </c>
      <c r="X21">
        <v>2.8866999999999998</v>
      </c>
      <c r="Y21">
        <v>3.2152980000000002</v>
      </c>
      <c r="Z21">
        <v>3.2623880000000001</v>
      </c>
      <c r="AA21">
        <v>3.3154279999999998</v>
      </c>
      <c r="AB21">
        <v>3.3408679999999999</v>
      </c>
      <c r="AC21">
        <v>3.3392400000000002</v>
      </c>
      <c r="AD21">
        <v>3.311086</v>
      </c>
      <c r="AE21">
        <v>3.2859929999999999</v>
      </c>
      <c r="AF21">
        <v>3.2698520000000002</v>
      </c>
      <c r="AG21">
        <v>3.3216079999999999</v>
      </c>
      <c r="AH21">
        <v>3.391181</v>
      </c>
      <c r="AI21">
        <v>3.406933</v>
      </c>
      <c r="AJ21">
        <v>3.3668330000000002</v>
      </c>
      <c r="AK21">
        <v>3.3064499999999999</v>
      </c>
      <c r="AL21">
        <v>3.2917719999999999</v>
      </c>
      <c r="AM21">
        <v>3.3040370000000001</v>
      </c>
      <c r="AN21">
        <v>3.3022849999999999</v>
      </c>
      <c r="AO21">
        <v>3.2958889999999998</v>
      </c>
      <c r="AP21">
        <v>3.2604829999999998</v>
      </c>
      <c r="AQ21">
        <v>3.2284630000000001</v>
      </c>
    </row>
    <row r="22" spans="1:43" x14ac:dyDescent="0.25">
      <c r="A22" t="s">
        <v>16</v>
      </c>
      <c r="B22" t="s">
        <v>3</v>
      </c>
      <c r="C22" s="13">
        <v>7.090994508717106</v>
      </c>
      <c r="D22" s="13">
        <v>6.4152443188854322</v>
      </c>
      <c r="E22" s="13">
        <v>4.3183962877048669</v>
      </c>
      <c r="F22" s="13">
        <v>5.6445716047461643</v>
      </c>
      <c r="G22" s="13">
        <v>6.9015738325704152</v>
      </c>
      <c r="H22" s="13">
        <v>3.7284692761307245</v>
      </c>
      <c r="I22" s="13">
        <v>3.6043292687159338</v>
      </c>
      <c r="J22" s="13">
        <v>4.2513316214100101</v>
      </c>
      <c r="K22" s="13">
        <v>4.0830605958860016</v>
      </c>
      <c r="L22" s="13">
        <v>3.0741546450235249</v>
      </c>
      <c r="M22" s="13">
        <v>2.4336007775091524</v>
      </c>
      <c r="N22" s="13">
        <v>5.2120498678617588</v>
      </c>
      <c r="O22" s="13">
        <v>6.7368104551439982</v>
      </c>
      <c r="P22" s="13">
        <v>2.5766965032266906</v>
      </c>
      <c r="Q22">
        <v>2.306225</v>
      </c>
      <c r="R22">
        <v>3.7578860000000001</v>
      </c>
      <c r="S22">
        <v>3.8001</v>
      </c>
      <c r="T22">
        <v>3.9304410000000001</v>
      </c>
      <c r="U22">
        <v>4.1682050000000004</v>
      </c>
      <c r="V22">
        <v>4.6205800000000004</v>
      </c>
      <c r="W22">
        <v>5.4836080000000003</v>
      </c>
      <c r="X22">
        <v>6.0321550000000004</v>
      </c>
      <c r="Y22">
        <v>6.9009749999999999</v>
      </c>
      <c r="Z22">
        <v>7.2431039999999998</v>
      </c>
      <c r="AA22">
        <v>7.4480599999999999</v>
      </c>
      <c r="AB22">
        <v>7.5519230000000004</v>
      </c>
      <c r="AC22">
        <v>7.7289630000000002</v>
      </c>
      <c r="AD22">
        <v>7.5688279999999999</v>
      </c>
      <c r="AE22">
        <v>7.3927480000000001</v>
      </c>
      <c r="AF22">
        <v>7.2979219999999998</v>
      </c>
      <c r="AG22">
        <v>7.3823619999999996</v>
      </c>
      <c r="AH22">
        <v>7.3229389999999999</v>
      </c>
      <c r="AI22">
        <v>7.1993340000000003</v>
      </c>
      <c r="AJ22">
        <v>7.0841609999999999</v>
      </c>
      <c r="AK22">
        <v>7.0902440000000002</v>
      </c>
      <c r="AL22">
        <v>7.1155540000000004</v>
      </c>
      <c r="AM22">
        <v>7.3277749999999999</v>
      </c>
      <c r="AN22">
        <v>7.5644650000000002</v>
      </c>
      <c r="AO22">
        <v>7.8537400000000002</v>
      </c>
      <c r="AP22">
        <v>8.1567819999999998</v>
      </c>
      <c r="AQ22">
        <v>8.4581359999999997</v>
      </c>
    </row>
    <row r="23" spans="1:43" x14ac:dyDescent="0.25">
      <c r="A23" t="s">
        <v>16</v>
      </c>
      <c r="B23" t="s">
        <v>6</v>
      </c>
      <c r="C23" s="13">
        <v>6.8646270393788669</v>
      </c>
      <c r="D23" s="13">
        <v>6.0358029832029461</v>
      </c>
      <c r="E23" s="13">
        <v>4.1713367840510776</v>
      </c>
      <c r="F23" s="13">
        <v>5.4256613490178243</v>
      </c>
      <c r="G23" s="13">
        <v>6.1961337234536131</v>
      </c>
      <c r="H23" s="13">
        <v>3.8318580449735551</v>
      </c>
      <c r="I23" s="13">
        <v>3.3489419294063545</v>
      </c>
      <c r="J23" s="13">
        <v>4.0602410342776896</v>
      </c>
      <c r="K23" s="13">
        <v>4.0259848629389596</v>
      </c>
      <c r="L23" s="13">
        <v>3.2921435015159952</v>
      </c>
      <c r="M23" s="13">
        <v>2.7713175857850891</v>
      </c>
      <c r="N23" s="13">
        <v>5.9408671964317188</v>
      </c>
      <c r="O23" s="13">
        <v>7.9109310773429984</v>
      </c>
      <c r="P23" s="13">
        <v>2.9342710598292521</v>
      </c>
      <c r="Q23">
        <v>2.671443</v>
      </c>
      <c r="R23">
        <v>4.1588589999999996</v>
      </c>
      <c r="S23">
        <v>4.1826670000000004</v>
      </c>
      <c r="T23">
        <v>4.3378110000000003</v>
      </c>
      <c r="U23">
        <v>4.6865800000000002</v>
      </c>
      <c r="V23">
        <v>5.1495420000000003</v>
      </c>
      <c r="W23">
        <v>6.1109400000000003</v>
      </c>
      <c r="X23">
        <v>6.6228800000000003</v>
      </c>
      <c r="Y23">
        <v>7.3927699999999996</v>
      </c>
      <c r="Z23">
        <v>7.728008</v>
      </c>
      <c r="AA23">
        <v>7.8927909999999999</v>
      </c>
      <c r="AB23">
        <v>8.0541879999999999</v>
      </c>
      <c r="AC23">
        <v>8.2534430000000008</v>
      </c>
      <c r="AD23">
        <v>8.2121150000000007</v>
      </c>
      <c r="AE23">
        <v>7.8991439999999997</v>
      </c>
      <c r="AF23">
        <v>8.1101530000000004</v>
      </c>
      <c r="AG23">
        <v>8.0719259999999995</v>
      </c>
      <c r="AH23">
        <v>8.3340879999999995</v>
      </c>
      <c r="AI23">
        <v>8.1413960000000003</v>
      </c>
      <c r="AJ23">
        <v>7.9723930000000003</v>
      </c>
      <c r="AK23">
        <v>8.1796170000000004</v>
      </c>
      <c r="AL23">
        <v>8.1051529999999996</v>
      </c>
      <c r="AM23">
        <v>8.1479009999999992</v>
      </c>
      <c r="AN23">
        <v>8.5137029999999996</v>
      </c>
      <c r="AO23">
        <v>8.7466120000000007</v>
      </c>
      <c r="AP23">
        <v>9.0292499999999993</v>
      </c>
      <c r="AQ23">
        <v>9.3488930000000003</v>
      </c>
    </row>
    <row r="24" spans="1:43" x14ac:dyDescent="0.25">
      <c r="A24" t="s">
        <v>16</v>
      </c>
      <c r="B24" t="s">
        <v>2</v>
      </c>
      <c r="C24" s="13">
        <v>7.8163644994350978</v>
      </c>
      <c r="D24" s="13">
        <v>7.1816098697838058</v>
      </c>
      <c r="E24" s="13">
        <v>4.92095484442806</v>
      </c>
      <c r="F24" s="13">
        <v>6.2217721142422837</v>
      </c>
      <c r="G24" s="13">
        <v>6.7497855572105729</v>
      </c>
      <c r="H24" s="13">
        <v>3.8503199987203129</v>
      </c>
      <c r="I24" s="13">
        <v>3.6610676709662813</v>
      </c>
      <c r="J24" s="13">
        <v>4.1596902485794329</v>
      </c>
      <c r="K24" s="13">
        <v>4.2283623169574369</v>
      </c>
      <c r="L24" s="13">
        <v>3.5693197617014345</v>
      </c>
      <c r="M24" s="13">
        <v>2.9222608833010848</v>
      </c>
      <c r="N24" s="13">
        <v>5.3239298173387199</v>
      </c>
      <c r="O24" s="13">
        <v>6.1751710657979988</v>
      </c>
      <c r="P24" s="13">
        <v>3.0940898232391887</v>
      </c>
      <c r="Q24">
        <v>2.291188</v>
      </c>
      <c r="R24">
        <v>3.6295989999999998</v>
      </c>
      <c r="S24">
        <v>3.8348640000000001</v>
      </c>
      <c r="T24">
        <v>3.8353299999999999</v>
      </c>
      <c r="U24">
        <v>4.0094110000000001</v>
      </c>
      <c r="V24">
        <v>4.4036629999999999</v>
      </c>
      <c r="W24">
        <v>5.1167420000000003</v>
      </c>
      <c r="X24">
        <v>5.6238029999999997</v>
      </c>
      <c r="Y24">
        <v>6.4558770000000001</v>
      </c>
      <c r="Z24">
        <v>6.8163689999999999</v>
      </c>
      <c r="AA24">
        <v>7.0070790000000001</v>
      </c>
      <c r="AB24">
        <v>7.1630310000000001</v>
      </c>
      <c r="AC24">
        <v>7.1374170000000001</v>
      </c>
      <c r="AD24">
        <v>6.9496390000000003</v>
      </c>
      <c r="AE24">
        <v>6.7629149999999996</v>
      </c>
      <c r="AF24">
        <v>6.7378989999999996</v>
      </c>
      <c r="AG24">
        <v>6.6783539999999997</v>
      </c>
      <c r="AH24">
        <v>6.644736</v>
      </c>
      <c r="AI24">
        <v>6.4478559999999998</v>
      </c>
      <c r="AJ24">
        <v>6.3347389999999999</v>
      </c>
      <c r="AK24">
        <v>6.3449059999999999</v>
      </c>
      <c r="AL24">
        <v>6.3519379999999996</v>
      </c>
      <c r="AM24">
        <v>6.4292350000000003</v>
      </c>
      <c r="AN24">
        <v>6.6618959999999996</v>
      </c>
      <c r="AO24">
        <v>6.9159470000000001</v>
      </c>
      <c r="AP24">
        <v>7.2548170000000001</v>
      </c>
      <c r="AQ24">
        <v>7.5822599999999998</v>
      </c>
    </row>
    <row r="25" spans="1:43" x14ac:dyDescent="0.25">
      <c r="A25" t="s">
        <v>16</v>
      </c>
      <c r="B25" t="s">
        <v>8</v>
      </c>
      <c r="C25" s="13">
        <v>7.2146330760128921</v>
      </c>
      <c r="D25" s="13">
        <v>6.7590396787123188</v>
      </c>
      <c r="E25" s="13">
        <v>4.8126921868409474</v>
      </c>
      <c r="F25" s="13">
        <v>6.0267139856312832</v>
      </c>
      <c r="G25" s="13">
        <v>6.5332482987966625</v>
      </c>
      <c r="H25" s="13">
        <v>4.2834864127316594</v>
      </c>
      <c r="I25" s="13">
        <v>3.5443835743986463</v>
      </c>
      <c r="J25" s="13">
        <v>4.1952504305202671</v>
      </c>
      <c r="K25" s="13">
        <v>4.3117016969307889</v>
      </c>
      <c r="L25" s="13">
        <v>3.5556913977321183</v>
      </c>
      <c r="M25" s="13">
        <v>3.1170105258419452</v>
      </c>
      <c r="N25" s="13">
        <v>6.2959380705421193</v>
      </c>
      <c r="O25" s="13">
        <v>7.8164372108969982</v>
      </c>
      <c r="P25" s="13">
        <v>3.3002907447614516</v>
      </c>
      <c r="Q25">
        <v>2.867855</v>
      </c>
      <c r="R25">
        <v>4.1460410000000003</v>
      </c>
      <c r="S25">
        <v>4.1163800000000004</v>
      </c>
      <c r="T25">
        <v>4.2696230000000002</v>
      </c>
      <c r="U25">
        <v>4.6509970000000003</v>
      </c>
      <c r="V25">
        <v>5.207363</v>
      </c>
      <c r="W25">
        <v>6.2199169999999997</v>
      </c>
      <c r="X25">
        <v>6.8236980000000003</v>
      </c>
      <c r="Y25">
        <v>7.8236990000000004</v>
      </c>
      <c r="Z25">
        <v>8.029579</v>
      </c>
      <c r="AA25">
        <v>8.2581910000000001</v>
      </c>
      <c r="AB25">
        <v>8.4441729999999993</v>
      </c>
      <c r="AC25">
        <v>8.7535729999999994</v>
      </c>
      <c r="AD25">
        <v>8.7395209999999999</v>
      </c>
      <c r="AE25">
        <v>8.6732779999999998</v>
      </c>
      <c r="AF25">
        <v>9.00624</v>
      </c>
      <c r="AG25">
        <v>9.0266760000000001</v>
      </c>
      <c r="AH25">
        <v>8.6733530000000005</v>
      </c>
      <c r="AI25">
        <v>8.4620219999999993</v>
      </c>
      <c r="AJ25">
        <v>8.2417020000000001</v>
      </c>
      <c r="AK25">
        <v>8.5078600000000009</v>
      </c>
      <c r="AL25">
        <v>8.6580209999999997</v>
      </c>
      <c r="AM25">
        <v>8.6846990000000002</v>
      </c>
      <c r="AN25">
        <v>9.0640149999999995</v>
      </c>
      <c r="AO25">
        <v>9.5109159999999999</v>
      </c>
      <c r="AP25">
        <v>9.8334869999999999</v>
      </c>
      <c r="AQ25">
        <v>10.207070999999999</v>
      </c>
    </row>
    <row r="26" spans="1:43" x14ac:dyDescent="0.25">
      <c r="A26" t="s">
        <v>16</v>
      </c>
      <c r="B26" t="s">
        <v>1</v>
      </c>
      <c r="C26" s="13">
        <v>7.7704294706317905</v>
      </c>
      <c r="D26" s="13">
        <v>6.976605820209147</v>
      </c>
      <c r="E26" s="13">
        <v>5.1256876548060566</v>
      </c>
      <c r="F26" s="13">
        <v>8.0681247014345718</v>
      </c>
      <c r="G26" s="13">
        <v>8.7692015299317383</v>
      </c>
      <c r="H26" s="13">
        <v>5.6641394518249273</v>
      </c>
      <c r="I26" s="13">
        <v>5.1482992248515442</v>
      </c>
      <c r="J26" s="13">
        <v>5.3552845357250467</v>
      </c>
      <c r="K26" s="13">
        <v>5.8812537804770528</v>
      </c>
      <c r="L26" s="13">
        <v>5.4764620814960274</v>
      </c>
      <c r="M26" s="13">
        <v>4.8945565983197907</v>
      </c>
      <c r="N26" s="13">
        <v>7.9478482779536375</v>
      </c>
      <c r="O26" s="13">
        <v>8.928908763767998</v>
      </c>
      <c r="P26" s="13">
        <v>5.1823565263009943</v>
      </c>
      <c r="Q26">
        <v>3.9510209999999999</v>
      </c>
      <c r="R26">
        <v>4.8258559999999999</v>
      </c>
      <c r="S26">
        <v>4.6057829999999997</v>
      </c>
      <c r="T26">
        <v>4.3438270000000001</v>
      </c>
      <c r="U26">
        <v>4.3952169999999997</v>
      </c>
      <c r="V26">
        <v>4.7839929999999997</v>
      </c>
      <c r="W26">
        <v>5.4299949999999999</v>
      </c>
      <c r="X26">
        <v>6.0237270000000001</v>
      </c>
      <c r="Y26">
        <v>6.7694840000000003</v>
      </c>
      <c r="Z26">
        <v>7.2394619999999996</v>
      </c>
      <c r="AA26">
        <v>7.5731840000000004</v>
      </c>
      <c r="AB26">
        <v>7.6702279999999998</v>
      </c>
      <c r="AC26">
        <v>7.708939</v>
      </c>
      <c r="AD26">
        <v>7.5586039999999999</v>
      </c>
      <c r="AE26">
        <v>7.3439880000000004</v>
      </c>
      <c r="AF26">
        <v>7.2511159999999997</v>
      </c>
      <c r="AG26">
        <v>7.2187060000000001</v>
      </c>
      <c r="AH26">
        <v>7.0659580000000002</v>
      </c>
      <c r="AI26">
        <v>6.9633919999999998</v>
      </c>
      <c r="AJ26">
        <v>6.8085310000000003</v>
      </c>
      <c r="AK26">
        <v>6.5033709999999996</v>
      </c>
      <c r="AL26">
        <v>6.3494289999999998</v>
      </c>
      <c r="AM26">
        <v>6.509525</v>
      </c>
      <c r="AN26">
        <v>6.6898179999999998</v>
      </c>
      <c r="AO26">
        <v>6.9189850000000002</v>
      </c>
      <c r="AP26">
        <v>7.2379220000000002</v>
      </c>
      <c r="AQ26">
        <v>7.5539509999999996</v>
      </c>
    </row>
    <row r="27" spans="1:43" x14ac:dyDescent="0.25">
      <c r="A27" t="s">
        <v>16</v>
      </c>
      <c r="B27" t="s">
        <v>9</v>
      </c>
      <c r="C27" s="13">
        <v>6.9220750255495984</v>
      </c>
      <c r="D27" s="13">
        <v>6.5230920278203843</v>
      </c>
      <c r="E27" s="13">
        <v>4.981962977951806</v>
      </c>
      <c r="F27" s="13">
        <v>5.9665944124189529</v>
      </c>
      <c r="G27" s="13">
        <v>6.6528652175327077</v>
      </c>
      <c r="H27" s="13">
        <v>4.318227658544374</v>
      </c>
      <c r="I27" s="13">
        <v>3.6670861353628124</v>
      </c>
      <c r="J27" s="13">
        <v>4.1891583924729243</v>
      </c>
      <c r="K27" s="13">
        <v>4.3173220450187113</v>
      </c>
      <c r="L27" s="13">
        <v>3.7488371122416662</v>
      </c>
      <c r="M27" s="13">
        <v>3.3050449558401449</v>
      </c>
      <c r="N27" s="13">
        <v>6.7127102023085996</v>
      </c>
      <c r="O27" s="13">
        <v>8.0403981934499988</v>
      </c>
      <c r="P27" s="13">
        <v>3.4993815992435451</v>
      </c>
      <c r="Q27">
        <v>3.2138499999999999</v>
      </c>
      <c r="R27">
        <v>4.2479040000000001</v>
      </c>
      <c r="S27">
        <v>4.1191959999999996</v>
      </c>
      <c r="T27">
        <v>4.2259539999999998</v>
      </c>
      <c r="U27">
        <v>4.6940080000000002</v>
      </c>
      <c r="V27">
        <v>5.2104739999999996</v>
      </c>
      <c r="W27">
        <v>6.2085270000000001</v>
      </c>
      <c r="X27">
        <v>6.8871479999999998</v>
      </c>
      <c r="Y27">
        <v>7.7951889999999997</v>
      </c>
      <c r="Z27">
        <v>8.0109929999999991</v>
      </c>
      <c r="AA27">
        <v>8.1961809999999993</v>
      </c>
      <c r="AB27">
        <v>8.2780699999999996</v>
      </c>
      <c r="AC27">
        <v>8.4918019999999999</v>
      </c>
      <c r="AD27">
        <v>8.407489</v>
      </c>
      <c r="AE27">
        <v>8.3228989999999996</v>
      </c>
      <c r="AF27">
        <v>8.5919120000000007</v>
      </c>
      <c r="AG27">
        <v>8.6618899999999996</v>
      </c>
      <c r="AH27">
        <v>8.6449379999999998</v>
      </c>
      <c r="AI27">
        <v>8.3815089999999994</v>
      </c>
      <c r="AJ27">
        <v>8.2529240000000001</v>
      </c>
      <c r="AK27">
        <v>8.4469949999999994</v>
      </c>
      <c r="AL27">
        <v>8.5748440000000006</v>
      </c>
      <c r="AM27">
        <v>8.6313739999999992</v>
      </c>
      <c r="AN27">
        <v>8.9645810000000008</v>
      </c>
      <c r="AO27">
        <v>9.2874219999999994</v>
      </c>
      <c r="AP27">
        <v>9.5286010000000001</v>
      </c>
      <c r="AQ27">
        <v>9.8219650000000005</v>
      </c>
    </row>
    <row r="28" spans="1:43" x14ac:dyDescent="0.25">
      <c r="A28" t="s">
        <v>16</v>
      </c>
      <c r="B28" t="s">
        <v>5</v>
      </c>
      <c r="C28" s="13">
        <v>8.6455874780352708</v>
      </c>
      <c r="D28" s="13">
        <v>7.6126830897202264</v>
      </c>
      <c r="E28" s="13">
        <v>5.7441421781360376</v>
      </c>
      <c r="F28" s="13">
        <v>6.4880622749653449</v>
      </c>
      <c r="G28" s="13">
        <v>7.2176795218036691</v>
      </c>
      <c r="H28" s="13">
        <v>5.2096382675996793</v>
      </c>
      <c r="I28" s="13">
        <v>4.5142801956919705</v>
      </c>
      <c r="J28" s="13">
        <v>4.872571007251846</v>
      </c>
      <c r="K28" s="13">
        <v>4.6931878148266497</v>
      </c>
      <c r="L28" s="13">
        <v>4.0989786868068077</v>
      </c>
      <c r="M28" s="13">
        <v>3.5356090652751919</v>
      </c>
      <c r="N28" s="13">
        <v>6.632815784981398</v>
      </c>
      <c r="O28" s="13">
        <v>8.5436920603439983</v>
      </c>
      <c r="P28" s="13">
        <v>3.743502878313373</v>
      </c>
      <c r="Q28">
        <v>3.470091</v>
      </c>
      <c r="R28">
        <v>4.7881359999999997</v>
      </c>
      <c r="S28">
        <v>4.7904289999999996</v>
      </c>
      <c r="T28">
        <v>4.9249049999999999</v>
      </c>
      <c r="U28">
        <v>5.1888100000000001</v>
      </c>
      <c r="V28">
        <v>5.6058130000000004</v>
      </c>
      <c r="W28">
        <v>6.4926139999999997</v>
      </c>
      <c r="X28">
        <v>7.0707420000000001</v>
      </c>
      <c r="Y28">
        <v>7.8025339999999996</v>
      </c>
      <c r="Z28">
        <v>8.1188889999999994</v>
      </c>
      <c r="AA28">
        <v>8.3268299999999993</v>
      </c>
      <c r="AB28">
        <v>8.4869149999999998</v>
      </c>
      <c r="AC28">
        <v>8.7264040000000005</v>
      </c>
      <c r="AD28">
        <v>8.848077</v>
      </c>
      <c r="AE28">
        <v>8.7402160000000002</v>
      </c>
      <c r="AF28">
        <v>8.9106199999999998</v>
      </c>
      <c r="AG28">
        <v>8.8365340000000003</v>
      </c>
      <c r="AH28">
        <v>8.8629800000000003</v>
      </c>
      <c r="AI28">
        <v>8.7539350000000002</v>
      </c>
      <c r="AJ28">
        <v>8.6124860000000005</v>
      </c>
      <c r="AK28">
        <v>8.5903770000000002</v>
      </c>
      <c r="AL28">
        <v>8.3925260000000002</v>
      </c>
      <c r="AM28">
        <v>8.4388970000000008</v>
      </c>
      <c r="AN28">
        <v>8.6875219999999995</v>
      </c>
      <c r="AO28">
        <v>9.0209910000000004</v>
      </c>
      <c r="AP28">
        <v>9.2871020000000009</v>
      </c>
      <c r="AQ28">
        <v>9.6272800000000007</v>
      </c>
    </row>
    <row r="29" spans="1:43" x14ac:dyDescent="0.25">
      <c r="A29" t="s">
        <v>16</v>
      </c>
      <c r="B29" t="s">
        <v>4</v>
      </c>
      <c r="C29" s="13">
        <v>7.7342882889509372</v>
      </c>
      <c r="D29" s="13">
        <v>7.1878303510036723</v>
      </c>
      <c r="E29" s="13">
        <v>4.8369681523439674</v>
      </c>
      <c r="F29" s="13">
        <v>6.217397451918627</v>
      </c>
      <c r="G29" s="13">
        <v>7.3986154289774317</v>
      </c>
      <c r="H29" s="13">
        <v>4.4282165978108354</v>
      </c>
      <c r="I29" s="13">
        <v>3.5004066167190326</v>
      </c>
      <c r="J29" s="13">
        <v>4.4694969626417187</v>
      </c>
      <c r="K29" s="13">
        <v>4.3344101992629396</v>
      </c>
      <c r="L29" s="13">
        <v>3.3526081812708477</v>
      </c>
      <c r="M29" s="13">
        <v>2.8541639768890446</v>
      </c>
      <c r="N29" s="13">
        <v>5.6582080131603583</v>
      </c>
      <c r="O29" s="13">
        <v>7.6279947132059984</v>
      </c>
      <c r="P29" s="13">
        <v>3.0219888187301205</v>
      </c>
      <c r="Q29">
        <v>2.6286909999999999</v>
      </c>
      <c r="R29">
        <v>4.0328179999999998</v>
      </c>
      <c r="S29">
        <v>4.0001610000000003</v>
      </c>
      <c r="T29">
        <v>4.2001410000000003</v>
      </c>
      <c r="U29">
        <v>4.5136050000000001</v>
      </c>
      <c r="V29">
        <v>5.0942420000000004</v>
      </c>
      <c r="W29">
        <v>6.1844159999999997</v>
      </c>
      <c r="X29">
        <v>6.6683240000000001</v>
      </c>
      <c r="Y29">
        <v>7.6245580000000004</v>
      </c>
      <c r="Z29">
        <v>7.82219</v>
      </c>
      <c r="AA29">
        <v>7.8726820000000002</v>
      </c>
      <c r="AB29">
        <v>7.904687</v>
      </c>
      <c r="AC29">
        <v>8.0529989999999998</v>
      </c>
      <c r="AD29">
        <v>7.9824190000000002</v>
      </c>
      <c r="AE29">
        <v>7.8349820000000001</v>
      </c>
      <c r="AF29">
        <v>7.6452070000000001</v>
      </c>
      <c r="AG29">
        <v>7.8223190000000002</v>
      </c>
      <c r="AH29">
        <v>7.732145</v>
      </c>
      <c r="AI29">
        <v>7.6114860000000002</v>
      </c>
      <c r="AJ29">
        <v>7.540718</v>
      </c>
      <c r="AK29">
        <v>7.5521830000000003</v>
      </c>
      <c r="AL29">
        <v>7.6105489999999998</v>
      </c>
      <c r="AM29">
        <v>7.8332629999999996</v>
      </c>
      <c r="AN29">
        <v>8.0531140000000008</v>
      </c>
      <c r="AO29">
        <v>8.3398380000000003</v>
      </c>
      <c r="AP29">
        <v>8.6347819999999995</v>
      </c>
      <c r="AQ29">
        <v>8.921481</v>
      </c>
    </row>
    <row r="30" spans="1:43" x14ac:dyDescent="0.25">
      <c r="A30" t="s">
        <v>16</v>
      </c>
      <c r="B30" t="s">
        <v>7</v>
      </c>
      <c r="C30" s="13">
        <v>6.6138470952172108</v>
      </c>
      <c r="D30" s="13">
        <v>6.0219340804874886</v>
      </c>
      <c r="E30" s="13">
        <v>4.0862421172094443</v>
      </c>
      <c r="F30" s="13">
        <v>5.3117252570087867</v>
      </c>
      <c r="G30" s="13">
        <v>6.1419078301821202</v>
      </c>
      <c r="H30" s="13">
        <v>3.7096081029697383</v>
      </c>
      <c r="I30" s="13">
        <v>3.0974697864685288</v>
      </c>
      <c r="J30" s="13">
        <v>3.8143408225748088</v>
      </c>
      <c r="K30" s="13">
        <v>3.7845594665654065</v>
      </c>
      <c r="L30" s="13">
        <v>2.8508973312239743</v>
      </c>
      <c r="M30" s="13">
        <v>2.3729458382439561</v>
      </c>
      <c r="N30" s="13">
        <v>5.4412251413813983</v>
      </c>
      <c r="O30" s="13">
        <v>7.3605166775279978</v>
      </c>
      <c r="P30" s="13">
        <v>2.5124750535327007</v>
      </c>
      <c r="Q30">
        <v>2.2149489999999998</v>
      </c>
      <c r="R30">
        <v>3.6992240000000001</v>
      </c>
      <c r="S30">
        <v>3.6671040000000001</v>
      </c>
      <c r="T30">
        <v>3.8083499999999999</v>
      </c>
      <c r="U30">
        <v>4.1756929999999999</v>
      </c>
      <c r="V30">
        <v>4.7164770000000003</v>
      </c>
      <c r="W30">
        <v>5.7407000000000004</v>
      </c>
      <c r="X30">
        <v>6.3232989999999996</v>
      </c>
      <c r="Y30">
        <v>7.1231140000000002</v>
      </c>
      <c r="Z30">
        <v>7.4090449999999999</v>
      </c>
      <c r="AA30">
        <v>7.6091129999999998</v>
      </c>
      <c r="AB30">
        <v>7.6513</v>
      </c>
      <c r="AC30">
        <v>7.9560630000000003</v>
      </c>
      <c r="AD30">
        <v>8.0472249999999992</v>
      </c>
      <c r="AE30">
        <v>7.9631670000000003</v>
      </c>
      <c r="AF30">
        <v>8.226623</v>
      </c>
      <c r="AG30">
        <v>8.2321729999999995</v>
      </c>
      <c r="AH30">
        <v>8.1895380000000007</v>
      </c>
      <c r="AI30">
        <v>8.0846660000000004</v>
      </c>
      <c r="AJ30">
        <v>7.9429299999999996</v>
      </c>
      <c r="AK30">
        <v>8.1833519999999993</v>
      </c>
      <c r="AL30">
        <v>8.2434890000000003</v>
      </c>
      <c r="AM30">
        <v>8.3168710000000008</v>
      </c>
      <c r="AN30">
        <v>8.6301989999999993</v>
      </c>
      <c r="AO30">
        <v>9.0397440000000007</v>
      </c>
      <c r="AP30">
        <v>9.3840810000000001</v>
      </c>
      <c r="AQ30">
        <v>9.7051610000000004</v>
      </c>
    </row>
    <row r="31" spans="1:43" s="4" customFormat="1" x14ac:dyDescent="0.25">
      <c r="A31" s="4" t="s">
        <v>16</v>
      </c>
      <c r="B31" s="4" t="s">
        <v>10</v>
      </c>
      <c r="C31" s="13">
        <v>7.4287481187538065</v>
      </c>
      <c r="D31" s="13">
        <v>6.7037262880480606</v>
      </c>
      <c r="E31" s="13">
        <v>4.7928849172414028</v>
      </c>
      <c r="F31" s="13">
        <v>5.997271557758733</v>
      </c>
      <c r="G31" s="13">
        <v>6.7346123247610592</v>
      </c>
      <c r="H31" s="13">
        <v>4.2877225773695686</v>
      </c>
      <c r="I31" s="13">
        <v>3.7483609608280575</v>
      </c>
      <c r="J31" s="13">
        <v>4.3257650457209484</v>
      </c>
      <c r="K31" s="13">
        <v>4.2709841218622042</v>
      </c>
      <c r="L31" s="13">
        <v>3.5042841007231984</v>
      </c>
      <c r="M31" s="13">
        <v>2.9645882827064347</v>
      </c>
      <c r="N31" s="13">
        <v>5.9572671857168391</v>
      </c>
      <c r="O31" s="13">
        <v>7.5198121225289984</v>
      </c>
      <c r="P31" s="13">
        <v>3.1389060737295731</v>
      </c>
      <c r="Q31">
        <v>2.7197610000000001</v>
      </c>
      <c r="R31">
        <v>4.077515</v>
      </c>
      <c r="S31">
        <v>4.1087400000000001</v>
      </c>
      <c r="T31">
        <v>4.2087000000000003</v>
      </c>
      <c r="U31">
        <v>4.4981689999999999</v>
      </c>
      <c r="V31">
        <v>4.9592700000000001</v>
      </c>
      <c r="W31">
        <v>5.8689039999999997</v>
      </c>
      <c r="X31">
        <v>6.4327220000000001</v>
      </c>
      <c r="Y31">
        <v>7.2855270000000001</v>
      </c>
      <c r="Z31">
        <v>7.5910529999999996</v>
      </c>
      <c r="AA31">
        <v>7.7930789999999996</v>
      </c>
      <c r="AB31">
        <v>7.9190569999999996</v>
      </c>
      <c r="AC31">
        <v>8.1221010000000007</v>
      </c>
      <c r="AD31">
        <v>8.1293340000000001</v>
      </c>
      <c r="AE31">
        <v>7.9998899999999997</v>
      </c>
      <c r="AF31">
        <v>8.1126310000000004</v>
      </c>
      <c r="AG31">
        <v>8.1274029999999993</v>
      </c>
      <c r="AH31">
        <v>8.08535</v>
      </c>
      <c r="AI31">
        <v>7.9479040000000003</v>
      </c>
      <c r="AJ31">
        <v>7.7962210000000001</v>
      </c>
      <c r="AK31">
        <v>7.8995300000000004</v>
      </c>
      <c r="AL31">
        <v>7.9028330000000002</v>
      </c>
      <c r="AM31">
        <v>7.9672159999999996</v>
      </c>
      <c r="AN31">
        <v>8.2505220000000001</v>
      </c>
      <c r="AO31">
        <v>8.5853380000000001</v>
      </c>
      <c r="AP31">
        <v>8.8874139999999997</v>
      </c>
      <c r="AQ31">
        <v>9.2186009999999996</v>
      </c>
    </row>
    <row r="32" spans="1:43" x14ac:dyDescent="0.25">
      <c r="P32" t="s">
        <v>31</v>
      </c>
    </row>
    <row r="33" spans="3:5" x14ac:dyDescent="0.25">
      <c r="C33" s="13">
        <v>1.0711889999999997</v>
      </c>
      <c r="D33" t="s">
        <v>30</v>
      </c>
    </row>
    <row r="34" spans="3:5" x14ac:dyDescent="0.25">
      <c r="E34" s="13"/>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Q32"/>
  <sheetViews>
    <sheetView zoomScaleNormal="100" workbookViewId="0">
      <pane xSplit="2" ySplit="1" topLeftCell="S2" activePane="bottomRight" state="frozen"/>
      <selection pane="topRight" activeCell="C1" sqref="C1"/>
      <selection pane="bottomLeft" activeCell="A2" sqref="A2"/>
      <selection pane="bottomRight" activeCell="U5" sqref="U5"/>
    </sheetView>
  </sheetViews>
  <sheetFormatPr defaultRowHeight="15" x14ac:dyDescent="0.25"/>
  <cols>
    <col min="1" max="1" width="20.28515625" bestFit="1" customWidth="1"/>
    <col min="2" max="2" width="18.5703125" customWidth="1"/>
    <col min="3" max="3" width="8.85546875" customWidth="1"/>
  </cols>
  <sheetData>
    <row r="1" spans="1:43" s="1" customFormat="1" x14ac:dyDescent="0.25">
      <c r="A1" s="1" t="s">
        <v>12</v>
      </c>
      <c r="C1" s="1">
        <v>2010</v>
      </c>
      <c r="D1" s="2">
        <v>2011</v>
      </c>
      <c r="E1" s="2">
        <v>2012</v>
      </c>
      <c r="F1" s="2">
        <v>2013</v>
      </c>
      <c r="G1" s="2">
        <v>2014</v>
      </c>
      <c r="H1" s="2">
        <v>2015</v>
      </c>
      <c r="I1" s="2">
        <v>2016</v>
      </c>
      <c r="J1" s="2">
        <v>2017</v>
      </c>
      <c r="K1" s="2">
        <v>2018</v>
      </c>
      <c r="L1" s="2">
        <v>2019</v>
      </c>
      <c r="M1" s="2">
        <v>2020</v>
      </c>
      <c r="N1" s="2">
        <v>2021</v>
      </c>
      <c r="O1" s="2">
        <v>2022</v>
      </c>
      <c r="P1" s="2">
        <v>2023</v>
      </c>
      <c r="Q1" s="2">
        <v>2024</v>
      </c>
      <c r="R1" s="2">
        <v>2025</v>
      </c>
      <c r="S1" s="2">
        <v>2026</v>
      </c>
      <c r="T1" s="2">
        <v>2027</v>
      </c>
      <c r="U1" s="2">
        <v>2028</v>
      </c>
      <c r="V1" s="2">
        <v>2029</v>
      </c>
      <c r="W1" s="2">
        <v>2030</v>
      </c>
      <c r="X1" s="2">
        <v>2031</v>
      </c>
      <c r="Y1" s="2">
        <v>2032</v>
      </c>
      <c r="Z1" s="2">
        <v>2033</v>
      </c>
      <c r="AA1" s="2">
        <v>2034</v>
      </c>
      <c r="AB1" s="2">
        <v>2035</v>
      </c>
      <c r="AC1" s="2">
        <v>2036</v>
      </c>
      <c r="AD1" s="2">
        <v>2037</v>
      </c>
      <c r="AE1" s="2">
        <v>2038</v>
      </c>
      <c r="AF1" s="2">
        <v>2039</v>
      </c>
      <c r="AG1" s="2">
        <v>2040</v>
      </c>
      <c r="AH1" s="2">
        <v>2041</v>
      </c>
      <c r="AI1" s="2">
        <v>2042</v>
      </c>
      <c r="AJ1" s="2">
        <v>2043</v>
      </c>
      <c r="AK1" s="2">
        <v>2044</v>
      </c>
      <c r="AL1" s="2">
        <v>2045</v>
      </c>
      <c r="AM1" s="2">
        <v>2046</v>
      </c>
      <c r="AN1" s="2">
        <v>2047</v>
      </c>
      <c r="AO1" s="2">
        <v>2048</v>
      </c>
      <c r="AP1" s="2">
        <v>2049</v>
      </c>
      <c r="AQ1" s="2">
        <v>2050</v>
      </c>
    </row>
    <row r="2" spans="1:43" x14ac:dyDescent="0.25">
      <c r="A2" t="s">
        <v>0</v>
      </c>
      <c r="B2" t="s">
        <v>3</v>
      </c>
      <c r="C2" s="3">
        <v>0.32600000000000001</v>
      </c>
      <c r="D2" s="3">
        <v>0.39500000000000002</v>
      </c>
      <c r="E2" s="3">
        <v>0.65559999999999996</v>
      </c>
      <c r="F2" s="3">
        <v>0.4753</v>
      </c>
      <c r="G2">
        <v>0.48286000000000001</v>
      </c>
      <c r="H2">
        <v>0.71331</v>
      </c>
      <c r="I2">
        <v>0.91213999999999995</v>
      </c>
      <c r="J2">
        <v>0.81025999999999998</v>
      </c>
      <c r="K2">
        <v>1.00257</v>
      </c>
      <c r="L2">
        <v>1.185716</v>
      </c>
      <c r="M2">
        <v>1.262778</v>
      </c>
      <c r="N2">
        <v>1.082247</v>
      </c>
      <c r="O2">
        <v>1.477695</v>
      </c>
      <c r="P2">
        <f t="shared" ref="P2:P6" si="0">1.0588*M2</f>
        <v>1.3370293463999998</v>
      </c>
      <c r="Q2">
        <v>1.803768</v>
      </c>
      <c r="R2">
        <v>1.77915</v>
      </c>
      <c r="S2">
        <v>1.709301</v>
      </c>
      <c r="T2">
        <v>1.9309320000000001</v>
      </c>
      <c r="U2">
        <v>2.042475</v>
      </c>
      <c r="V2">
        <v>2.2502979999999999</v>
      </c>
      <c r="W2">
        <v>2.2716440000000002</v>
      </c>
      <c r="X2">
        <v>2.2498490000000002</v>
      </c>
      <c r="Y2">
        <v>2.7530939999999999</v>
      </c>
      <c r="Z2">
        <v>2.6102099999999999</v>
      </c>
      <c r="AA2">
        <v>2.315766</v>
      </c>
      <c r="AB2">
        <v>2.12818</v>
      </c>
      <c r="AC2">
        <v>1.923508</v>
      </c>
      <c r="AD2">
        <v>1.718799</v>
      </c>
      <c r="AE2">
        <v>1.530699</v>
      </c>
      <c r="AF2">
        <v>1.492246</v>
      </c>
      <c r="AG2">
        <v>1.5383279999999999</v>
      </c>
      <c r="AH2">
        <v>1.606427</v>
      </c>
      <c r="AI2">
        <v>1.6368469999999999</v>
      </c>
      <c r="AJ2">
        <v>1.703603</v>
      </c>
      <c r="AK2">
        <v>1.7839430000000001</v>
      </c>
      <c r="AL2">
        <v>1.7435389999999999</v>
      </c>
      <c r="AM2">
        <v>1.8152360000000001</v>
      </c>
      <c r="AN2">
        <v>1.6374569999999999</v>
      </c>
      <c r="AO2">
        <v>1.609448</v>
      </c>
      <c r="AP2">
        <v>1.6164780000000001</v>
      </c>
      <c r="AQ2">
        <v>1.626209</v>
      </c>
    </row>
    <row r="3" spans="1:43" x14ac:dyDescent="0.25">
      <c r="A3" t="s">
        <v>0</v>
      </c>
      <c r="B3" t="s">
        <v>6</v>
      </c>
      <c r="C3" s="3">
        <v>0.56699999999999995</v>
      </c>
      <c r="D3" s="3">
        <v>0.63900000000000001</v>
      </c>
      <c r="E3" s="3">
        <v>0.79730000000000001</v>
      </c>
      <c r="F3" s="3">
        <v>0.62895999999999996</v>
      </c>
      <c r="G3">
        <v>0.67191000000000001</v>
      </c>
      <c r="H3">
        <v>0.87541999999999998</v>
      </c>
      <c r="I3">
        <v>0.96189999999999998</v>
      </c>
      <c r="J3">
        <v>0.91090000000000004</v>
      </c>
      <c r="K3">
        <v>0.99460199999999999</v>
      </c>
      <c r="L3">
        <v>1.0298240000000001</v>
      </c>
      <c r="M3">
        <v>1.047204</v>
      </c>
      <c r="N3">
        <v>0.913914</v>
      </c>
      <c r="O3">
        <v>0.90047999999999995</v>
      </c>
      <c r="P3">
        <f t="shared" si="0"/>
        <v>1.1087795951999999</v>
      </c>
      <c r="Q3">
        <v>1.120752</v>
      </c>
      <c r="R3">
        <v>1.098819</v>
      </c>
      <c r="S3">
        <v>1.090066</v>
      </c>
      <c r="T3">
        <v>1.157464</v>
      </c>
      <c r="U3">
        <v>1.1600189999999999</v>
      </c>
      <c r="V3">
        <v>1.124709</v>
      </c>
      <c r="W3">
        <v>1.0376780000000001</v>
      </c>
      <c r="X3">
        <v>0.98910500000000001</v>
      </c>
      <c r="Y3">
        <v>1.0459860000000001</v>
      </c>
      <c r="Z3">
        <v>0.95582400000000001</v>
      </c>
      <c r="AA3">
        <v>0.86662600000000001</v>
      </c>
      <c r="AB3">
        <v>0.82489299999999999</v>
      </c>
      <c r="AC3">
        <v>0.77185199999999998</v>
      </c>
      <c r="AD3">
        <v>0.71401499999999996</v>
      </c>
      <c r="AE3">
        <v>0.65488599999999997</v>
      </c>
      <c r="AF3">
        <v>0.60303399999999996</v>
      </c>
      <c r="AG3">
        <v>0.60342799999999996</v>
      </c>
      <c r="AH3">
        <v>0.61517100000000002</v>
      </c>
      <c r="AI3">
        <v>0.61597000000000002</v>
      </c>
      <c r="AJ3">
        <v>0.59066799999999997</v>
      </c>
      <c r="AK3">
        <v>0.60403099999999998</v>
      </c>
      <c r="AL3">
        <v>0.61012500000000003</v>
      </c>
      <c r="AM3">
        <v>0.60825799999999997</v>
      </c>
      <c r="AN3">
        <v>0.593526</v>
      </c>
      <c r="AO3">
        <v>0.60525499999999999</v>
      </c>
      <c r="AP3">
        <v>0.63659200000000005</v>
      </c>
      <c r="AQ3">
        <v>0.64345200000000002</v>
      </c>
    </row>
    <row r="4" spans="1:43" x14ac:dyDescent="0.25">
      <c r="A4" t="s">
        <v>0</v>
      </c>
      <c r="B4" t="s">
        <v>2</v>
      </c>
      <c r="C4" s="3">
        <v>0.89</v>
      </c>
      <c r="D4" s="3">
        <v>0.96499999999999997</v>
      </c>
      <c r="E4" s="3">
        <v>1.15412</v>
      </c>
      <c r="F4" s="3">
        <v>1.0663400000000001</v>
      </c>
      <c r="G4">
        <v>1.13148</v>
      </c>
      <c r="H4">
        <v>1.23645</v>
      </c>
      <c r="I4">
        <v>1.3445</v>
      </c>
      <c r="J4">
        <v>1.1961599999999999</v>
      </c>
      <c r="K4">
        <v>1.3000640000000001</v>
      </c>
      <c r="L4">
        <v>1.451554</v>
      </c>
      <c r="M4">
        <v>1.684218</v>
      </c>
      <c r="N4">
        <v>1.654776</v>
      </c>
      <c r="O4">
        <v>1.9982930000000001</v>
      </c>
      <c r="P4">
        <f t="shared" si="0"/>
        <v>1.7832500184</v>
      </c>
      <c r="Q4">
        <v>1.9478690000000001</v>
      </c>
      <c r="R4">
        <v>1.629397</v>
      </c>
      <c r="S4">
        <v>1.645651</v>
      </c>
      <c r="T4">
        <v>1.664455</v>
      </c>
      <c r="U4">
        <v>1.601191</v>
      </c>
      <c r="V4">
        <v>1.5677110000000001</v>
      </c>
      <c r="W4">
        <v>1.6388020000000001</v>
      </c>
      <c r="X4">
        <v>1.537363</v>
      </c>
      <c r="Y4">
        <v>1.6317429999999999</v>
      </c>
      <c r="Z4">
        <v>1.5850949999999999</v>
      </c>
      <c r="AA4">
        <v>1.527352</v>
      </c>
      <c r="AB4">
        <v>1.5467379999999999</v>
      </c>
      <c r="AC4">
        <v>1.5301119999999999</v>
      </c>
      <c r="AD4">
        <v>1.3732930000000001</v>
      </c>
      <c r="AE4">
        <v>1.2082839999999999</v>
      </c>
      <c r="AF4">
        <v>1.1292690000000001</v>
      </c>
      <c r="AG4">
        <v>1.1317759999999999</v>
      </c>
      <c r="AH4">
        <v>1.1575599999999999</v>
      </c>
      <c r="AI4">
        <v>1.0983780000000001</v>
      </c>
      <c r="AJ4">
        <v>1.162631</v>
      </c>
      <c r="AK4">
        <v>1.2054210000000001</v>
      </c>
      <c r="AL4">
        <v>1.299167</v>
      </c>
      <c r="AM4">
        <v>1.281461</v>
      </c>
      <c r="AN4">
        <v>1.3777900000000001</v>
      </c>
      <c r="AO4">
        <v>1.4202969999999999</v>
      </c>
      <c r="AP4">
        <v>1.3455999999999999</v>
      </c>
      <c r="AQ4">
        <v>1.3426849999999999</v>
      </c>
    </row>
    <row r="5" spans="1:43" x14ac:dyDescent="0.25">
      <c r="A5" t="s">
        <v>0</v>
      </c>
      <c r="B5" t="s">
        <v>8</v>
      </c>
      <c r="C5" s="3">
        <v>0.64100000000000001</v>
      </c>
      <c r="D5" s="3">
        <v>0.56699999999999995</v>
      </c>
      <c r="E5" s="3">
        <v>0.66283000000000003</v>
      </c>
      <c r="F5" s="3">
        <v>0.65071999999999997</v>
      </c>
      <c r="G5">
        <v>0.64890999999999999</v>
      </c>
      <c r="H5">
        <v>0.75092000000000003</v>
      </c>
      <c r="I5">
        <v>0.76576</v>
      </c>
      <c r="J5">
        <v>0.69033</v>
      </c>
      <c r="K5">
        <v>0.76025900000000002</v>
      </c>
      <c r="L5">
        <v>0.98821499999999995</v>
      </c>
      <c r="M5">
        <v>0.95476099999999997</v>
      </c>
      <c r="N5">
        <v>0.94724699999999995</v>
      </c>
      <c r="O5">
        <v>0.94774400000000003</v>
      </c>
      <c r="P5">
        <f t="shared" si="0"/>
        <v>1.0109009467999999</v>
      </c>
      <c r="Q5">
        <v>1.202134</v>
      </c>
      <c r="R5">
        <v>1.0950310000000001</v>
      </c>
      <c r="S5">
        <v>1.009045</v>
      </c>
      <c r="T5">
        <v>1.0128999999999999</v>
      </c>
      <c r="U5">
        <v>0.97060299999999999</v>
      </c>
      <c r="V5">
        <v>0.961866</v>
      </c>
      <c r="W5">
        <v>1.036249</v>
      </c>
      <c r="X5">
        <v>1.0626439999999999</v>
      </c>
      <c r="Y5">
        <v>1.1317379999999999</v>
      </c>
      <c r="Z5">
        <v>0.94535599999999997</v>
      </c>
      <c r="AA5">
        <v>0.87227200000000005</v>
      </c>
      <c r="AB5">
        <v>0.893621</v>
      </c>
      <c r="AC5">
        <v>0.88212299999999999</v>
      </c>
      <c r="AD5">
        <v>0.84600399999999998</v>
      </c>
      <c r="AE5">
        <v>0.83451299999999995</v>
      </c>
      <c r="AF5">
        <v>0.85331100000000004</v>
      </c>
      <c r="AG5">
        <v>0.86345000000000005</v>
      </c>
      <c r="AH5">
        <v>0.86281099999999999</v>
      </c>
      <c r="AI5">
        <v>0.91581999999999997</v>
      </c>
      <c r="AJ5">
        <v>0.91259199999999996</v>
      </c>
      <c r="AK5">
        <v>0.93906900000000004</v>
      </c>
      <c r="AL5">
        <v>0.95205700000000004</v>
      </c>
      <c r="AM5">
        <v>0.91686199999999995</v>
      </c>
      <c r="AN5">
        <v>0.90692899999999999</v>
      </c>
      <c r="AO5">
        <v>0.95783099999999999</v>
      </c>
      <c r="AP5">
        <v>0.99867300000000003</v>
      </c>
      <c r="AQ5">
        <v>1.0368900000000001</v>
      </c>
    </row>
    <row r="6" spans="1:43" x14ac:dyDescent="0.25">
      <c r="A6" t="s">
        <v>0</v>
      </c>
      <c r="B6" t="s">
        <v>1</v>
      </c>
      <c r="C6" s="3">
        <v>0.42</v>
      </c>
      <c r="D6" s="3">
        <v>0.45600000000000002</v>
      </c>
      <c r="E6" s="3">
        <v>0.44768000000000002</v>
      </c>
      <c r="F6" s="3">
        <v>0.37154999999999999</v>
      </c>
      <c r="G6">
        <v>0.34175</v>
      </c>
      <c r="H6">
        <v>0.39761000000000002</v>
      </c>
      <c r="I6">
        <v>0.39317999999999997</v>
      </c>
      <c r="J6">
        <v>0.37141000000000002</v>
      </c>
      <c r="K6">
        <v>0.40040700000000001</v>
      </c>
      <c r="L6">
        <v>0.33865099999999998</v>
      </c>
      <c r="M6">
        <v>0.36085299999999998</v>
      </c>
      <c r="N6">
        <v>0.34459200000000001</v>
      </c>
      <c r="O6">
        <v>0.36677300000000002</v>
      </c>
      <c r="P6">
        <v>0.38207115639999994</v>
      </c>
      <c r="Q6">
        <v>0.45162400000000003</v>
      </c>
      <c r="R6">
        <v>0.40260099999999999</v>
      </c>
      <c r="S6">
        <v>0.30718400000000001</v>
      </c>
      <c r="T6">
        <v>0.26345200000000002</v>
      </c>
      <c r="U6">
        <v>0.24343400000000001</v>
      </c>
      <c r="V6">
        <v>0.22344900000000001</v>
      </c>
      <c r="W6">
        <v>0.17243700000000001</v>
      </c>
      <c r="X6">
        <v>0.19362799999999999</v>
      </c>
      <c r="Y6">
        <v>0.21022299999999999</v>
      </c>
      <c r="Z6">
        <v>0.20238</v>
      </c>
      <c r="AA6">
        <v>0.189251</v>
      </c>
      <c r="AB6">
        <v>0.19251499999999999</v>
      </c>
      <c r="AC6">
        <v>0.19736699999999999</v>
      </c>
      <c r="AD6">
        <v>0.18956899999999999</v>
      </c>
      <c r="AE6">
        <v>0.194608</v>
      </c>
      <c r="AF6">
        <v>0.18354999999999999</v>
      </c>
      <c r="AG6">
        <v>0.19137100000000001</v>
      </c>
      <c r="AH6">
        <v>0.19237499999999999</v>
      </c>
      <c r="AI6">
        <v>0.203848</v>
      </c>
      <c r="AJ6">
        <v>0.20794799999999999</v>
      </c>
      <c r="AK6">
        <v>0.183532</v>
      </c>
      <c r="AL6">
        <v>0.14163100000000001</v>
      </c>
      <c r="AM6">
        <v>0.157335</v>
      </c>
      <c r="AN6">
        <v>0.15898799999999999</v>
      </c>
      <c r="AO6">
        <v>0.16229199999999999</v>
      </c>
      <c r="AP6">
        <v>0.17421200000000001</v>
      </c>
      <c r="AQ6">
        <v>0.16508500000000001</v>
      </c>
    </row>
    <row r="7" spans="1:43" x14ac:dyDescent="0.25">
      <c r="A7" t="s">
        <v>0</v>
      </c>
      <c r="B7" t="s">
        <v>9</v>
      </c>
      <c r="C7" s="3">
        <v>0.98899999999999999</v>
      </c>
      <c r="D7" s="3">
        <v>0.76600000000000001</v>
      </c>
      <c r="E7" s="3">
        <v>1.0445500000000001</v>
      </c>
      <c r="F7" s="3">
        <v>1.06898</v>
      </c>
      <c r="G7">
        <v>1.0737300000000001</v>
      </c>
      <c r="H7">
        <v>1.08443</v>
      </c>
      <c r="I7">
        <v>0.91791</v>
      </c>
      <c r="J7">
        <v>0.84089999999999998</v>
      </c>
      <c r="K7">
        <v>0.87173500000000004</v>
      </c>
      <c r="L7">
        <v>0.83400300000000005</v>
      </c>
      <c r="M7">
        <v>0.84768100000000002</v>
      </c>
      <c r="N7">
        <v>0.88703399999999999</v>
      </c>
      <c r="O7">
        <v>0.85017500000000001</v>
      </c>
      <c r="P7">
        <f t="shared" ref="P7" si="1">1.0588*M7</f>
        <v>0.89752464279999999</v>
      </c>
      <c r="Q7">
        <v>1.0269790000000001</v>
      </c>
      <c r="R7">
        <v>0.855043</v>
      </c>
      <c r="S7">
        <v>0.75134500000000004</v>
      </c>
      <c r="T7">
        <v>0.718387</v>
      </c>
      <c r="U7">
        <v>0.77647600000000006</v>
      </c>
      <c r="V7">
        <v>0.82492699999999997</v>
      </c>
      <c r="W7">
        <v>0.89458400000000005</v>
      </c>
      <c r="X7">
        <v>0.94784299999999999</v>
      </c>
      <c r="Y7">
        <v>1.0000899999999999</v>
      </c>
      <c r="Z7">
        <v>0.93092900000000001</v>
      </c>
      <c r="AA7">
        <v>0.94797500000000001</v>
      </c>
      <c r="AB7">
        <v>0.93330900000000006</v>
      </c>
      <c r="AC7">
        <v>0.88803600000000005</v>
      </c>
      <c r="AD7">
        <v>0.82574800000000004</v>
      </c>
      <c r="AE7">
        <v>0.78474999999999995</v>
      </c>
      <c r="AF7">
        <v>0.737564</v>
      </c>
      <c r="AG7">
        <v>0.72335400000000005</v>
      </c>
      <c r="AH7">
        <v>0.72927500000000001</v>
      </c>
      <c r="AI7">
        <v>0.67365200000000003</v>
      </c>
      <c r="AJ7">
        <v>0.70687199999999994</v>
      </c>
      <c r="AK7">
        <v>0.68417700000000004</v>
      </c>
      <c r="AL7">
        <v>0.66288899999999995</v>
      </c>
      <c r="AM7">
        <v>0.61883600000000005</v>
      </c>
      <c r="AN7">
        <v>0.64031800000000005</v>
      </c>
      <c r="AO7">
        <v>0.63765499999999997</v>
      </c>
      <c r="AP7">
        <v>0.62915399999999999</v>
      </c>
      <c r="AQ7">
        <v>0.62118799999999996</v>
      </c>
    </row>
    <row r="8" spans="1:43" x14ac:dyDescent="0.25">
      <c r="A8" t="s">
        <v>0</v>
      </c>
      <c r="B8" t="s">
        <v>5</v>
      </c>
      <c r="C8" s="3">
        <v>1.544</v>
      </c>
      <c r="D8" s="3">
        <v>1.671</v>
      </c>
      <c r="E8" s="3">
        <v>2.0428500000000001</v>
      </c>
      <c r="F8" s="3">
        <v>1.8827100000000001</v>
      </c>
      <c r="G8">
        <v>1.89625</v>
      </c>
      <c r="H8">
        <v>2.3300999999999998</v>
      </c>
      <c r="I8">
        <v>2.46983</v>
      </c>
      <c r="J8">
        <v>2.4758900000000001</v>
      </c>
      <c r="K8">
        <v>2.5355310000000002</v>
      </c>
      <c r="L8">
        <v>2.7902589999999998</v>
      </c>
      <c r="M8">
        <v>2.7680370000000001</v>
      </c>
      <c r="N8">
        <v>2.4687269999999999</v>
      </c>
      <c r="O8">
        <v>2.6053380000000002</v>
      </c>
      <c r="P8">
        <f t="shared" ref="P8" si="2">1.0588*M8</f>
        <v>2.9307975756000002</v>
      </c>
      <c r="Q8">
        <v>2.7711190000000001</v>
      </c>
      <c r="R8">
        <v>2.8394810000000001</v>
      </c>
      <c r="S8">
        <v>2.8022559999999999</v>
      </c>
      <c r="T8">
        <v>2.7864520000000002</v>
      </c>
      <c r="U8">
        <v>2.6769919999999998</v>
      </c>
      <c r="V8">
        <v>2.548651</v>
      </c>
      <c r="W8">
        <v>2.418587</v>
      </c>
      <c r="X8">
        <v>2.1967430000000001</v>
      </c>
      <c r="Y8">
        <v>2.3044190000000002</v>
      </c>
      <c r="Z8">
        <v>2.088257</v>
      </c>
      <c r="AA8">
        <v>1.92241</v>
      </c>
      <c r="AB8">
        <v>1.878592</v>
      </c>
      <c r="AC8">
        <v>1.9265509999999999</v>
      </c>
      <c r="AD8">
        <v>1.718812</v>
      </c>
      <c r="AE8">
        <v>1.7188319999999999</v>
      </c>
      <c r="AF8">
        <v>1.6808350000000001</v>
      </c>
      <c r="AG8">
        <v>1.617794</v>
      </c>
      <c r="AH8">
        <v>1.6193070000000001</v>
      </c>
      <c r="AI8">
        <v>1.5989310000000001</v>
      </c>
      <c r="AJ8">
        <v>1.5548820000000001</v>
      </c>
      <c r="AK8">
        <v>1.4790049999999999</v>
      </c>
      <c r="AL8">
        <v>1.4690719999999999</v>
      </c>
      <c r="AM8">
        <v>1.4232819999999999</v>
      </c>
      <c r="AN8">
        <v>1.3966799999999999</v>
      </c>
      <c r="AO8">
        <v>1.344266</v>
      </c>
      <c r="AP8">
        <v>1.3139270000000001</v>
      </c>
      <c r="AQ8">
        <v>1.3593660000000001</v>
      </c>
    </row>
    <row r="9" spans="1:43" x14ac:dyDescent="0.25">
      <c r="A9" t="s">
        <v>0</v>
      </c>
      <c r="B9" t="s">
        <v>4</v>
      </c>
      <c r="C9" s="3">
        <v>0.124</v>
      </c>
      <c r="D9" s="3">
        <v>0.11700000000000001</v>
      </c>
      <c r="E9" s="3">
        <v>0.17066000000000001</v>
      </c>
      <c r="F9" s="3">
        <v>0.13982</v>
      </c>
      <c r="G9">
        <v>0.10807</v>
      </c>
      <c r="H9">
        <v>0.14716000000000001</v>
      </c>
      <c r="I9">
        <v>0.19192000000000001</v>
      </c>
      <c r="J9">
        <v>0.17219000000000001</v>
      </c>
      <c r="K9">
        <v>0.189613</v>
      </c>
      <c r="L9">
        <v>0.22831399999999999</v>
      </c>
      <c r="M9">
        <v>0.247312</v>
      </c>
      <c r="N9">
        <v>0.19505600000000001</v>
      </c>
      <c r="O9">
        <v>0.25750699999999999</v>
      </c>
      <c r="P9">
        <f t="shared" ref="P9" si="3">1.0588*M9</f>
        <v>0.26185394559999997</v>
      </c>
      <c r="Q9">
        <v>0.32822899999999999</v>
      </c>
      <c r="R9">
        <v>0.33307799999999999</v>
      </c>
      <c r="S9">
        <v>0.29299399999999998</v>
      </c>
      <c r="T9">
        <v>0.34704600000000002</v>
      </c>
      <c r="U9">
        <v>0.36562699999999998</v>
      </c>
      <c r="V9">
        <v>0.40316400000000002</v>
      </c>
      <c r="W9">
        <v>0.45693299999999998</v>
      </c>
      <c r="X9">
        <v>0.43473800000000001</v>
      </c>
      <c r="Y9">
        <v>0.58986700000000003</v>
      </c>
      <c r="Z9">
        <v>0.55311200000000005</v>
      </c>
      <c r="AA9">
        <v>0.410186</v>
      </c>
      <c r="AB9">
        <v>0.37401000000000001</v>
      </c>
      <c r="AC9">
        <v>0.34612500000000002</v>
      </c>
      <c r="AD9">
        <v>0.33281100000000002</v>
      </c>
      <c r="AE9">
        <v>0.30761699999999997</v>
      </c>
      <c r="AF9">
        <v>0.271675</v>
      </c>
      <c r="AG9">
        <v>0.27221699999999999</v>
      </c>
      <c r="AH9">
        <v>0.285775</v>
      </c>
      <c r="AI9">
        <v>0.26448100000000002</v>
      </c>
      <c r="AJ9">
        <v>0.265405</v>
      </c>
      <c r="AK9">
        <v>0.23943700000000001</v>
      </c>
      <c r="AL9">
        <v>0.27829500000000001</v>
      </c>
      <c r="AM9">
        <v>0.28858600000000001</v>
      </c>
      <c r="AN9">
        <v>0.303452</v>
      </c>
      <c r="AO9">
        <v>0.32082500000000003</v>
      </c>
      <c r="AP9">
        <v>0.320191</v>
      </c>
      <c r="AQ9">
        <v>0.33186599999999999</v>
      </c>
    </row>
    <row r="10" spans="1:43" x14ac:dyDescent="0.25">
      <c r="A10" t="s">
        <v>0</v>
      </c>
      <c r="B10" t="s">
        <v>7</v>
      </c>
      <c r="C10" s="3">
        <v>2.0489999999999999</v>
      </c>
      <c r="D10" s="3">
        <v>2.1880000000000002</v>
      </c>
      <c r="E10" s="3">
        <v>2.33724</v>
      </c>
      <c r="F10" s="3">
        <v>2.0754600000000001</v>
      </c>
      <c r="G10">
        <v>2.0256699999999999</v>
      </c>
      <c r="H10">
        <v>2.43411</v>
      </c>
      <c r="I10">
        <v>2.3518400000000002</v>
      </c>
      <c r="J10">
        <v>2.0631699999999999</v>
      </c>
      <c r="K10">
        <v>2.6613069999999999</v>
      </c>
      <c r="L10">
        <v>2.928261</v>
      </c>
      <c r="M10">
        <v>2.940385</v>
      </c>
      <c r="N10">
        <v>2.73224</v>
      </c>
      <c r="O10">
        <v>2.7970090000000001</v>
      </c>
      <c r="P10">
        <f t="shared" ref="P10" si="4">1.0588*M10</f>
        <v>3.1132796379999998</v>
      </c>
      <c r="Q10">
        <v>3.2780909999999999</v>
      </c>
      <c r="R10">
        <v>3.0628609999999998</v>
      </c>
      <c r="S10">
        <v>2.8316720000000002</v>
      </c>
      <c r="T10">
        <v>2.92258</v>
      </c>
      <c r="U10">
        <v>2.856328</v>
      </c>
      <c r="V10">
        <v>2.7639670000000001</v>
      </c>
      <c r="W10">
        <v>2.771827</v>
      </c>
      <c r="X10">
        <v>2.6816580000000001</v>
      </c>
      <c r="Y10">
        <v>2.8314870000000001</v>
      </c>
      <c r="Z10">
        <v>2.650223</v>
      </c>
      <c r="AA10">
        <v>2.548273</v>
      </c>
      <c r="AB10">
        <v>2.1618849999999998</v>
      </c>
      <c r="AC10">
        <v>1.876698</v>
      </c>
      <c r="AD10">
        <v>1.7420690000000001</v>
      </c>
      <c r="AE10">
        <v>1.6611089999999999</v>
      </c>
      <c r="AF10">
        <v>1.6218889999999999</v>
      </c>
      <c r="AG10">
        <v>1.688687</v>
      </c>
      <c r="AH10">
        <v>1.746875</v>
      </c>
      <c r="AI10">
        <v>1.7570969999999999</v>
      </c>
      <c r="AJ10">
        <v>1.737841</v>
      </c>
      <c r="AK10">
        <v>1.767898</v>
      </c>
      <c r="AL10">
        <v>1.7255339999999999</v>
      </c>
      <c r="AM10">
        <v>1.7374099999999999</v>
      </c>
      <c r="AN10">
        <v>1.77373</v>
      </c>
      <c r="AO10">
        <v>1.7559959999999999</v>
      </c>
      <c r="AP10">
        <v>1.718013</v>
      </c>
      <c r="AQ10">
        <v>1.536503</v>
      </c>
    </row>
    <row r="11" spans="1:43" s="16" customFormat="1" x14ac:dyDescent="0.25">
      <c r="A11" s="16" t="s">
        <v>0</v>
      </c>
      <c r="B11" s="16" t="s">
        <v>10</v>
      </c>
      <c r="C11" s="17">
        <v>7.55</v>
      </c>
      <c r="D11" s="17">
        <v>7.76</v>
      </c>
      <c r="E11" s="17">
        <v>9.3128299999999999</v>
      </c>
      <c r="F11" s="17">
        <v>8.3598400000000002</v>
      </c>
      <c r="G11" s="16">
        <v>8.38063</v>
      </c>
      <c r="H11" s="16">
        <v>9.9695099999999996</v>
      </c>
      <c r="I11" s="16">
        <v>10.30898</v>
      </c>
      <c r="J11" s="16">
        <v>9.5312099999999997</v>
      </c>
      <c r="K11" s="16">
        <v>10.744287</v>
      </c>
      <c r="L11" s="16">
        <v>11.774796</v>
      </c>
      <c r="M11" s="16">
        <v>12.113227999999999</v>
      </c>
      <c r="N11" s="16">
        <v>11.228085</v>
      </c>
      <c r="O11" s="16">
        <v>12.201015</v>
      </c>
      <c r="P11" s="16">
        <f t="shared" ref="P3:P31" si="5">1.0588*M11</f>
        <v>12.8254858064</v>
      </c>
      <c r="Q11">
        <v>13.930565</v>
      </c>
      <c r="R11">
        <v>13.095461999999999</v>
      </c>
      <c r="S11">
        <v>12.439513</v>
      </c>
      <c r="T11">
        <v>12.803668</v>
      </c>
      <c r="U11">
        <v>12.693147</v>
      </c>
      <c r="V11">
        <v>12.668742999999999</v>
      </c>
      <c r="W11">
        <v>12.698741</v>
      </c>
      <c r="X11">
        <v>12.293569</v>
      </c>
      <c r="Y11">
        <v>13.498645</v>
      </c>
      <c r="Z11">
        <v>12.521386</v>
      </c>
      <c r="AA11">
        <v>11.600110000000001</v>
      </c>
      <c r="AB11">
        <v>10.933743</v>
      </c>
      <c r="AC11">
        <v>10.342373</v>
      </c>
      <c r="AD11">
        <v>9.4611210000000003</v>
      </c>
      <c r="AE11">
        <v>8.8952969999999993</v>
      </c>
      <c r="AF11">
        <v>8.5733739999999994</v>
      </c>
      <c r="AG11">
        <v>8.6304049999999997</v>
      </c>
      <c r="AH11">
        <v>8.8155760000000001</v>
      </c>
      <c r="AI11">
        <v>8.7650240000000004</v>
      </c>
      <c r="AJ11">
        <v>8.8424429999999994</v>
      </c>
      <c r="AK11">
        <v>8.886514</v>
      </c>
      <c r="AL11">
        <v>8.8823089999999993</v>
      </c>
      <c r="AM11">
        <v>8.8472659999999994</v>
      </c>
      <c r="AN11">
        <v>8.7888719999999996</v>
      </c>
      <c r="AO11">
        <v>8.8138649999999998</v>
      </c>
      <c r="AP11">
        <v>8.7528410000000001</v>
      </c>
      <c r="AQ11">
        <v>8.6632440000000006</v>
      </c>
    </row>
    <row r="12" spans="1:43" s="6" customFormat="1" x14ac:dyDescent="0.25">
      <c r="A12" s="6" t="s">
        <v>11</v>
      </c>
      <c r="B12" s="6" t="s">
        <v>3</v>
      </c>
      <c r="C12" s="18">
        <v>0.32600000000000001</v>
      </c>
      <c r="D12" s="18">
        <v>0.39500000000000002</v>
      </c>
      <c r="E12" s="18">
        <v>0.65559999999999996</v>
      </c>
      <c r="F12" s="18">
        <v>0.4753</v>
      </c>
      <c r="G12" s="6">
        <v>0.48286000000000001</v>
      </c>
      <c r="H12" s="6">
        <v>0.71331</v>
      </c>
      <c r="I12" s="6">
        <v>0.91213999999999995</v>
      </c>
      <c r="J12" s="6">
        <v>0.81025999999999998</v>
      </c>
      <c r="K12" s="6">
        <v>1.00257</v>
      </c>
      <c r="L12" s="6">
        <v>1.185716</v>
      </c>
      <c r="M12" s="6">
        <v>1.262778</v>
      </c>
      <c r="N12" s="6">
        <v>1.082247</v>
      </c>
      <c r="O12" s="6">
        <v>1.477695</v>
      </c>
      <c r="P12" s="6">
        <f t="shared" si="5"/>
        <v>1.3370293463999998</v>
      </c>
      <c r="Q12" s="6">
        <v>1.8072170000000001</v>
      </c>
      <c r="R12" s="6">
        <v>1.7219869999999999</v>
      </c>
      <c r="S12" s="6">
        <v>2.0429940000000002</v>
      </c>
      <c r="T12" s="6">
        <v>2.2063380000000001</v>
      </c>
      <c r="U12" s="6">
        <v>2.334784</v>
      </c>
      <c r="V12" s="6">
        <v>2.512054</v>
      </c>
      <c r="W12" s="6">
        <v>2.6029279999999999</v>
      </c>
      <c r="X12" s="6">
        <v>2.7514639999999999</v>
      </c>
      <c r="Y12" s="6">
        <v>3.2539709999999999</v>
      </c>
      <c r="Z12" s="6">
        <v>3.2399300000000002</v>
      </c>
      <c r="AA12" s="6">
        <v>3.205562</v>
      </c>
      <c r="AB12" s="6">
        <v>3.2121879999999998</v>
      </c>
      <c r="AC12" s="6">
        <v>3.1320510000000001</v>
      </c>
      <c r="AD12" s="6">
        <v>3.140409</v>
      </c>
      <c r="AE12" s="6">
        <v>2.716094</v>
      </c>
      <c r="AF12" s="6">
        <v>2.581804</v>
      </c>
      <c r="AG12" s="6">
        <v>2.5503960000000001</v>
      </c>
      <c r="AH12" s="6">
        <v>2.6038380000000001</v>
      </c>
      <c r="AI12" s="6">
        <v>2.7749090000000001</v>
      </c>
      <c r="AJ12" s="6">
        <v>2.8877470000000001</v>
      </c>
      <c r="AK12" s="6">
        <v>2.9896379999999998</v>
      </c>
      <c r="AL12" s="6">
        <v>3.06196</v>
      </c>
      <c r="AM12" s="6">
        <v>3.0996619999999999</v>
      </c>
      <c r="AN12" s="6">
        <v>2.9791099999999999</v>
      </c>
      <c r="AO12" s="6">
        <v>2.855375</v>
      </c>
      <c r="AP12" s="6">
        <v>2.9848370000000002</v>
      </c>
      <c r="AQ12" s="6">
        <v>2.9270170000000002</v>
      </c>
    </row>
    <row r="13" spans="1:43" x14ac:dyDescent="0.25">
      <c r="A13" t="s">
        <v>11</v>
      </c>
      <c r="B13" t="s">
        <v>6</v>
      </c>
      <c r="C13" s="3">
        <v>0.56699999999999995</v>
      </c>
      <c r="D13" s="3">
        <v>0.63900000000000001</v>
      </c>
      <c r="E13" s="3">
        <v>0.79730000000000001</v>
      </c>
      <c r="F13" s="3">
        <v>0.62895999999999996</v>
      </c>
      <c r="G13">
        <v>0.67191000000000001</v>
      </c>
      <c r="H13">
        <v>0.87541999999999998</v>
      </c>
      <c r="I13">
        <v>0.96189999999999998</v>
      </c>
      <c r="J13">
        <v>0.91090000000000004</v>
      </c>
      <c r="K13">
        <v>0.99460199999999999</v>
      </c>
      <c r="L13">
        <v>1.0298240000000001</v>
      </c>
      <c r="M13">
        <v>1.047204</v>
      </c>
      <c r="N13">
        <v>0.913914</v>
      </c>
      <c r="O13">
        <v>0.90047999999999995</v>
      </c>
      <c r="P13">
        <f t="shared" si="5"/>
        <v>1.1087795951999999</v>
      </c>
      <c r="Q13">
        <v>1.1207670000000001</v>
      </c>
      <c r="R13">
        <v>1.1014539999999999</v>
      </c>
      <c r="S13">
        <v>1.2405759999999999</v>
      </c>
      <c r="T13">
        <v>1.345413</v>
      </c>
      <c r="U13">
        <v>1.3067260000000001</v>
      </c>
      <c r="V13">
        <v>1.324362</v>
      </c>
      <c r="W13">
        <v>1.24977</v>
      </c>
      <c r="X13">
        <v>1.181122</v>
      </c>
      <c r="Y13">
        <v>1.2029479999999999</v>
      </c>
      <c r="Z13">
        <v>1.22631</v>
      </c>
      <c r="AA13">
        <v>1.2287809999999999</v>
      </c>
      <c r="AB13">
        <v>1.1853039999999999</v>
      </c>
      <c r="AC13">
        <v>1.1377729999999999</v>
      </c>
      <c r="AD13">
        <v>1.144755</v>
      </c>
      <c r="AE13">
        <v>1.1585490000000001</v>
      </c>
      <c r="AF13">
        <v>1.105213</v>
      </c>
      <c r="AG13">
        <v>1.0843039999999999</v>
      </c>
      <c r="AH13">
        <v>1.106517</v>
      </c>
      <c r="AI13">
        <v>1.0884609999999999</v>
      </c>
      <c r="AJ13">
        <v>1.1507879999999999</v>
      </c>
      <c r="AK13">
        <v>1.153446</v>
      </c>
      <c r="AL13">
        <v>1.184258</v>
      </c>
      <c r="AM13">
        <v>1.2557469999999999</v>
      </c>
      <c r="AN13">
        <v>1.3059259999999999</v>
      </c>
      <c r="AO13">
        <v>1.313169</v>
      </c>
      <c r="AP13">
        <v>1.2989440000000001</v>
      </c>
      <c r="AQ13">
        <v>1.3173630000000001</v>
      </c>
    </row>
    <row r="14" spans="1:43" x14ac:dyDescent="0.25">
      <c r="A14" t="s">
        <v>11</v>
      </c>
      <c r="B14" t="s">
        <v>2</v>
      </c>
      <c r="C14" s="3">
        <v>0.89</v>
      </c>
      <c r="D14" s="3">
        <v>0.96499999999999997</v>
      </c>
      <c r="E14" s="3">
        <v>1.15412</v>
      </c>
      <c r="F14" s="3">
        <v>1.0663400000000001</v>
      </c>
      <c r="G14">
        <v>1.13148</v>
      </c>
      <c r="H14">
        <v>1.23645</v>
      </c>
      <c r="I14">
        <v>1.3445</v>
      </c>
      <c r="J14">
        <v>1.1961599999999999</v>
      </c>
      <c r="K14">
        <v>1.3000640000000001</v>
      </c>
      <c r="L14">
        <v>1.451554</v>
      </c>
      <c r="M14">
        <v>1.684218</v>
      </c>
      <c r="N14">
        <v>1.654776</v>
      </c>
      <c r="O14">
        <v>1.9982930000000001</v>
      </c>
      <c r="P14">
        <f t="shared" si="5"/>
        <v>1.7832500184</v>
      </c>
      <c r="Q14">
        <v>1.951789</v>
      </c>
      <c r="R14">
        <v>1.5909059999999999</v>
      </c>
      <c r="S14">
        <v>1.697816</v>
      </c>
      <c r="T14">
        <v>1.701938</v>
      </c>
      <c r="U14">
        <v>1.644293</v>
      </c>
      <c r="V14">
        <v>1.6304970000000001</v>
      </c>
      <c r="W14">
        <v>1.7788630000000001</v>
      </c>
      <c r="X14">
        <v>1.787377</v>
      </c>
      <c r="Y14">
        <v>1.8459460000000001</v>
      </c>
      <c r="Z14">
        <v>1.84822</v>
      </c>
      <c r="AA14">
        <v>1.8434539999999999</v>
      </c>
      <c r="AB14">
        <v>1.710656</v>
      </c>
      <c r="AC14">
        <v>1.6424190000000001</v>
      </c>
      <c r="AD14">
        <v>1.6444000000000001</v>
      </c>
      <c r="AE14">
        <v>1.5908910000000001</v>
      </c>
      <c r="AF14">
        <v>1.437783</v>
      </c>
      <c r="AG14">
        <v>1.440836</v>
      </c>
      <c r="AH14">
        <v>1.4714449999999999</v>
      </c>
      <c r="AI14">
        <v>1.400841</v>
      </c>
      <c r="AJ14">
        <v>1.453301</v>
      </c>
      <c r="AK14">
        <v>1.5395540000000001</v>
      </c>
      <c r="AL14">
        <v>1.580606</v>
      </c>
      <c r="AM14">
        <v>1.6484510000000001</v>
      </c>
      <c r="AN14">
        <v>1.739527</v>
      </c>
      <c r="AO14">
        <v>1.7455579999999999</v>
      </c>
      <c r="AP14">
        <v>1.680766</v>
      </c>
      <c r="AQ14">
        <v>1.6853990000000001</v>
      </c>
    </row>
    <row r="15" spans="1:43" x14ac:dyDescent="0.25">
      <c r="A15" t="s">
        <v>11</v>
      </c>
      <c r="B15" t="s">
        <v>8</v>
      </c>
      <c r="C15" s="3">
        <v>0.64100000000000001</v>
      </c>
      <c r="D15" s="3">
        <v>0.56699999999999995</v>
      </c>
      <c r="E15" s="3">
        <v>0.66283000000000003</v>
      </c>
      <c r="F15" s="3">
        <v>0.65071999999999997</v>
      </c>
      <c r="G15">
        <v>0.64890999999999999</v>
      </c>
      <c r="H15">
        <v>0.75092000000000003</v>
      </c>
      <c r="I15">
        <v>0.76576</v>
      </c>
      <c r="J15">
        <v>0.69033</v>
      </c>
      <c r="K15">
        <v>0.76025900000000002</v>
      </c>
      <c r="L15">
        <v>0.98821499999999995</v>
      </c>
      <c r="M15">
        <v>0.95476099999999997</v>
      </c>
      <c r="N15">
        <v>0.94724699999999995</v>
      </c>
      <c r="O15">
        <v>0.94774400000000003</v>
      </c>
      <c r="P15">
        <f t="shared" si="5"/>
        <v>1.0109009467999999</v>
      </c>
      <c r="Q15">
        <v>1.198553</v>
      </c>
      <c r="R15">
        <v>1.094271</v>
      </c>
      <c r="S15">
        <v>1.1317390000000001</v>
      </c>
      <c r="T15">
        <v>1.092678</v>
      </c>
      <c r="U15">
        <v>1.0797159999999999</v>
      </c>
      <c r="V15">
        <v>1.0736239999999999</v>
      </c>
      <c r="W15">
        <v>1.1760839999999999</v>
      </c>
      <c r="X15">
        <v>1.2145820000000001</v>
      </c>
      <c r="Y15">
        <v>1.3266439999999999</v>
      </c>
      <c r="Z15">
        <v>1.2748090000000001</v>
      </c>
      <c r="AA15">
        <v>1.246807</v>
      </c>
      <c r="AB15">
        <v>1.1979200000000001</v>
      </c>
      <c r="AC15">
        <v>1.3295319999999999</v>
      </c>
      <c r="AD15">
        <v>1.32666</v>
      </c>
      <c r="AE15">
        <v>1.1714830000000001</v>
      </c>
      <c r="AF15">
        <v>1.0167820000000001</v>
      </c>
      <c r="AG15">
        <v>1.0724070000000001</v>
      </c>
      <c r="AH15">
        <v>1.0445720000000001</v>
      </c>
      <c r="AI15">
        <v>1.0700909999999999</v>
      </c>
      <c r="AJ15">
        <v>1.107367</v>
      </c>
      <c r="AK15">
        <v>1.171576</v>
      </c>
      <c r="AL15">
        <v>1.259128</v>
      </c>
      <c r="AM15">
        <v>1.248391</v>
      </c>
      <c r="AN15">
        <v>1.285874</v>
      </c>
      <c r="AO15">
        <v>1.3257760000000001</v>
      </c>
      <c r="AP15">
        <v>1.364214</v>
      </c>
      <c r="AQ15">
        <v>1.4555899999999999</v>
      </c>
    </row>
    <row r="16" spans="1:43" x14ac:dyDescent="0.25">
      <c r="A16" t="s">
        <v>11</v>
      </c>
      <c r="B16" t="s">
        <v>1</v>
      </c>
      <c r="C16" s="3">
        <v>0.42</v>
      </c>
      <c r="D16" s="3">
        <v>0.45600000000000002</v>
      </c>
      <c r="E16" s="3">
        <v>0.44768000000000002</v>
      </c>
      <c r="F16" s="3">
        <v>0.37154999999999999</v>
      </c>
      <c r="G16">
        <v>0.34175</v>
      </c>
      <c r="H16">
        <v>0.39761000000000002</v>
      </c>
      <c r="I16">
        <v>0.39317999999999997</v>
      </c>
      <c r="J16">
        <v>0.37141000000000002</v>
      </c>
      <c r="K16">
        <v>0.40040700000000001</v>
      </c>
      <c r="L16">
        <v>0.33865099999999998</v>
      </c>
      <c r="M16">
        <v>0.36085299999999998</v>
      </c>
      <c r="N16">
        <v>0.34459200000000001</v>
      </c>
      <c r="O16">
        <v>0.36677300000000002</v>
      </c>
      <c r="P16">
        <v>0.38207115639999994</v>
      </c>
      <c r="Q16">
        <v>0.44650600000000001</v>
      </c>
      <c r="R16">
        <v>0.40023199999999998</v>
      </c>
      <c r="S16">
        <v>0.31166199999999999</v>
      </c>
      <c r="T16">
        <v>0.26856000000000002</v>
      </c>
      <c r="U16">
        <v>0.24493400000000001</v>
      </c>
      <c r="V16">
        <v>0.24136099999999999</v>
      </c>
      <c r="W16">
        <v>0.19605700000000001</v>
      </c>
      <c r="X16">
        <v>0.17458899999999999</v>
      </c>
      <c r="Y16">
        <v>0.19328300000000001</v>
      </c>
      <c r="Z16">
        <v>0.18547</v>
      </c>
      <c r="AA16">
        <v>0.18739600000000001</v>
      </c>
      <c r="AB16">
        <v>0.192078</v>
      </c>
      <c r="AC16">
        <v>0.19969999999999999</v>
      </c>
      <c r="AD16">
        <v>0.20652100000000001</v>
      </c>
      <c r="AE16">
        <v>0.197384</v>
      </c>
      <c r="AF16">
        <v>0.185696</v>
      </c>
      <c r="AG16">
        <v>0.1913</v>
      </c>
      <c r="AH16">
        <v>0.19642200000000001</v>
      </c>
      <c r="AI16">
        <v>0.20803099999999999</v>
      </c>
      <c r="AJ16">
        <v>0.21592700000000001</v>
      </c>
      <c r="AK16">
        <v>0.195102</v>
      </c>
      <c r="AL16">
        <v>0.159384</v>
      </c>
      <c r="AM16">
        <v>0.161159</v>
      </c>
      <c r="AN16">
        <v>0.16706099999999999</v>
      </c>
      <c r="AO16">
        <v>0.16881599999999999</v>
      </c>
      <c r="AP16">
        <v>0.16794999999999999</v>
      </c>
      <c r="AQ16">
        <v>0.15661</v>
      </c>
    </row>
    <row r="17" spans="1:43" x14ac:dyDescent="0.25">
      <c r="A17" t="s">
        <v>11</v>
      </c>
      <c r="B17" t="s">
        <v>9</v>
      </c>
      <c r="C17" s="3">
        <v>0.98899999999999999</v>
      </c>
      <c r="D17" s="3">
        <v>0.76600000000000001</v>
      </c>
      <c r="E17" s="3">
        <v>1.0445500000000001</v>
      </c>
      <c r="F17" s="3">
        <v>1.06898</v>
      </c>
      <c r="G17">
        <v>1.0737300000000001</v>
      </c>
      <c r="H17">
        <v>1.08443</v>
      </c>
      <c r="I17">
        <v>0.91791</v>
      </c>
      <c r="J17">
        <v>0.84089999999999998</v>
      </c>
      <c r="K17">
        <v>0.87173500000000004</v>
      </c>
      <c r="L17">
        <v>0.83400300000000005</v>
      </c>
      <c r="M17">
        <v>0.84768100000000002</v>
      </c>
      <c r="N17">
        <v>0.88703399999999999</v>
      </c>
      <c r="O17">
        <v>0.85017500000000001</v>
      </c>
      <c r="P17">
        <f t="shared" ref="P17:P25" si="6">1.0588*M17</f>
        <v>0.89752464279999999</v>
      </c>
      <c r="Q17">
        <v>1.01817</v>
      </c>
      <c r="R17">
        <v>0.85408799999999996</v>
      </c>
      <c r="S17">
        <v>0.76151400000000002</v>
      </c>
      <c r="T17">
        <v>0.75090100000000004</v>
      </c>
      <c r="U17">
        <v>0.78061000000000003</v>
      </c>
      <c r="V17">
        <v>0.82847099999999996</v>
      </c>
      <c r="W17">
        <v>0.90130399999999999</v>
      </c>
      <c r="X17">
        <v>0.96684199999999998</v>
      </c>
      <c r="Y17">
        <v>1.003485</v>
      </c>
      <c r="Z17">
        <v>1.094409</v>
      </c>
      <c r="AA17">
        <v>1.119302</v>
      </c>
      <c r="AB17">
        <v>1.1376090000000001</v>
      </c>
      <c r="AC17">
        <v>1.0085649999999999</v>
      </c>
      <c r="AD17">
        <v>1.047966</v>
      </c>
      <c r="AE17">
        <v>1.034278</v>
      </c>
      <c r="AF17">
        <v>1.041979</v>
      </c>
      <c r="AG17">
        <v>1.0486530000000001</v>
      </c>
      <c r="AH17">
        <v>1.0877870000000001</v>
      </c>
      <c r="AI17">
        <v>1.072913</v>
      </c>
      <c r="AJ17">
        <v>1.0473600000000001</v>
      </c>
      <c r="AK17">
        <v>1.0455589999999999</v>
      </c>
      <c r="AL17">
        <v>1.036926</v>
      </c>
      <c r="AM17">
        <v>1.04817</v>
      </c>
      <c r="AN17">
        <v>1.030689</v>
      </c>
      <c r="AO17">
        <v>1.004289</v>
      </c>
      <c r="AP17">
        <v>1.004726</v>
      </c>
      <c r="AQ17">
        <v>0.99037699999999995</v>
      </c>
    </row>
    <row r="18" spans="1:43" x14ac:dyDescent="0.25">
      <c r="A18" t="s">
        <v>11</v>
      </c>
      <c r="B18" t="s">
        <v>5</v>
      </c>
      <c r="C18" s="3">
        <v>1.544</v>
      </c>
      <c r="D18" s="3">
        <v>1.671</v>
      </c>
      <c r="E18" s="3">
        <v>2.0428500000000001</v>
      </c>
      <c r="F18" s="3">
        <v>1.8827100000000001</v>
      </c>
      <c r="G18">
        <v>1.89625</v>
      </c>
      <c r="H18">
        <v>2.3300999999999998</v>
      </c>
      <c r="I18">
        <v>2.46983</v>
      </c>
      <c r="J18">
        <v>2.4758900000000001</v>
      </c>
      <c r="K18">
        <v>2.5355310000000002</v>
      </c>
      <c r="L18">
        <v>2.7902589999999998</v>
      </c>
      <c r="M18">
        <v>2.7680370000000001</v>
      </c>
      <c r="N18">
        <v>2.4687269999999999</v>
      </c>
      <c r="O18">
        <v>2.6053380000000002</v>
      </c>
      <c r="P18">
        <f t="shared" si="6"/>
        <v>2.9307975756000002</v>
      </c>
      <c r="Q18">
        <v>2.7724310000000001</v>
      </c>
      <c r="R18">
        <v>2.8024439999999999</v>
      </c>
      <c r="S18">
        <v>2.951403</v>
      </c>
      <c r="T18">
        <v>3.0339809999999998</v>
      </c>
      <c r="U18">
        <v>3.0157699999999998</v>
      </c>
      <c r="V18">
        <v>2.9697230000000001</v>
      </c>
      <c r="W18">
        <v>2.868471</v>
      </c>
      <c r="X18">
        <v>2.6971500000000002</v>
      </c>
      <c r="Y18">
        <v>2.8642020000000001</v>
      </c>
      <c r="Z18">
        <v>2.768513</v>
      </c>
      <c r="AA18">
        <v>2.7435420000000001</v>
      </c>
      <c r="AB18">
        <v>2.6553939999999998</v>
      </c>
      <c r="AC18">
        <v>2.5500560000000001</v>
      </c>
      <c r="AD18">
        <v>2.471244</v>
      </c>
      <c r="AE18">
        <v>2.4391090000000002</v>
      </c>
      <c r="AF18">
        <v>2.3777949999999999</v>
      </c>
      <c r="AG18">
        <v>2.49518</v>
      </c>
      <c r="AH18">
        <v>2.572892</v>
      </c>
      <c r="AI18">
        <v>2.5600019999999999</v>
      </c>
      <c r="AJ18">
        <v>2.6047400000000001</v>
      </c>
      <c r="AK18">
        <v>2.5855670000000002</v>
      </c>
      <c r="AL18">
        <v>2.5614599999999998</v>
      </c>
      <c r="AM18">
        <v>2.5736750000000002</v>
      </c>
      <c r="AN18">
        <v>2.5491139999999999</v>
      </c>
      <c r="AO18">
        <v>2.5296759999999998</v>
      </c>
      <c r="AP18">
        <v>2.6252620000000002</v>
      </c>
      <c r="AQ18">
        <v>2.6320610000000002</v>
      </c>
    </row>
    <row r="19" spans="1:43" x14ac:dyDescent="0.25">
      <c r="A19" t="s">
        <v>11</v>
      </c>
      <c r="B19" t="s">
        <v>4</v>
      </c>
      <c r="C19" s="3">
        <v>0.124</v>
      </c>
      <c r="D19" s="3">
        <v>0.11700000000000001</v>
      </c>
      <c r="E19" s="3">
        <v>0.17066000000000001</v>
      </c>
      <c r="F19" s="3">
        <v>0.13982</v>
      </c>
      <c r="G19">
        <v>0.10807</v>
      </c>
      <c r="H19">
        <v>0.14716000000000001</v>
      </c>
      <c r="I19">
        <v>0.19192000000000001</v>
      </c>
      <c r="J19">
        <v>0.17219000000000001</v>
      </c>
      <c r="K19">
        <v>0.189613</v>
      </c>
      <c r="L19">
        <v>0.22831399999999999</v>
      </c>
      <c r="M19">
        <v>0.247312</v>
      </c>
      <c r="N19">
        <v>0.19505600000000001</v>
      </c>
      <c r="O19">
        <v>0.25750699999999999</v>
      </c>
      <c r="P19">
        <f t="shared" si="6"/>
        <v>0.26185394559999997</v>
      </c>
      <c r="Q19">
        <v>0.32841399999999998</v>
      </c>
      <c r="R19">
        <v>0.31657999999999997</v>
      </c>
      <c r="S19">
        <v>0.33955400000000002</v>
      </c>
      <c r="T19">
        <v>0.389654</v>
      </c>
      <c r="U19">
        <v>0.37641000000000002</v>
      </c>
      <c r="V19">
        <v>0.39822299999999999</v>
      </c>
      <c r="W19">
        <v>0.42772700000000002</v>
      </c>
      <c r="X19">
        <v>0.49181399999999997</v>
      </c>
      <c r="Y19">
        <v>0.599109</v>
      </c>
      <c r="Z19">
        <v>0.49717899999999998</v>
      </c>
      <c r="AA19">
        <v>0.49038500000000002</v>
      </c>
      <c r="AB19">
        <v>0.48494399999999999</v>
      </c>
      <c r="AC19">
        <v>0.420684</v>
      </c>
      <c r="AD19">
        <v>0.41656100000000001</v>
      </c>
      <c r="AE19">
        <v>0.376668</v>
      </c>
      <c r="AF19">
        <v>0.35404099999999999</v>
      </c>
      <c r="AG19">
        <v>0.35902699999999999</v>
      </c>
      <c r="AH19">
        <v>0.36682799999999999</v>
      </c>
      <c r="AI19">
        <v>0.38286399999999998</v>
      </c>
      <c r="AJ19">
        <v>0.40549400000000002</v>
      </c>
      <c r="AK19">
        <v>0.4108</v>
      </c>
      <c r="AL19">
        <v>0.439917</v>
      </c>
      <c r="AM19">
        <v>0.46365099999999998</v>
      </c>
      <c r="AN19">
        <v>0.46622999999999998</v>
      </c>
      <c r="AO19">
        <v>0.474269</v>
      </c>
      <c r="AP19">
        <v>0.42521300000000001</v>
      </c>
      <c r="AQ19">
        <v>0.38175500000000001</v>
      </c>
    </row>
    <row r="20" spans="1:43" x14ac:dyDescent="0.25">
      <c r="A20" t="s">
        <v>11</v>
      </c>
      <c r="B20" t="s">
        <v>7</v>
      </c>
      <c r="C20" s="3">
        <v>2.0489999999999999</v>
      </c>
      <c r="D20" s="3">
        <v>2.1880000000000002</v>
      </c>
      <c r="E20" s="3">
        <v>2.33724</v>
      </c>
      <c r="F20" s="3">
        <v>2.0754600000000001</v>
      </c>
      <c r="G20">
        <v>2.0256699999999999</v>
      </c>
      <c r="H20">
        <v>2.43411</v>
      </c>
      <c r="I20">
        <v>2.3518400000000002</v>
      </c>
      <c r="J20">
        <v>2.0631699999999999</v>
      </c>
      <c r="K20">
        <v>2.6613069999999999</v>
      </c>
      <c r="L20">
        <v>2.928261</v>
      </c>
      <c r="M20">
        <v>2.940385</v>
      </c>
      <c r="N20">
        <v>2.73224</v>
      </c>
      <c r="O20">
        <v>2.7970090000000001</v>
      </c>
      <c r="P20">
        <f t="shared" si="6"/>
        <v>3.1132796379999998</v>
      </c>
      <c r="Q20">
        <v>3.2826379999999999</v>
      </c>
      <c r="R20">
        <v>3.123186</v>
      </c>
      <c r="S20">
        <v>3.3750840000000002</v>
      </c>
      <c r="T20">
        <v>3.3942220000000001</v>
      </c>
      <c r="U20">
        <v>3.2932419999999998</v>
      </c>
      <c r="V20">
        <v>3.1882570000000001</v>
      </c>
      <c r="W20">
        <v>3.2442199999999999</v>
      </c>
      <c r="X20">
        <v>3.2516250000000002</v>
      </c>
      <c r="Y20">
        <v>3.4153739999999999</v>
      </c>
      <c r="Z20">
        <v>3.4080219999999999</v>
      </c>
      <c r="AA20">
        <v>3.36646</v>
      </c>
      <c r="AB20">
        <v>3.3178580000000002</v>
      </c>
      <c r="AC20">
        <v>2.9391759999999998</v>
      </c>
      <c r="AD20">
        <v>2.5354670000000001</v>
      </c>
      <c r="AE20">
        <v>2.4727329999999998</v>
      </c>
      <c r="AF20">
        <v>2.369297</v>
      </c>
      <c r="AG20">
        <v>2.332093</v>
      </c>
      <c r="AH20">
        <v>2.428086</v>
      </c>
      <c r="AI20">
        <v>2.434259</v>
      </c>
      <c r="AJ20">
        <v>2.535568</v>
      </c>
      <c r="AK20">
        <v>2.5704769999999999</v>
      </c>
      <c r="AL20">
        <v>2.6012209999999998</v>
      </c>
      <c r="AM20">
        <v>2.629858</v>
      </c>
      <c r="AN20">
        <v>2.6505139999999998</v>
      </c>
      <c r="AO20">
        <v>2.607504</v>
      </c>
      <c r="AP20">
        <v>2.676126</v>
      </c>
      <c r="AQ20">
        <v>2.6585700000000001</v>
      </c>
    </row>
    <row r="21" spans="1:43" s="16" customFormat="1" x14ac:dyDescent="0.25">
      <c r="A21" s="16" t="s">
        <v>11</v>
      </c>
      <c r="B21" s="16" t="s">
        <v>10</v>
      </c>
      <c r="C21" s="17">
        <v>7.55</v>
      </c>
      <c r="D21" s="17">
        <v>7.76</v>
      </c>
      <c r="E21" s="17">
        <v>9.3128299999999999</v>
      </c>
      <c r="F21" s="17">
        <v>8.3598400000000002</v>
      </c>
      <c r="G21" s="16">
        <v>8.38063</v>
      </c>
      <c r="H21" s="16">
        <v>9.9695099999999996</v>
      </c>
      <c r="I21" s="16">
        <v>10.30898</v>
      </c>
      <c r="J21" s="16">
        <v>9.5312099999999997</v>
      </c>
      <c r="K21" s="16">
        <v>10.744287</v>
      </c>
      <c r="L21" s="16">
        <v>11.774796</v>
      </c>
      <c r="M21" s="16">
        <v>12.113227999999999</v>
      </c>
      <c r="N21" s="16">
        <v>11.228085</v>
      </c>
      <c r="O21" s="16">
        <v>12.201015</v>
      </c>
      <c r="P21" s="16">
        <f t="shared" si="6"/>
        <v>12.8254858064</v>
      </c>
      <c r="Q21">
        <v>13.926487</v>
      </c>
      <c r="R21">
        <v>13.005148999999999</v>
      </c>
      <c r="S21">
        <v>13.852345</v>
      </c>
      <c r="T21">
        <v>14.183685000000001</v>
      </c>
      <c r="U21">
        <v>14.076487</v>
      </c>
      <c r="V21">
        <v>14.166570999999999</v>
      </c>
      <c r="W21">
        <v>14.445423999999999</v>
      </c>
      <c r="X21">
        <v>14.516565</v>
      </c>
      <c r="Y21">
        <v>15.704962</v>
      </c>
      <c r="Z21">
        <v>15.542862</v>
      </c>
      <c r="AA21">
        <v>15.431691000000001</v>
      </c>
      <c r="AB21">
        <v>15.093952</v>
      </c>
      <c r="AC21">
        <v>14.359958000000001</v>
      </c>
      <c r="AD21">
        <v>13.933985</v>
      </c>
      <c r="AE21">
        <v>13.157188</v>
      </c>
      <c r="AF21">
        <v>12.470389000000001</v>
      </c>
      <c r="AG21">
        <v>12.574196000000001</v>
      </c>
      <c r="AH21">
        <v>12.878387</v>
      </c>
      <c r="AI21">
        <v>12.992369999999999</v>
      </c>
      <c r="AJ21">
        <v>13.408291999999999</v>
      </c>
      <c r="AK21">
        <v>13.661719</v>
      </c>
      <c r="AL21">
        <v>13.884859000000001</v>
      </c>
      <c r="AM21">
        <v>14.128766000000001</v>
      </c>
      <c r="AN21">
        <v>14.174046000000001</v>
      </c>
      <c r="AO21">
        <v>14.024430000000001</v>
      </c>
      <c r="AP21">
        <v>14.228035999999999</v>
      </c>
      <c r="AQ21">
        <v>14.204741</v>
      </c>
    </row>
    <row r="22" spans="1:43" s="6" customFormat="1" x14ac:dyDescent="0.25">
      <c r="A22" s="6" t="s">
        <v>16</v>
      </c>
      <c r="B22" s="6" t="s">
        <v>3</v>
      </c>
      <c r="C22" s="18">
        <v>0.32600000000000001</v>
      </c>
      <c r="D22" s="18">
        <v>0.39500000000000002</v>
      </c>
      <c r="E22" s="18">
        <v>0.65559999999999996</v>
      </c>
      <c r="F22" s="18">
        <v>0.4753</v>
      </c>
      <c r="G22" s="6">
        <v>0.48286000000000001</v>
      </c>
      <c r="H22" s="6">
        <v>0.71331</v>
      </c>
      <c r="I22" s="6">
        <v>0.91213999999999995</v>
      </c>
      <c r="J22" s="6">
        <v>0.81025999999999998</v>
      </c>
      <c r="K22" s="6">
        <v>1.00257</v>
      </c>
      <c r="L22" s="6">
        <v>1.185716</v>
      </c>
      <c r="M22" s="6">
        <v>1.262778</v>
      </c>
      <c r="N22" s="6">
        <v>1.082247</v>
      </c>
      <c r="O22" s="6">
        <v>1.477695</v>
      </c>
      <c r="P22" s="6">
        <f t="shared" si="6"/>
        <v>1.3370293463999998</v>
      </c>
      <c r="Q22" s="6">
        <v>1.804559</v>
      </c>
      <c r="R22" s="6">
        <v>1.7483200000000001</v>
      </c>
      <c r="S22" s="6">
        <v>1.402841</v>
      </c>
      <c r="T22" s="6">
        <v>1.4980549999999999</v>
      </c>
      <c r="U22" s="6">
        <v>1.509668</v>
      </c>
      <c r="V22" s="6">
        <v>1.4968570000000001</v>
      </c>
      <c r="W22" s="6">
        <v>1.5340670000000001</v>
      </c>
      <c r="X22" s="6">
        <v>1.3846529999999999</v>
      </c>
      <c r="Y22" s="6">
        <v>1.565061</v>
      </c>
      <c r="Z22" s="6">
        <v>1.3330070000000001</v>
      </c>
      <c r="AA22" s="6">
        <v>1.233128</v>
      </c>
      <c r="AB22" s="6">
        <v>1.1114269999999999</v>
      </c>
      <c r="AC22" s="6">
        <v>1.031229</v>
      </c>
      <c r="AD22" s="6">
        <v>0.85496499999999997</v>
      </c>
      <c r="AE22" s="6">
        <v>0.73247399999999996</v>
      </c>
      <c r="AF22" s="6">
        <v>0.75810100000000002</v>
      </c>
      <c r="AG22" s="6">
        <v>0.69853699999999996</v>
      </c>
      <c r="AH22" s="6">
        <v>0.66412400000000005</v>
      </c>
      <c r="AI22" s="6">
        <v>0.61507500000000004</v>
      </c>
      <c r="AJ22" s="6">
        <v>0.60669700000000004</v>
      </c>
      <c r="AK22" s="6">
        <v>0.58708199999999999</v>
      </c>
      <c r="AL22" s="6">
        <v>0.60744100000000001</v>
      </c>
      <c r="AM22" s="6">
        <v>0.66343799999999997</v>
      </c>
      <c r="AN22" s="6">
        <v>0.68706400000000001</v>
      </c>
      <c r="AO22" s="6">
        <v>0.73440499999999997</v>
      </c>
      <c r="AP22" s="6">
        <v>0.789578</v>
      </c>
      <c r="AQ22" s="6">
        <v>0.81628699999999998</v>
      </c>
    </row>
    <row r="23" spans="1:43" x14ac:dyDescent="0.25">
      <c r="A23" t="s">
        <v>16</v>
      </c>
      <c r="B23" t="s">
        <v>6</v>
      </c>
      <c r="C23" s="3">
        <v>0.56699999999999995</v>
      </c>
      <c r="D23" s="3">
        <v>0.63900000000000001</v>
      </c>
      <c r="E23" s="3">
        <v>0.79730000000000001</v>
      </c>
      <c r="F23" s="3">
        <v>0.62895999999999996</v>
      </c>
      <c r="G23">
        <v>0.67191000000000001</v>
      </c>
      <c r="H23">
        <v>0.87541999999999998</v>
      </c>
      <c r="I23">
        <v>0.96189999999999998</v>
      </c>
      <c r="J23">
        <v>0.91090000000000004</v>
      </c>
      <c r="K23">
        <v>0.99460199999999999</v>
      </c>
      <c r="L23">
        <v>1.0298240000000001</v>
      </c>
      <c r="M23">
        <v>1.047204</v>
      </c>
      <c r="N23">
        <v>0.913914</v>
      </c>
      <c r="O23">
        <v>0.90047999999999995</v>
      </c>
      <c r="P23">
        <f t="shared" si="6"/>
        <v>1.1087795951999999</v>
      </c>
      <c r="Q23">
        <v>1.12185</v>
      </c>
      <c r="R23">
        <v>1.0538650000000001</v>
      </c>
      <c r="S23">
        <v>0.872166</v>
      </c>
      <c r="T23">
        <v>0.93093800000000004</v>
      </c>
      <c r="U23">
        <v>0.90715400000000002</v>
      </c>
      <c r="V23">
        <v>0.87167300000000003</v>
      </c>
      <c r="W23">
        <v>0.80887500000000001</v>
      </c>
      <c r="X23">
        <v>0.668381</v>
      </c>
      <c r="Y23">
        <v>0.73492400000000002</v>
      </c>
      <c r="Z23">
        <v>0.69140599999999997</v>
      </c>
      <c r="AA23">
        <v>0.63474399999999997</v>
      </c>
      <c r="AB23">
        <v>0.63707999999999998</v>
      </c>
      <c r="AC23">
        <v>0.549481</v>
      </c>
      <c r="AD23">
        <v>0.48276999999999998</v>
      </c>
      <c r="AE23">
        <v>0.43524499999999999</v>
      </c>
      <c r="AF23">
        <v>0.37465300000000001</v>
      </c>
      <c r="AG23">
        <v>0.29641299999999998</v>
      </c>
      <c r="AH23">
        <v>0.23860200000000001</v>
      </c>
      <c r="AI23">
        <v>0.237566</v>
      </c>
      <c r="AJ23">
        <v>0.25715399999999999</v>
      </c>
      <c r="AK23">
        <v>0.247615</v>
      </c>
      <c r="AL23">
        <v>0.21817900000000001</v>
      </c>
      <c r="AM23">
        <v>0.20949400000000001</v>
      </c>
      <c r="AN23">
        <v>0.19895499999999999</v>
      </c>
      <c r="AO23">
        <v>0.201429</v>
      </c>
      <c r="AP23">
        <v>0.213645</v>
      </c>
      <c r="AQ23">
        <v>0.21790000000000001</v>
      </c>
    </row>
    <row r="24" spans="1:43" x14ac:dyDescent="0.25">
      <c r="A24" t="s">
        <v>16</v>
      </c>
      <c r="B24" t="s">
        <v>2</v>
      </c>
      <c r="C24" s="3">
        <v>0.89</v>
      </c>
      <c r="D24" s="3">
        <v>0.96499999999999997</v>
      </c>
      <c r="E24" s="3">
        <v>1.15412</v>
      </c>
      <c r="F24" s="3">
        <v>1.0663400000000001</v>
      </c>
      <c r="G24">
        <v>1.13148</v>
      </c>
      <c r="H24">
        <v>1.23645</v>
      </c>
      <c r="I24">
        <v>1.3445</v>
      </c>
      <c r="J24">
        <v>1.1961599999999999</v>
      </c>
      <c r="K24">
        <v>1.3000640000000001</v>
      </c>
      <c r="L24">
        <v>1.451554</v>
      </c>
      <c r="M24">
        <v>1.684218</v>
      </c>
      <c r="N24">
        <v>1.654776</v>
      </c>
      <c r="O24">
        <v>1.9982930000000001</v>
      </c>
      <c r="P24">
        <f t="shared" si="6"/>
        <v>1.7832500184</v>
      </c>
      <c r="Q24">
        <v>1.9547330000000001</v>
      </c>
      <c r="R24">
        <v>1.7208349999999999</v>
      </c>
      <c r="S24">
        <v>1.4908300000000001</v>
      </c>
      <c r="T24">
        <v>1.4678</v>
      </c>
      <c r="U24">
        <v>1.3853260000000001</v>
      </c>
      <c r="V24">
        <v>1.4121079999999999</v>
      </c>
      <c r="W24">
        <v>1.373499</v>
      </c>
      <c r="X24">
        <v>1.197684</v>
      </c>
      <c r="Y24">
        <v>1.1321019999999999</v>
      </c>
      <c r="Z24">
        <v>1.060135</v>
      </c>
      <c r="AA24">
        <v>0.92996100000000004</v>
      </c>
      <c r="AB24">
        <v>0.89326000000000005</v>
      </c>
      <c r="AC24">
        <v>0.78853399999999996</v>
      </c>
      <c r="AD24">
        <v>0.58671399999999996</v>
      </c>
      <c r="AE24">
        <v>0.522783</v>
      </c>
      <c r="AF24">
        <v>0.54962999999999995</v>
      </c>
      <c r="AG24">
        <v>0.52787899999999999</v>
      </c>
      <c r="AH24">
        <v>0.48866100000000001</v>
      </c>
      <c r="AI24">
        <v>0.46338499999999999</v>
      </c>
      <c r="AJ24">
        <v>0.473387</v>
      </c>
      <c r="AK24">
        <v>0.47438900000000001</v>
      </c>
      <c r="AL24">
        <v>0.44475900000000002</v>
      </c>
      <c r="AM24">
        <v>0.45091199999999998</v>
      </c>
      <c r="AN24">
        <v>0.45028499999999999</v>
      </c>
      <c r="AO24">
        <v>0.47370899999999999</v>
      </c>
      <c r="AP24">
        <v>0.480987</v>
      </c>
      <c r="AQ24">
        <v>0.47220499999999999</v>
      </c>
    </row>
    <row r="25" spans="1:43" x14ac:dyDescent="0.25">
      <c r="A25" t="s">
        <v>16</v>
      </c>
      <c r="B25" t="s">
        <v>8</v>
      </c>
      <c r="C25" s="3">
        <v>0.64100000000000001</v>
      </c>
      <c r="D25" s="3">
        <v>0.56699999999999995</v>
      </c>
      <c r="E25" s="3">
        <v>0.66283000000000003</v>
      </c>
      <c r="F25" s="3">
        <v>0.65071999999999997</v>
      </c>
      <c r="G25">
        <v>0.64890999999999999</v>
      </c>
      <c r="H25">
        <v>0.75092000000000003</v>
      </c>
      <c r="I25">
        <v>0.76576</v>
      </c>
      <c r="J25">
        <v>0.69033</v>
      </c>
      <c r="K25">
        <v>0.76025900000000002</v>
      </c>
      <c r="L25">
        <v>0.98821499999999995</v>
      </c>
      <c r="M25">
        <v>0.95476099999999997</v>
      </c>
      <c r="N25">
        <v>0.94724699999999995</v>
      </c>
      <c r="O25">
        <v>0.94774400000000003</v>
      </c>
      <c r="P25">
        <f t="shared" si="6"/>
        <v>1.0109009467999999</v>
      </c>
      <c r="Q25">
        <v>1.2021329999999999</v>
      </c>
      <c r="R25">
        <v>1.0723849999999999</v>
      </c>
      <c r="S25">
        <v>0.82944200000000001</v>
      </c>
      <c r="T25">
        <v>0.80935199999999996</v>
      </c>
      <c r="U25">
        <v>0.78382799999999997</v>
      </c>
      <c r="V25">
        <v>0.77665799999999996</v>
      </c>
      <c r="W25">
        <v>0.770984</v>
      </c>
      <c r="X25">
        <v>0.69245800000000002</v>
      </c>
      <c r="Y25">
        <v>0.84712299999999996</v>
      </c>
      <c r="Z25">
        <v>0.82023000000000001</v>
      </c>
      <c r="AA25">
        <v>0.75990800000000003</v>
      </c>
      <c r="AB25">
        <v>0.72216999999999998</v>
      </c>
      <c r="AC25">
        <v>0.65371999999999997</v>
      </c>
      <c r="AD25">
        <v>0.62650300000000003</v>
      </c>
      <c r="AE25">
        <v>0.52724000000000004</v>
      </c>
      <c r="AF25">
        <v>0.54579</v>
      </c>
      <c r="AG25">
        <v>0.50921099999999997</v>
      </c>
      <c r="AH25">
        <v>0.43811499999999998</v>
      </c>
      <c r="AI25">
        <v>0.39516200000000001</v>
      </c>
      <c r="AJ25">
        <v>0.38309399999999999</v>
      </c>
      <c r="AK25">
        <v>0.39563300000000001</v>
      </c>
      <c r="AL25">
        <v>0.40751900000000002</v>
      </c>
      <c r="AM25">
        <v>0.36472700000000002</v>
      </c>
      <c r="AN25">
        <v>0.38342199999999999</v>
      </c>
      <c r="AO25">
        <v>0.41658699999999999</v>
      </c>
      <c r="AP25">
        <v>0.45398699999999997</v>
      </c>
      <c r="AQ25">
        <v>0.48647000000000001</v>
      </c>
    </row>
    <row r="26" spans="1:43" x14ac:dyDescent="0.25">
      <c r="A26" t="s">
        <v>16</v>
      </c>
      <c r="B26" t="s">
        <v>1</v>
      </c>
      <c r="C26" s="3">
        <v>0.42</v>
      </c>
      <c r="D26" s="3">
        <v>0.45600000000000002</v>
      </c>
      <c r="E26" s="3">
        <v>0.44768000000000002</v>
      </c>
      <c r="F26" s="3">
        <v>0.37154999999999999</v>
      </c>
      <c r="G26">
        <v>0.34175</v>
      </c>
      <c r="H26">
        <v>0.39761000000000002</v>
      </c>
      <c r="I26">
        <v>0.39317999999999997</v>
      </c>
      <c r="J26">
        <v>0.37141000000000002</v>
      </c>
      <c r="K26">
        <v>0.40040700000000001</v>
      </c>
      <c r="L26">
        <v>0.33865099999999998</v>
      </c>
      <c r="M26">
        <v>0.36085299999999998</v>
      </c>
      <c r="N26">
        <v>0.34459200000000001</v>
      </c>
      <c r="O26">
        <v>0.36677300000000002</v>
      </c>
      <c r="P26">
        <v>0.38207115639999994</v>
      </c>
      <c r="Q26">
        <v>0.45200099999999999</v>
      </c>
      <c r="R26">
        <v>0.40025300000000003</v>
      </c>
      <c r="S26">
        <v>0.25143399999999999</v>
      </c>
      <c r="T26">
        <v>0.21185799999999999</v>
      </c>
      <c r="U26">
        <v>0.19439799999999999</v>
      </c>
      <c r="V26">
        <v>0.192247</v>
      </c>
      <c r="W26">
        <v>0.17455899999999999</v>
      </c>
      <c r="X26">
        <v>0.15796199999999999</v>
      </c>
      <c r="Y26">
        <v>0.176228</v>
      </c>
      <c r="Z26">
        <v>0.16623499999999999</v>
      </c>
      <c r="AA26">
        <v>0.16139999999999999</v>
      </c>
      <c r="AB26">
        <v>0.16550500000000001</v>
      </c>
      <c r="AC26">
        <v>0.162913</v>
      </c>
      <c r="AD26">
        <v>0.13753799999999999</v>
      </c>
      <c r="AE26">
        <v>0.132298</v>
      </c>
      <c r="AF26">
        <v>0.134267</v>
      </c>
      <c r="AG26">
        <v>0.13671700000000001</v>
      </c>
      <c r="AH26">
        <v>0.13792299999999999</v>
      </c>
      <c r="AI26">
        <v>0.13546</v>
      </c>
      <c r="AJ26">
        <v>0.13872300000000001</v>
      </c>
      <c r="AK26">
        <v>0.10313</v>
      </c>
      <c r="AL26">
        <v>8.7387000000000006E-2</v>
      </c>
      <c r="AM26">
        <v>9.2547000000000004E-2</v>
      </c>
      <c r="AN26">
        <v>9.2992000000000005E-2</v>
      </c>
      <c r="AO26">
        <v>9.3810000000000004E-2</v>
      </c>
      <c r="AP26">
        <v>9.5297000000000007E-2</v>
      </c>
      <c r="AQ26">
        <v>9.6417000000000003E-2</v>
      </c>
    </row>
    <row r="27" spans="1:43" x14ac:dyDescent="0.25">
      <c r="A27" t="s">
        <v>16</v>
      </c>
      <c r="B27" t="s">
        <v>9</v>
      </c>
      <c r="C27" s="3">
        <v>0.98899999999999999</v>
      </c>
      <c r="D27" s="3">
        <v>0.76600000000000001</v>
      </c>
      <c r="E27" s="3">
        <v>1.0445500000000001</v>
      </c>
      <c r="F27" s="3">
        <v>1.06898</v>
      </c>
      <c r="G27">
        <v>1.0737300000000001</v>
      </c>
      <c r="H27">
        <v>1.08443</v>
      </c>
      <c r="I27">
        <v>0.91791</v>
      </c>
      <c r="J27">
        <v>0.84089999999999998</v>
      </c>
      <c r="K27">
        <v>0.87173500000000004</v>
      </c>
      <c r="L27">
        <v>0.83400300000000005</v>
      </c>
      <c r="M27">
        <v>0.84768100000000002</v>
      </c>
      <c r="N27">
        <v>0.88703399999999999</v>
      </c>
      <c r="O27">
        <v>0.85017500000000001</v>
      </c>
      <c r="P27">
        <f t="shared" ref="P27:P31" si="7">1.0588*M27</f>
        <v>0.89752464279999999</v>
      </c>
      <c r="Q27">
        <v>1.018694</v>
      </c>
      <c r="R27">
        <v>0.78655299999999995</v>
      </c>
      <c r="S27">
        <v>0.68776499999999996</v>
      </c>
      <c r="T27">
        <v>0.66492200000000001</v>
      </c>
      <c r="U27">
        <v>0.70440899999999995</v>
      </c>
      <c r="V27">
        <v>0.74171600000000004</v>
      </c>
      <c r="W27">
        <v>0.77234800000000003</v>
      </c>
      <c r="X27">
        <v>0.789767</v>
      </c>
      <c r="Y27">
        <v>0.81521600000000005</v>
      </c>
      <c r="Z27">
        <v>0.79763099999999998</v>
      </c>
      <c r="AA27">
        <v>0.75609599999999999</v>
      </c>
      <c r="AB27">
        <v>0.68895700000000004</v>
      </c>
      <c r="AC27">
        <v>0.63269200000000003</v>
      </c>
      <c r="AD27">
        <v>0.55487900000000001</v>
      </c>
      <c r="AE27">
        <v>0.49409199999999998</v>
      </c>
      <c r="AF27">
        <v>0.45425700000000002</v>
      </c>
      <c r="AG27">
        <v>0.46717399999999998</v>
      </c>
      <c r="AH27">
        <v>0.44918799999999998</v>
      </c>
      <c r="AI27">
        <v>0.43763800000000003</v>
      </c>
      <c r="AJ27">
        <v>0.435116</v>
      </c>
      <c r="AK27">
        <v>0.44263599999999997</v>
      </c>
      <c r="AL27">
        <v>0.440998</v>
      </c>
      <c r="AM27">
        <v>0.44123899999999999</v>
      </c>
      <c r="AN27">
        <v>0.44654300000000002</v>
      </c>
      <c r="AO27">
        <v>0.46514100000000003</v>
      </c>
      <c r="AP27">
        <v>0.473856</v>
      </c>
      <c r="AQ27">
        <v>0.48840800000000001</v>
      </c>
    </row>
    <row r="28" spans="1:43" x14ac:dyDescent="0.25">
      <c r="A28" t="s">
        <v>16</v>
      </c>
      <c r="B28" t="s">
        <v>5</v>
      </c>
      <c r="C28" s="3">
        <v>1.544</v>
      </c>
      <c r="D28" s="3">
        <v>1.671</v>
      </c>
      <c r="E28" s="3">
        <v>2.0428500000000001</v>
      </c>
      <c r="F28" s="3">
        <v>1.8827100000000001</v>
      </c>
      <c r="G28">
        <v>1.89625</v>
      </c>
      <c r="H28">
        <v>2.3300999999999998</v>
      </c>
      <c r="I28">
        <v>2.46983</v>
      </c>
      <c r="J28">
        <v>2.4758900000000001</v>
      </c>
      <c r="K28">
        <v>2.5355310000000002</v>
      </c>
      <c r="L28">
        <v>2.7902589999999998</v>
      </c>
      <c r="M28">
        <v>2.7680370000000001</v>
      </c>
      <c r="N28">
        <v>2.4687269999999999</v>
      </c>
      <c r="O28">
        <v>2.6053380000000002</v>
      </c>
      <c r="P28">
        <f t="shared" si="7"/>
        <v>2.9307975756000002</v>
      </c>
      <c r="Q28">
        <v>2.7746919999999999</v>
      </c>
      <c r="R28">
        <v>2.7280329999999999</v>
      </c>
      <c r="S28">
        <v>2.3045249999999999</v>
      </c>
      <c r="T28">
        <v>2.2495449999999999</v>
      </c>
      <c r="U28">
        <v>2.0341960000000001</v>
      </c>
      <c r="V28">
        <v>1.8464100000000001</v>
      </c>
      <c r="W28">
        <v>1.719123</v>
      </c>
      <c r="X28">
        <v>1.4518789999999999</v>
      </c>
      <c r="Y28">
        <v>1.5853360000000001</v>
      </c>
      <c r="Z28">
        <v>1.433254</v>
      </c>
      <c r="AA28">
        <v>1.357102</v>
      </c>
      <c r="AB28">
        <v>1.3580989999999999</v>
      </c>
      <c r="AC28">
        <v>1.2443500000000001</v>
      </c>
      <c r="AD28">
        <v>1.119637</v>
      </c>
      <c r="AE28">
        <v>1.0645640000000001</v>
      </c>
      <c r="AF28">
        <v>0.99374399999999996</v>
      </c>
      <c r="AG28">
        <v>0.97467899999999996</v>
      </c>
      <c r="AH28">
        <v>0.97514500000000004</v>
      </c>
      <c r="AI28">
        <v>0.97449200000000002</v>
      </c>
      <c r="AJ28">
        <v>0.92529600000000001</v>
      </c>
      <c r="AK28">
        <v>0.87176699999999996</v>
      </c>
      <c r="AL28">
        <v>0.77989200000000003</v>
      </c>
      <c r="AM28">
        <v>0.73018799999999995</v>
      </c>
      <c r="AN28">
        <v>0.69349300000000003</v>
      </c>
      <c r="AO28">
        <v>0.71479000000000004</v>
      </c>
      <c r="AP28">
        <v>0.70042199999999999</v>
      </c>
      <c r="AQ28">
        <v>0.69838599999999995</v>
      </c>
    </row>
    <row r="29" spans="1:43" x14ac:dyDescent="0.25">
      <c r="A29" t="s">
        <v>16</v>
      </c>
      <c r="B29" t="s">
        <v>4</v>
      </c>
      <c r="C29" s="3">
        <v>0.124</v>
      </c>
      <c r="D29" s="3">
        <v>0.11700000000000001</v>
      </c>
      <c r="E29" s="3">
        <v>0.17066000000000001</v>
      </c>
      <c r="F29" s="3">
        <v>0.13982</v>
      </c>
      <c r="G29">
        <v>0.10807</v>
      </c>
      <c r="H29">
        <v>0.14716000000000001</v>
      </c>
      <c r="I29">
        <v>0.19192000000000001</v>
      </c>
      <c r="J29">
        <v>0.17219000000000001</v>
      </c>
      <c r="K29">
        <v>0.189613</v>
      </c>
      <c r="L29">
        <v>0.22831399999999999</v>
      </c>
      <c r="M29">
        <v>0.247312</v>
      </c>
      <c r="N29">
        <v>0.19505600000000001</v>
      </c>
      <c r="O29">
        <v>0.25750699999999999</v>
      </c>
      <c r="P29">
        <f t="shared" si="7"/>
        <v>0.26185394559999997</v>
      </c>
      <c r="Q29">
        <v>0.33001000000000003</v>
      </c>
      <c r="R29">
        <v>0.311531</v>
      </c>
      <c r="S29">
        <v>0.199013</v>
      </c>
      <c r="T29">
        <v>0.23838400000000001</v>
      </c>
      <c r="U29">
        <v>0.24606700000000001</v>
      </c>
      <c r="V29">
        <v>0.27598</v>
      </c>
      <c r="W29">
        <v>0.43711100000000003</v>
      </c>
      <c r="X29">
        <v>0.35888799999999998</v>
      </c>
      <c r="Y29">
        <v>0.45103100000000002</v>
      </c>
      <c r="Z29">
        <v>0.36838100000000001</v>
      </c>
      <c r="AA29">
        <v>0.30826599999999998</v>
      </c>
      <c r="AB29">
        <v>0.27542800000000001</v>
      </c>
      <c r="AC29">
        <v>0.26153999999999999</v>
      </c>
      <c r="AD29">
        <v>0.27124300000000001</v>
      </c>
      <c r="AE29">
        <v>0.25408999999999998</v>
      </c>
      <c r="AF29">
        <v>0.266654</v>
      </c>
      <c r="AG29">
        <v>0.27107900000000001</v>
      </c>
      <c r="AH29">
        <v>0.224717</v>
      </c>
      <c r="AI29">
        <v>0.20615</v>
      </c>
      <c r="AJ29">
        <v>0.213672</v>
      </c>
      <c r="AK29">
        <v>0.23618400000000001</v>
      </c>
      <c r="AL29">
        <v>0.234486</v>
      </c>
      <c r="AM29">
        <v>0.23739299999999999</v>
      </c>
      <c r="AN29">
        <v>0.26339899999999999</v>
      </c>
      <c r="AO29">
        <v>0.26542300000000002</v>
      </c>
      <c r="AP29">
        <v>0.27048699999999998</v>
      </c>
      <c r="AQ29">
        <v>0.27868599999999999</v>
      </c>
    </row>
    <row r="30" spans="1:43" x14ac:dyDescent="0.25">
      <c r="A30" t="s">
        <v>16</v>
      </c>
      <c r="B30" t="s">
        <v>7</v>
      </c>
      <c r="C30" s="3">
        <v>2.0489999999999999</v>
      </c>
      <c r="D30" s="3">
        <v>2.1880000000000002</v>
      </c>
      <c r="E30" s="3">
        <v>2.33724</v>
      </c>
      <c r="F30" s="3">
        <v>2.0754600000000001</v>
      </c>
      <c r="G30">
        <v>2.0256699999999999</v>
      </c>
      <c r="H30">
        <v>2.43411</v>
      </c>
      <c r="I30">
        <v>2.3518400000000002</v>
      </c>
      <c r="J30">
        <v>2.0631699999999999</v>
      </c>
      <c r="K30">
        <v>2.6613069999999999</v>
      </c>
      <c r="L30">
        <v>2.928261</v>
      </c>
      <c r="M30">
        <v>2.940385</v>
      </c>
      <c r="N30">
        <v>2.73224</v>
      </c>
      <c r="O30">
        <v>2.7970090000000001</v>
      </c>
      <c r="P30">
        <f t="shared" si="7"/>
        <v>3.1132796379999998</v>
      </c>
      <c r="Q30">
        <v>3.2716400000000001</v>
      </c>
      <c r="R30">
        <v>3.1399949999999999</v>
      </c>
      <c r="S30">
        <v>2.0629219999999999</v>
      </c>
      <c r="T30">
        <v>2.1326999999999998</v>
      </c>
      <c r="U30">
        <v>1.9912129999999999</v>
      </c>
      <c r="V30">
        <v>1.8561380000000001</v>
      </c>
      <c r="W30">
        <v>1.8570329999999999</v>
      </c>
      <c r="X30">
        <v>1.640671</v>
      </c>
      <c r="Y30">
        <v>1.7899560000000001</v>
      </c>
      <c r="Z30">
        <v>1.5794969999999999</v>
      </c>
      <c r="AA30">
        <v>1.513954</v>
      </c>
      <c r="AB30">
        <v>1.327169</v>
      </c>
      <c r="AC30">
        <v>1.2262029999999999</v>
      </c>
      <c r="AD30">
        <v>1.1158330000000001</v>
      </c>
      <c r="AE30">
        <v>1.0578149999999999</v>
      </c>
      <c r="AF30">
        <v>1.0178510000000001</v>
      </c>
      <c r="AG30">
        <v>1.0494250000000001</v>
      </c>
      <c r="AH30">
        <v>0.99479600000000001</v>
      </c>
      <c r="AI30">
        <v>0.978935</v>
      </c>
      <c r="AJ30">
        <v>0.99171900000000002</v>
      </c>
      <c r="AK30">
        <v>1.0007189999999999</v>
      </c>
      <c r="AL30">
        <v>1.004305</v>
      </c>
      <c r="AM30">
        <v>0.99362300000000003</v>
      </c>
      <c r="AN30">
        <v>1.0472999999999999</v>
      </c>
      <c r="AO30">
        <v>1.086109</v>
      </c>
      <c r="AP30">
        <v>1.0954790000000001</v>
      </c>
      <c r="AQ30">
        <v>1.125022</v>
      </c>
    </row>
    <row r="31" spans="1:43" s="4" customFormat="1" x14ac:dyDescent="0.25">
      <c r="A31" s="4" t="s">
        <v>16</v>
      </c>
      <c r="B31" s="16" t="s">
        <v>10</v>
      </c>
      <c r="C31" s="17">
        <v>7.55</v>
      </c>
      <c r="D31" s="17">
        <v>7.76</v>
      </c>
      <c r="E31" s="17">
        <v>9.3128299999999999</v>
      </c>
      <c r="F31" s="17">
        <v>8.3598400000000002</v>
      </c>
      <c r="G31" s="16">
        <v>8.38063</v>
      </c>
      <c r="H31" s="16">
        <v>9.9695099999999996</v>
      </c>
      <c r="I31" s="16">
        <v>10.30898</v>
      </c>
      <c r="J31" s="16">
        <v>9.5312099999999997</v>
      </c>
      <c r="K31" s="16">
        <v>10.744287</v>
      </c>
      <c r="L31" s="16">
        <v>11.774796</v>
      </c>
      <c r="M31" s="16">
        <v>12.113227999999999</v>
      </c>
      <c r="N31" s="16">
        <v>11.228085</v>
      </c>
      <c r="O31" s="16">
        <v>12.201015</v>
      </c>
      <c r="P31" s="16">
        <f t="shared" si="7"/>
        <v>12.8254858064</v>
      </c>
      <c r="Q31">
        <v>13.93031</v>
      </c>
      <c r="R31">
        <v>12.96177</v>
      </c>
      <c r="S31">
        <v>10.100937999999999</v>
      </c>
      <c r="T31">
        <v>10.203552999999999</v>
      </c>
      <c r="U31">
        <v>9.7562580000000008</v>
      </c>
      <c r="V31">
        <v>9.4697859999999991</v>
      </c>
      <c r="W31">
        <v>9.4476010000000006</v>
      </c>
      <c r="X31">
        <v>8.3423420000000004</v>
      </c>
      <c r="Y31">
        <v>9.0969789999999993</v>
      </c>
      <c r="Z31">
        <v>8.2497769999999999</v>
      </c>
      <c r="AA31">
        <v>7.6545610000000002</v>
      </c>
      <c r="AB31">
        <v>7.1790940000000001</v>
      </c>
      <c r="AC31">
        <v>6.5506630000000001</v>
      </c>
      <c r="AD31">
        <v>5.7500819999999999</v>
      </c>
      <c r="AE31">
        <v>5.2206020000000004</v>
      </c>
      <c r="AF31">
        <v>5.0949460000000002</v>
      </c>
      <c r="AG31">
        <v>4.9311150000000001</v>
      </c>
      <c r="AH31">
        <v>4.6112710000000003</v>
      </c>
      <c r="AI31">
        <v>4.4438630000000003</v>
      </c>
      <c r="AJ31">
        <v>4.4248580000000004</v>
      </c>
      <c r="AK31">
        <v>4.3591550000000003</v>
      </c>
      <c r="AL31">
        <v>4.2249650000000001</v>
      </c>
      <c r="AM31">
        <v>4.1835620000000002</v>
      </c>
      <c r="AN31">
        <v>4.2634530000000002</v>
      </c>
      <c r="AO31">
        <v>4.4514019999999999</v>
      </c>
      <c r="AP31">
        <v>4.5737379999999996</v>
      </c>
      <c r="AQ31">
        <v>4.6797800000000001</v>
      </c>
    </row>
    <row r="32" spans="1:43" x14ac:dyDescent="0.25">
      <c r="G32" s="6"/>
      <c r="H32" s="6"/>
      <c r="I32" s="6"/>
      <c r="J32" s="6"/>
      <c r="K32" s="6"/>
      <c r="L32" s="6"/>
      <c r="M32" s="6"/>
      <c r="N32" s="6"/>
      <c r="O32" s="6"/>
      <c r="P32" s="6"/>
      <c r="Q32" s="6"/>
      <c r="R32" s="6"/>
      <c r="S32" s="6"/>
      <c r="T32" s="6"/>
      <c r="U32" s="6"/>
      <c r="V32" s="6"/>
      <c r="W32" s="6"/>
      <c r="X32" s="6"/>
      <c r="Y32" s="6"/>
      <c r="Z32" s="6"/>
      <c r="AA32" s="6"/>
      <c r="AB32" s="6"/>
      <c r="AC32" s="6"/>
      <c r="AD32" s="6"/>
      <c r="AE32" s="6"/>
      <c r="AF32"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71"/>
  <sheetViews>
    <sheetView topLeftCell="P10" workbookViewId="0">
      <selection activeCell="D15" sqref="D15:AR23"/>
    </sheetView>
  </sheetViews>
  <sheetFormatPr defaultRowHeight="15" x14ac:dyDescent="0.25"/>
  <cols>
    <col min="1" max="1" width="17" bestFit="1" customWidth="1"/>
    <col min="2" max="2" width="16.85546875" bestFit="1" customWidth="1"/>
    <col min="3" max="3" width="12.42578125" bestFit="1" customWidth="1"/>
    <col min="35" max="45" width="8.85546875"/>
    <col min="46" max="46" width="8.85546875" style="9"/>
  </cols>
  <sheetData>
    <row r="1" spans="1:47" x14ac:dyDescent="0.25">
      <c r="C1" s="13">
        <v>0.60278200000000004</v>
      </c>
      <c r="D1" t="s">
        <v>33</v>
      </c>
    </row>
    <row r="2" spans="1:47" x14ac:dyDescent="0.25">
      <c r="C2">
        <v>0.13520853015529063</v>
      </c>
      <c r="D2" t="s">
        <v>13</v>
      </c>
      <c r="AT2" s="9" t="s">
        <v>18</v>
      </c>
    </row>
    <row r="3" spans="1:47" x14ac:dyDescent="0.25">
      <c r="AT3" s="9" t="s">
        <v>21</v>
      </c>
    </row>
    <row r="4" spans="1:47" s="7" customFormat="1" x14ac:dyDescent="0.25">
      <c r="A4" s="7" t="s">
        <v>17</v>
      </c>
      <c r="C4" s="7" t="s">
        <v>14</v>
      </c>
      <c r="D4" s="7">
        <v>2010</v>
      </c>
      <c r="E4" s="8">
        <v>2011</v>
      </c>
      <c r="F4" s="8">
        <v>2012</v>
      </c>
      <c r="G4" s="8">
        <v>2013</v>
      </c>
      <c r="H4" s="8">
        <v>2014</v>
      </c>
      <c r="I4" s="8">
        <v>2015</v>
      </c>
      <c r="J4" s="8">
        <v>2016</v>
      </c>
      <c r="K4" s="8">
        <v>2017</v>
      </c>
      <c r="L4" s="8">
        <v>2018</v>
      </c>
      <c r="M4" s="8">
        <v>2019</v>
      </c>
      <c r="N4" s="8">
        <v>2020</v>
      </c>
      <c r="O4" s="8">
        <v>2021</v>
      </c>
      <c r="P4" s="8">
        <v>2022</v>
      </c>
      <c r="Q4" s="8">
        <v>2023</v>
      </c>
      <c r="R4" s="8">
        <v>2024</v>
      </c>
      <c r="S4" s="8">
        <v>2025</v>
      </c>
      <c r="T4" s="8">
        <v>2026</v>
      </c>
      <c r="U4" s="8">
        <v>2027</v>
      </c>
      <c r="V4" s="8">
        <v>2028</v>
      </c>
      <c r="W4" s="8">
        <v>2029</v>
      </c>
      <c r="X4" s="8">
        <v>2030</v>
      </c>
      <c r="Y4" s="8">
        <v>2031</v>
      </c>
      <c r="Z4" s="8">
        <v>2032</v>
      </c>
      <c r="AA4" s="8">
        <v>2033</v>
      </c>
      <c r="AB4" s="8">
        <v>2034</v>
      </c>
      <c r="AC4" s="8">
        <v>2035</v>
      </c>
      <c r="AD4" s="8">
        <v>2036</v>
      </c>
      <c r="AE4" s="8">
        <v>2037</v>
      </c>
      <c r="AF4" s="8">
        <v>2038</v>
      </c>
      <c r="AG4" s="8">
        <v>2039</v>
      </c>
      <c r="AH4" s="8">
        <v>2040</v>
      </c>
      <c r="AI4" s="8">
        <v>2041</v>
      </c>
      <c r="AJ4" s="8">
        <v>2042</v>
      </c>
      <c r="AK4" s="8">
        <v>2043</v>
      </c>
      <c r="AL4" s="8">
        <v>2044</v>
      </c>
      <c r="AM4" s="8">
        <v>2045</v>
      </c>
      <c r="AN4" s="8">
        <v>2046</v>
      </c>
      <c r="AO4" s="8">
        <v>2047</v>
      </c>
      <c r="AP4" s="8">
        <v>2048</v>
      </c>
      <c r="AQ4" s="8">
        <v>2049</v>
      </c>
      <c r="AR4" s="8">
        <v>2050</v>
      </c>
      <c r="AS4" s="8"/>
      <c r="AT4" s="10" t="s">
        <v>19</v>
      </c>
      <c r="AU4" s="7" t="s">
        <v>20</v>
      </c>
    </row>
    <row r="5" spans="1:47" x14ac:dyDescent="0.25">
      <c r="A5" t="s">
        <v>0</v>
      </c>
      <c r="B5" t="s">
        <v>3</v>
      </c>
      <c r="C5" s="14">
        <v>0.26295633632281001</v>
      </c>
      <c r="D5" s="3">
        <f>'Prices by Case'!C2*$C$1</f>
        <v>4.2743238519535147</v>
      </c>
      <c r="E5" s="3">
        <f>'Prices by Case'!D2*$C$1-'NG Alphas'!$C5*'Demand by Case'!D2-'NG Alphas'!$C$2*'Demand by Case'!D$11</f>
        <v>2.7139078541738337</v>
      </c>
      <c r="F5" s="3">
        <f>'Prices by Case'!E2*$C$1-'NG Alphas'!$C5*'Demand by Case'!E2-'NG Alphas'!$C$2*'Demand by Case'!E$11</f>
        <v>1.1714833211159859</v>
      </c>
      <c r="G5" s="3">
        <f>'Prices by Case'!F2*$C$1-'NG Alphas'!$C5*'Demand by Case'!F2-'NG Alphas'!$C$2*'Demand by Case'!F$11</f>
        <v>2.147141335664466</v>
      </c>
      <c r="H5" s="3">
        <f>'Prices by Case'!G2*$C$1-'NG Alphas'!$C5*'Demand by Case'!G2-'NG Alphas'!$C$2*'Demand by Case'!G$11</f>
        <v>2.9000407173122955</v>
      </c>
      <c r="I5" s="3">
        <f>'Prices by Case'!H2*$C$1-'NG Alphas'!$C5*'Demand by Case'!H2-'NG Alphas'!$C$2*'Demand by Case'!H$11</f>
        <v>0.71192198947373542</v>
      </c>
      <c r="J5" s="3">
        <f>'Prices by Case'!I2*$C$1-'NG Alphas'!$C5*'Demand by Case'!I2-'NG Alphas'!$C$2*'Demand by Case'!I$11</f>
        <v>0.53890977944135243</v>
      </c>
      <c r="K5" s="3">
        <f>'Prices by Case'!J2*$C$1-'NG Alphas'!$C5*'Demand by Case'!J2-'NG Alphas'!$C$2*'Demand by Case'!J$11</f>
        <v>1.060862281646441</v>
      </c>
      <c r="L5" s="3">
        <f>'Prices by Case'!K2*$C$1-'NG Alphas'!$C5*'Demand by Case'!K2-'NG Alphas'!$C$2*'Demand by Case'!K$11</f>
        <v>0.74484404516559932</v>
      </c>
      <c r="M5" s="3">
        <f>'Prices by Case'!L2*$C$1-'NG Alphas'!$C5*'Demand by Case'!L2-'NG Alphas'!$C$2*'Demand by Case'!L$11</f>
        <v>-5.0799310081162119E-2</v>
      </c>
      <c r="N5" s="3">
        <f>'Prices by Case'!M2*$C$1-'NG Alphas'!$C5*'Demand by Case'!M2-'NG Alphas'!$C$2*'Demand by Case'!M$11</f>
        <v>-0.50293648591643425</v>
      </c>
      <c r="O5" s="3">
        <f>'Prices by Case'!N2*$C$1-'NG Alphas'!$C5*'Demand by Case'!N2-'NG Alphas'!$C$2*'Demand by Case'!N$11</f>
        <v>1.3390132680244284</v>
      </c>
      <c r="P5" s="3">
        <f>'Prices by Case'!O2*$C$1-'NG Alphas'!$C5*'Demand by Case'!O2-'NG Alphas'!$C$2*'Demand by Case'!O$11</f>
        <v>2.0225775118174214</v>
      </c>
      <c r="Q5" s="3">
        <f>'Prices by Case'!P2*$C$1-'NG Alphas'!$C5*'Demand by Case'!P2-'NG Alphas'!$C$2*'Demand by Case'!P$11</f>
        <v>-0.53250915128832044</v>
      </c>
      <c r="R5" s="3">
        <f>'Prices by Case'!Q2*$C$1-'NG Alphas'!$C5*'Demand by Case'!Q2-'NG Alphas'!$C$2*'Demand by Case'!Q$11</f>
        <v>-0.98043835017905867</v>
      </c>
      <c r="S5" s="3">
        <f>'Prices by Case'!R2*$C$1-'NG Alphas'!$C5*'Demand by Case'!R2-'NG Alphas'!$C$2*'Demand by Case'!R$11</f>
        <v>-0.52819742987919005</v>
      </c>
      <c r="T5" s="3">
        <f>'Prices by Case'!S2*$C$1-'NG Alphas'!$C5*'Demand by Case'!S2-'NG Alphas'!$C$2*'Demand by Case'!S$11</f>
        <v>-0.46574555781454507</v>
      </c>
      <c r="U5" s="3">
        <f>'Prices by Case'!T2*$C$1-'NG Alphas'!$C5*'Demand by Case'!T2-'NG Alphas'!$C$2*'Demand by Case'!T$11</f>
        <v>-0.60910673030080575</v>
      </c>
      <c r="V5" s="3">
        <f>'Prices by Case'!U2*$C$1-'NG Alphas'!$C5*'Demand by Case'!U2-'NG Alphas'!$C$2*'Demand by Case'!U$11</f>
        <v>-0.58807903611596823</v>
      </c>
      <c r="W5" s="3">
        <f>'Prices by Case'!V2*$C$1-'NG Alphas'!$C5*'Demand by Case'!V2-'NG Alphas'!$C$2*'Demand by Case'!V$11</f>
        <v>-0.5455836661596738</v>
      </c>
      <c r="X5" s="3">
        <f>'Prices by Case'!W2*$C$1-'NG Alphas'!$C5*'Demand by Case'!W2-'NG Alphas'!$C$2*'Demand by Case'!W$11</f>
        <v>-0.47609176867041891</v>
      </c>
      <c r="Y5" s="3">
        <f>'Prices by Case'!X2*$C$1-'NG Alphas'!$C5*'Demand by Case'!X2-'NG Alphas'!$C$2*'Demand by Case'!X$11</f>
        <v>-0.34293967983018359</v>
      </c>
      <c r="Z5" s="3">
        <f>'Prices by Case'!Y2*$C$1-'NG Alphas'!$C5*'Demand by Case'!Y2-'NG Alphas'!$C$2*'Demand by Case'!Y$11</f>
        <v>-0.35749633806237324</v>
      </c>
      <c r="AA5" s="3">
        <f>'Prices by Case'!Z2*$C$1-'NG Alphas'!$C5*'Demand by Case'!Z2-'NG Alphas'!$C$2*'Demand by Case'!Z$11</f>
        <v>-3.9765156192195672E-2</v>
      </c>
      <c r="AB5" s="3">
        <f>'Prices by Case'!AA2*$C$1-'NG Alphas'!$C5*'Demand by Case'!AA2-'NG Alphas'!$C$2*'Demand by Case'!AA$11</f>
        <v>0.22632979326338321</v>
      </c>
      <c r="AC5" s="3">
        <f>'Prices by Case'!AB2*$C$1-'NG Alphas'!$C5*'Demand by Case'!AB2-'NG Alphas'!$C$2*'Demand by Case'!AB$11</f>
        <v>0.40058276157882422</v>
      </c>
      <c r="AD5" s="3">
        <f>'Prices by Case'!AC2*$C$1-'NG Alphas'!$C5*'Demand by Case'!AC2-'NG Alphas'!$C$2*'Demand by Case'!AC$11</f>
        <v>0.52913772329462128</v>
      </c>
      <c r="AE5" s="3">
        <f>'Prices by Case'!AD2*$C$1-'NG Alphas'!$C5*'Demand by Case'!AD2-'NG Alphas'!$C$2*'Demand by Case'!AD$11</f>
        <v>0.61958170308533678</v>
      </c>
      <c r="AF5" s="3">
        <f>'Prices by Case'!AE2*$C$1-'NG Alphas'!$C5*'Demand by Case'!AE2-'NG Alphas'!$C$2*'Demand by Case'!AE$11</f>
        <v>0.64499614754824486</v>
      </c>
      <c r="AG5" s="3">
        <f>'Prices by Case'!AF2*$C$1-'NG Alphas'!$C5*'Demand by Case'!AF2-'NG Alphas'!$C$2*'Demand by Case'!AF$11</f>
        <v>0.66749824177404782</v>
      </c>
      <c r="AH5" s="3">
        <f>'Prices by Case'!AG2*$C$1-'NG Alphas'!$C5*'Demand by Case'!AG2-'NG Alphas'!$C$2*'Demand by Case'!AG$11</f>
        <v>0.63650608756033367</v>
      </c>
      <c r="AI5" s="3">
        <f>'Prices by Case'!AH2*$C$1-'NG Alphas'!$C5*'Demand by Case'!AH2-'NG Alphas'!$C$2*'Demand by Case'!AH$11</f>
        <v>0.63026752960170085</v>
      </c>
      <c r="AJ5" s="3">
        <f>'Prices by Case'!AI2*$C$1-'NG Alphas'!$C5*'Demand by Case'!AI2-'NG Alphas'!$C$2*'Demand by Case'!AI$11</f>
        <v>0.65935588248317112</v>
      </c>
      <c r="AK5" s="3">
        <f>'Prices by Case'!AJ2*$C$1-'NG Alphas'!$C5*'Demand by Case'!AJ2-'NG Alphas'!$C$2*'Demand by Case'!AJ$11</f>
        <v>0.65049308318751309</v>
      </c>
      <c r="AL5" s="3">
        <f>'Prices by Case'!AK2*$C$1-'NG Alphas'!$C5*'Demand by Case'!AK2-'NG Alphas'!$C$2*'Demand by Case'!AK$11</f>
        <v>0.61996470242886459</v>
      </c>
      <c r="AM5" s="3">
        <f>'Prices by Case'!AL2*$C$1-'NG Alphas'!$C5*'Demand by Case'!AL2-'NG Alphas'!$C$2*'Demand by Case'!AL$11</f>
        <v>0.6299576031489551</v>
      </c>
      <c r="AN5" s="3">
        <f>'Prices by Case'!AM2*$C$1-'NG Alphas'!$C5*'Demand by Case'!AM2-'NG Alphas'!$C$2*'Demand by Case'!AM$11</f>
        <v>0.62336646014984987</v>
      </c>
      <c r="AO5" s="3">
        <f>'Prices by Case'!AN2*$C$1-'NG Alphas'!$C5*'Demand by Case'!AN2-'NG Alphas'!$C$2*'Demand by Case'!AN$11</f>
        <v>0.65398124270887115</v>
      </c>
      <c r="AP5" s="3">
        <f>'Prices by Case'!AO2*$C$1-'NG Alphas'!$C5*'Demand by Case'!AO2-'NG Alphas'!$C$2*'Demand by Case'!AO$11</f>
        <v>0.63998914678876573</v>
      </c>
      <c r="AQ5" s="3">
        <f>'Prices by Case'!AP2*$C$1-'NG Alphas'!$C5*'Demand by Case'!AP2-'NG Alphas'!$C$2*'Demand by Case'!AP$11</f>
        <v>0.61278281589661243</v>
      </c>
      <c r="AR5" s="3">
        <f>'Prices by Case'!AQ2*$C$1-'NG Alphas'!$C5*'Demand by Case'!AQ2-'NG Alphas'!$C$2*'Demand by Case'!AQ$11</f>
        <v>0.59676825402417899</v>
      </c>
      <c r="AS5" s="3"/>
      <c r="AT5" s="11">
        <f>(AH5+'Demand by Case'!AG2*'NG Alphas'!C5+'Demand by Case'!$AG$11*'NG Alphas'!$C$2)/'NG Alphas'!$C$1</f>
        <v>3.6628890000000007</v>
      </c>
      <c r="AU5" s="11">
        <v>5.5852389999999996</v>
      </c>
    </row>
    <row r="6" spans="1:47" x14ac:dyDescent="0.25">
      <c r="A6" t="s">
        <v>0</v>
      </c>
      <c r="B6" t="s">
        <v>6</v>
      </c>
      <c r="C6" s="14">
        <v>0.60841226768421552</v>
      </c>
      <c r="D6" s="3">
        <f>'Prices by Case'!C3*$C$1</f>
        <v>4.1378736160508724</v>
      </c>
      <c r="E6" s="3">
        <f>'Prices by Case'!D3*$C$1-'NG Alphas'!$C6*'Demand by Case'!D3-'NG Alphas'!$C$2*'Demand by Case'!D$11</f>
        <v>2.2002797607657691</v>
      </c>
      <c r="F6" s="3">
        <f>'Prices by Case'!E3*$C$1-'NG Alphas'!$C6*'Demand by Case'!E3-'NG Alphas'!$C$2*'Demand by Case'!E$11</f>
        <v>0.77014557245315651</v>
      </c>
      <c r="G6" s="3">
        <f>'Prices by Case'!F3*$C$1-'NG Alphas'!$C6*'Demand by Case'!F3-'NG Alphas'!$C$2*'Demand by Case'!F$11</f>
        <v>1.7575023406675929</v>
      </c>
      <c r="H6" s="3">
        <f>'Prices by Case'!G3*$C$1-'NG Alphas'!$C6*'Demand by Case'!G3-'NG Alphas'!$C$2*'Demand by Case'!G$11</f>
        <v>2.1929869272357809</v>
      </c>
      <c r="I6" s="3">
        <f>'Prices by Case'!H3*$C$1-'NG Alphas'!$C6*'Demand by Case'!H3-'NG Alphas'!$C$2*'Demand by Case'!H$11</f>
        <v>0.4291959952206621</v>
      </c>
      <c r="J6" s="3">
        <f>'Prices by Case'!I3*$C$1-'NG Alphas'!$C6*'Demand by Case'!I3-'NG Alphas'!$C$2*'Demand by Case'!I$11</f>
        <v>3.9588120605686283E-2</v>
      </c>
      <c r="K6" s="3">
        <f>'Prices by Case'!J3*$C$1-'NG Alphas'!$C6*'Demand by Case'!J3-'NG Alphas'!$C$2*'Demand by Case'!J$11</f>
        <v>0.60453658178901515</v>
      </c>
      <c r="L6" s="3">
        <f>'Prices by Case'!K3*$C$1-'NG Alphas'!$C6*'Demand by Case'!K3-'NG Alphas'!$C$2*'Demand by Case'!K$11</f>
        <v>0.36894389655221893</v>
      </c>
      <c r="M6" s="3">
        <f>'Prices by Case'!L3*$C$1-'NG Alphas'!$C6*'Demand by Case'!L3-'NG Alphas'!$C$2*'Demand by Case'!L$11</f>
        <v>-0.23416557106321068</v>
      </c>
      <c r="N6" s="3">
        <f>'Prices by Case'!M3*$C$1-'NG Alphas'!$C6*'Demand by Case'!M3-'NG Alphas'!$C$2*'Demand by Case'!M$11</f>
        <v>-0.60444315668918436</v>
      </c>
      <c r="O6" s="3">
        <f>'Prices by Case'!N3*$C$1-'NG Alphas'!$C6*'Demand by Case'!N3-'NG Alphas'!$C$2*'Demand by Case'!N$11</f>
        <v>1.506878451882486</v>
      </c>
      <c r="P6" s="3">
        <f>'Prices by Case'!O3*$C$1-'NG Alphas'!$C6*'Demand by Case'!O3-'NG Alphas'!$C$2*'Demand by Case'!O$11</f>
        <v>2.5710224733060318</v>
      </c>
      <c r="Q6" s="3">
        <f>'Prices by Case'!P3*$C$1-'NG Alphas'!$C6*'Demand by Case'!P3-'NG Alphas'!$C$2*'Demand by Case'!P$11</f>
        <v>-0.63998441430250841</v>
      </c>
      <c r="R6" s="3">
        <f>'Prices by Case'!Q3*$C$1-'NG Alphas'!$C6*'Demand by Case'!Q3-'NG Alphas'!$C$2*'Demand by Case'!Q$11</f>
        <v>-0.97085498400035597</v>
      </c>
      <c r="S6" s="3">
        <f>'Prices by Case'!R3*$C$1-'NG Alphas'!$C6*'Demand by Case'!R3-'NG Alphas'!$C$2*'Demand by Case'!R$11</f>
        <v>-0.54495409359296443</v>
      </c>
      <c r="T6" s="3">
        <f>'Prices by Case'!S3*$C$1-'NG Alphas'!$C6*'Demand by Case'!S3-'NG Alphas'!$C$2*'Demand by Case'!S$11</f>
        <v>-0.50356524615909182</v>
      </c>
      <c r="U6" s="3">
        <f>'Prices by Case'!T3*$C$1-'NG Alphas'!$C6*'Demand by Case'!T3-'NG Alphas'!$C$2*'Demand by Case'!T$11</f>
        <v>-0.63384948117117257</v>
      </c>
      <c r="V6" s="3">
        <f>'Prices by Case'!U3*$C$1-'NG Alphas'!$C6*'Demand by Case'!U3-'NG Alphas'!$C$2*'Demand by Case'!U$11</f>
        <v>-0.53696081878581281</v>
      </c>
      <c r="W6" s="3">
        <f>'Prices by Case'!V3*$C$1-'NG Alphas'!$C6*'Demand by Case'!V3-'NG Alphas'!$C$2*'Demand by Case'!V$11</f>
        <v>-0.40412345132397309</v>
      </c>
      <c r="X6" s="3">
        <f>'Prices by Case'!W3*$C$1-'NG Alphas'!$C6*'Demand by Case'!W3-'NG Alphas'!$C$2*'Demand by Case'!W$11</f>
        <v>-0.2311074559947468</v>
      </c>
      <c r="Y6" s="3">
        <f>'Prices by Case'!X3*$C$1-'NG Alphas'!$C6*'Demand by Case'!X3-'NG Alphas'!$C$2*'Demand by Case'!X$11</f>
        <v>-8.5672544470442036E-2</v>
      </c>
      <c r="Z6" s="3">
        <f>'Prices by Case'!Y3*$C$1-'NG Alphas'!$C6*'Demand by Case'!Y3-'NG Alphas'!$C$2*'Demand by Case'!Y$11</f>
        <v>9.9672120999549918E-4</v>
      </c>
      <c r="AA6" s="3">
        <f>'Prices by Case'!Z3*$C$1-'NG Alphas'!$C6*'Demand by Case'!Z3-'NG Alphas'!$C$2*'Demand by Case'!Z$11</f>
        <v>0.37078581037996861</v>
      </c>
      <c r="AB6" s="3">
        <f>'Prices by Case'!AA3*$C$1-'NG Alphas'!$C6*'Demand by Case'!AA3-'NG Alphas'!$C$2*'Demand by Case'!AA$11</f>
        <v>0.64345923785621073</v>
      </c>
      <c r="AC6" s="3">
        <f>'Prices by Case'!AB3*$C$1-'NG Alphas'!$C6*'Demand by Case'!AB3-'NG Alphas'!$C$2*'Demand by Case'!AB$11</f>
        <v>0.79852124793746704</v>
      </c>
      <c r="AD6" s="3">
        <f>'Prices by Case'!AC3*$C$1-'NG Alphas'!$C6*'Demand by Case'!AC3-'NG Alphas'!$C$2*'Demand by Case'!AC$11</f>
        <v>0.87871184542363934</v>
      </c>
      <c r="AE6" s="3">
        <f>'Prices by Case'!AD3*$C$1-'NG Alphas'!$C6*'Demand by Case'!AD3-'NG Alphas'!$C$2*'Demand by Case'!AD$11</f>
        <v>0.9771893459521015</v>
      </c>
      <c r="AF6" s="3">
        <f>'Prices by Case'!AE3*$C$1-'NG Alphas'!$C6*'Demand by Case'!AE3-'NG Alphas'!$C$2*'Demand by Case'!AE$11</f>
        <v>1.0367718546665889</v>
      </c>
      <c r="AG6" s="3">
        <f>'Prices by Case'!AF3*$C$1-'NG Alphas'!$C6*'Demand by Case'!AF3-'NG Alphas'!$C$2*'Demand by Case'!AF$11</f>
        <v>1.0574937330657328</v>
      </c>
      <c r="AH6" s="3">
        <f>'Prices by Case'!AG3*$C$1-'NG Alphas'!$C6*'Demand by Case'!AG3-'NG Alphas'!$C$2*'Demand by Case'!AG$11</f>
        <v>1.0574026154469787</v>
      </c>
      <c r="AI6" s="3">
        <f>'Prices by Case'!AH3*$C$1-'NG Alphas'!$C6*'Demand by Case'!AH3-'NG Alphas'!$C$2*'Demand by Case'!AH$11</f>
        <v>1.0628915897581777</v>
      </c>
      <c r="AJ6" s="3">
        <f>'Prices by Case'!AI3*$C$1-'NG Alphas'!$C6*'Demand by Case'!AI3-'NG Alphas'!$C$2*'Demand by Case'!AI$11</f>
        <v>1.0863504970427074</v>
      </c>
      <c r="AK6" s="3">
        <f>'Prices by Case'!AJ3*$C$1-'NG Alphas'!$C6*'Demand by Case'!AJ3-'NG Alphas'!$C$2*'Demand by Case'!AJ$11</f>
        <v>1.1710821579335615</v>
      </c>
      <c r="AL6" s="3">
        <f>'Prices by Case'!AK3*$C$1-'NG Alphas'!$C6*'Demand by Case'!AK3-'NG Alphas'!$C$2*'Demand by Case'!AK$11</f>
        <v>1.1905789771440234</v>
      </c>
      <c r="AM6" s="3">
        <f>'Prices by Case'!AL3*$C$1-'NG Alphas'!$C6*'Demand by Case'!AL3-'NG Alphas'!$C$2*'Demand by Case'!AL$11</f>
        <v>1.1982471431320587</v>
      </c>
      <c r="AN6" s="3">
        <f>'Prices by Case'!AM3*$C$1-'NG Alphas'!$C6*'Demand by Case'!AM3-'NG Alphas'!$C$2*'Demand by Case'!AM$11</f>
        <v>1.2458348813220572</v>
      </c>
      <c r="AO6" s="3">
        <f>'Prices by Case'!AN3*$C$1-'NG Alphas'!$C6*'Demand by Case'!AN3-'NG Alphas'!$C$2*'Demand by Case'!AN$11</f>
        <v>1.2551616166694686</v>
      </c>
      <c r="AP6" s="3">
        <f>'Prices by Case'!AO3*$C$1-'NG Alphas'!$C6*'Demand by Case'!AO3-'NG Alphas'!$C$2*'Demand by Case'!AO$11</f>
        <v>1.1955804303696296</v>
      </c>
      <c r="AQ6" s="3">
        <f>'Prices by Case'!AP3*$C$1-'NG Alphas'!$C6*'Demand by Case'!AP3-'NG Alphas'!$C$2*'Demand by Case'!AP$11</f>
        <v>1.0748193492454055</v>
      </c>
      <c r="AR6" s="3">
        <f>'Prices by Case'!AQ3*$C$1-'NG Alphas'!$C6*'Demand by Case'!AQ3-'NG Alphas'!$C$2*'Demand by Case'!AQ$11</f>
        <v>0.99016898787341523</v>
      </c>
      <c r="AS6" s="3"/>
      <c r="AT6" s="11">
        <f>(AH6+'Demand by Case'!AG3*'NG Alphas'!C6+'Demand by Case'!$AG$11*'NG Alphas'!$C$2)/'NG Alphas'!$C$1</f>
        <v>4.2991330000000012</v>
      </c>
      <c r="AU6" s="11">
        <v>5.0295740000000002</v>
      </c>
    </row>
    <row r="7" spans="1:47" x14ac:dyDescent="0.25">
      <c r="A7" t="s">
        <v>0</v>
      </c>
      <c r="B7" t="s">
        <v>2</v>
      </c>
      <c r="C7" s="14">
        <v>0.14497774722731144</v>
      </c>
      <c r="D7" s="3">
        <f>'Prices by Case'!C4*$C$1</f>
        <v>4.7115638256984873</v>
      </c>
      <c r="E7" s="3">
        <f>'Prices by Case'!D4*$C$1-'NG Alphas'!$C7*'Demand by Case'!D4-'NG Alphas'!$C$2*'Demand by Case'!D$11</f>
        <v>3.1398234404486107</v>
      </c>
      <c r="F7" s="3">
        <f>'Prices by Case'!E4*$C$1-'NG Alphas'!$C7*'Demand by Case'!E4-'NG Alphas'!$C$2*'Demand by Case'!E$11</f>
        <v>1.539767229517955</v>
      </c>
      <c r="G7" s="3">
        <f>'Prices by Case'!F4*$C$1-'NG Alphas'!$C7*'Demand by Case'!F4-'NG Alphas'!$C$2*'Demand by Case'!F$11</f>
        <v>2.4654549888554165</v>
      </c>
      <c r="H7" s="3">
        <f>'Prices by Case'!G4*$C$1-'NG Alphas'!$C7*'Demand by Case'!G4-'NG Alphas'!$C$2*'Demand by Case'!G$11</f>
        <v>2.7714771522384121</v>
      </c>
      <c r="I7" s="3">
        <f>'Prices by Case'!H4*$C$1-'NG Alphas'!$C7*'Demand by Case'!H4-'NG Alphas'!$C$2*'Demand by Case'!H$11</f>
        <v>0.79368306044094683</v>
      </c>
      <c r="J7" s="3">
        <f>'Prices by Case'!I4*$C$1-'NG Alphas'!$C7*'Demand by Case'!I4-'NG Alphas'!$C$2*'Demand by Case'!I$11</f>
        <v>0.61804107849298906</v>
      </c>
      <c r="K7" s="3">
        <f>'Prices by Case'!J4*$C$1-'NG Alphas'!$C7*'Demand by Case'!J4-'NG Alphas'!$C$2*'Demand by Case'!J$11</f>
        <v>1.0452689305943794</v>
      </c>
      <c r="L7" s="3">
        <f>'Prices by Case'!K4*$C$1-'NG Alphas'!$C7*'Demand by Case'!K4-'NG Alphas'!$C$2*'Demand by Case'!K$11</f>
        <v>0.90758109133231368</v>
      </c>
      <c r="M7" s="3">
        <f>'Prices by Case'!L4*$C$1-'NG Alphas'!$C7*'Demand by Case'!L4-'NG Alphas'!$C$2*'Demand by Case'!L$11</f>
        <v>0.34902581566072555</v>
      </c>
      <c r="N7" s="3">
        <f>'Prices by Case'!M4*$C$1-'NG Alphas'!$C7*'Demand by Case'!M4-'NG Alphas'!$C$2*'Demand by Case'!M$11</f>
        <v>-0.12049962503760425</v>
      </c>
      <c r="O7" s="3">
        <f>'Prices by Case'!N4*$C$1-'NG Alphas'!$C7*'Demand by Case'!N4-'NG Alphas'!$C$2*'Demand by Case'!N$11</f>
        <v>1.4511304972005803</v>
      </c>
      <c r="P7" s="3">
        <f>'Prices by Case'!O4*$C$1-'NG Alphas'!$C7*'Demand by Case'!O4-'NG Alphas'!$C$2*'Demand by Case'!O$11</f>
        <v>1.7828926433910903</v>
      </c>
      <c r="Q7" s="3">
        <f>'Prices by Case'!P4*$C$1-'NG Alphas'!$C7*'Demand by Case'!P4-'NG Alphas'!$C$2*'Demand by Case'!P$11</f>
        <v>-0.12758500298981512</v>
      </c>
      <c r="R7" s="3">
        <f>'Prices by Case'!Q4*$C$1-'NG Alphas'!$C7*'Demand by Case'!Q4-'NG Alphas'!$C$2*'Demand by Case'!Q$11</f>
        <v>-0.79789704493665203</v>
      </c>
      <c r="S7" s="3">
        <f>'Prices by Case'!R4*$C$1-'NG Alphas'!$C7*'Demand by Case'!R4-'NG Alphas'!$C$2*'Demand by Case'!R$11</f>
        <v>-0.36446545709340228</v>
      </c>
      <c r="T7" s="3">
        <f>'Prices by Case'!S4*$C$1-'NG Alphas'!$C7*'Demand by Case'!S4-'NG Alphas'!$C$2*'Demand by Case'!S$11</f>
        <v>-0.24464748515000201</v>
      </c>
      <c r="U7" s="3">
        <f>'Prices by Case'!T4*$C$1-'NG Alphas'!$C7*'Demand by Case'!T4-'NG Alphas'!$C$2*'Demand by Case'!T$11</f>
        <v>-0.38298434735156439</v>
      </c>
      <c r="V7" s="3">
        <f>'Prices by Case'!U4*$C$1-'NG Alphas'!$C7*'Demand by Case'!U4-'NG Alphas'!$C$2*'Demand by Case'!U$11</f>
        <v>-0.39510292199168284</v>
      </c>
      <c r="W7" s="3">
        <f>'Prices by Case'!V4*$C$1-'NG Alphas'!$C7*'Demand by Case'!V4-'NG Alphas'!$C$2*'Demand by Case'!V$11</f>
        <v>-0.34664622796060263</v>
      </c>
      <c r="X7" s="3">
        <f>'Prices by Case'!W4*$C$1-'NG Alphas'!$C7*'Demand by Case'!W4-'NG Alphas'!$C$2*'Demand by Case'!W$11</f>
        <v>-0.28262787745233786</v>
      </c>
      <c r="Y7" s="3">
        <f>'Prices by Case'!X4*$C$1-'NG Alphas'!$C7*'Demand by Case'!X4-'NG Alphas'!$C$2*'Demand by Case'!X$11</f>
        <v>-0.15722290250526716</v>
      </c>
      <c r="Z7" s="3">
        <f>'Prices by Case'!Y4*$C$1-'NG Alphas'!$C7*'Demand by Case'!Y4-'NG Alphas'!$C$2*'Demand by Case'!Y$11</f>
        <v>-0.11893982389799795</v>
      </c>
      <c r="AA7" s="3">
        <f>'Prices by Case'!Z4*$C$1-'NG Alphas'!$C7*'Demand by Case'!Z4-'NG Alphas'!$C$2*'Demand by Case'!Z$11</f>
        <v>0.17692007826169087</v>
      </c>
      <c r="AB7" s="3">
        <f>'Prices by Case'!AA4*$C$1-'NG Alphas'!$C7*'Demand by Case'!AA4-'NG Alphas'!$C$2*'Demand by Case'!AA$11</f>
        <v>0.37894436385918295</v>
      </c>
      <c r="AC7" s="3">
        <f>'Prices by Case'!AB4*$C$1-'NG Alphas'!$C7*'Demand by Case'!AB4-'NG Alphas'!$C$2*'Demand by Case'!AB$11</f>
        <v>0.48649665314142498</v>
      </c>
      <c r="AD7" s="3">
        <f>'Prices by Case'!AC4*$C$1-'NG Alphas'!$C7*'Demand by Case'!AC4-'NG Alphas'!$C$2*'Demand by Case'!AC$11</f>
        <v>0.55632444213476062</v>
      </c>
      <c r="AE7" s="3">
        <f>'Prices by Case'!AD4*$C$1-'NG Alphas'!$C7*'Demand by Case'!AD4-'NG Alphas'!$C$2*'Demand by Case'!AD$11</f>
        <v>0.64236052331961035</v>
      </c>
      <c r="AF7" s="3">
        <f>'Prices by Case'!AE4*$C$1-'NG Alphas'!$C7*'Demand by Case'!AE4-'NG Alphas'!$C$2*'Demand by Case'!AE$11</f>
        <v>0.65761911343442914</v>
      </c>
      <c r="AG7" s="3">
        <f>'Prices by Case'!AF4*$C$1-'NG Alphas'!$C7*'Demand by Case'!AF4-'NG Alphas'!$C$2*'Demand by Case'!AF$11</f>
        <v>0.64030419548677675</v>
      </c>
      <c r="AH7" s="3">
        <f>'Prices by Case'!AG4*$C$1-'NG Alphas'!$C7*'Demand by Case'!AG4-'NG Alphas'!$C$2*'Demand by Case'!AG$11</f>
        <v>0.6072606198051913</v>
      </c>
      <c r="AI7" s="3">
        <f>'Prices by Case'!AH4*$C$1-'NG Alphas'!$C7*'Demand by Case'!AH4-'NG Alphas'!$C$2*'Demand by Case'!AH$11</f>
        <v>0.60073932070929703</v>
      </c>
      <c r="AJ7" s="3">
        <f>'Prices by Case'!AI4*$C$1-'NG Alphas'!$C7*'Demand by Case'!AI4-'NG Alphas'!$C$2*'Demand by Case'!AI$11</f>
        <v>0.64372088178611397</v>
      </c>
      <c r="AK7" s="3">
        <f>'Prices by Case'!AJ4*$C$1-'NG Alphas'!$C7*'Demand by Case'!AJ4-'NG Alphas'!$C$2*'Demand by Case'!AJ$11</f>
        <v>0.6515881305194251</v>
      </c>
      <c r="AL7" s="3">
        <f>'Prices by Case'!AK4*$C$1-'NG Alphas'!$C7*'Demand by Case'!AK4-'NG Alphas'!$C$2*'Demand by Case'!AK$11</f>
        <v>0.64134923494509444</v>
      </c>
      <c r="AM7" s="3">
        <f>'Prices by Case'!AL4*$C$1-'NG Alphas'!$C7*'Demand by Case'!AL4-'NG Alphas'!$C$2*'Demand by Case'!AL$11</f>
        <v>0.61766228377882637</v>
      </c>
      <c r="AN7" s="3">
        <f>'Prices by Case'!AM4*$C$1-'NG Alphas'!$C7*'Demand by Case'!AM4-'NG Alphas'!$C$2*'Demand by Case'!AM$11</f>
        <v>0.66356531209946468</v>
      </c>
      <c r="AO7" s="3">
        <f>'Prices by Case'!AN4*$C$1-'NG Alphas'!$C7*'Demand by Case'!AN4-'NG Alphas'!$C$2*'Demand by Case'!AN$11</f>
        <v>0.65153480918069318</v>
      </c>
      <c r="AP7" s="3">
        <f>'Prices by Case'!AO4*$C$1-'NG Alphas'!$C7*'Demand by Case'!AO4-'NG Alphas'!$C$2*'Demand by Case'!AO$11</f>
        <v>0.62149476859313046</v>
      </c>
      <c r="AQ7" s="3">
        <f>'Prices by Case'!AP4*$C$1-'NG Alphas'!$C7*'Demand by Case'!AP4-'NG Alphas'!$C$2*'Demand by Case'!AP$11</f>
        <v>0.59510909880796548</v>
      </c>
      <c r="AR7" s="3">
        <f>'Prices by Case'!AQ4*$C$1-'NG Alphas'!$C7*'Demand by Case'!AQ4-'NG Alphas'!$C$2*'Demand by Case'!AQ$11</f>
        <v>0.53960154432945662</v>
      </c>
      <c r="AS7" s="3"/>
      <c r="AT7" s="11">
        <f>(AH7+'Demand by Case'!AG4*'NG Alphas'!C7+'Demand by Case'!$AG$11*'NG Alphas'!$C$2)/'NG Alphas'!$C$1</f>
        <v>3.2155029999999996</v>
      </c>
      <c r="AU7" s="11">
        <v>5.7500429999999998</v>
      </c>
    </row>
    <row r="8" spans="1:47" x14ac:dyDescent="0.25">
      <c r="A8" t="s">
        <v>0</v>
      </c>
      <c r="B8" t="s">
        <v>8</v>
      </c>
      <c r="C8" s="14">
        <v>0.54532052123182084</v>
      </c>
      <c r="D8" s="3">
        <f>'Prices by Case'!C5*$C$1</f>
        <v>4.3488509548252035</v>
      </c>
      <c r="E8" s="3">
        <f>'Prices by Case'!D5*$C$1-'NG Alphas'!$C8*'Demand by Case'!D5-'NG Alphas'!$C$2*'Demand by Case'!D$11</f>
        <v>2.7158125260700716</v>
      </c>
      <c r="F8" s="3">
        <f>'Prices by Case'!E5*$C$1-'NG Alphas'!$C8*'Demand by Case'!E5-'NG Alphas'!$C$2*'Demand by Case'!E$11</f>
        <v>1.2803753647941767</v>
      </c>
      <c r="G8" s="3">
        <f>'Prices by Case'!F5*$C$1-'NG Alphas'!$C8*'Demand by Case'!F5-'NG Alphas'!$C$2*'Demand by Case'!F$11</f>
        <v>2.1476220613774211</v>
      </c>
      <c r="H8" s="3">
        <f>'Prices by Case'!G5*$C$1-'NG Alphas'!$C8*'Demand by Case'!G5-'NG Alphas'!$C$2*'Demand by Case'!G$11</f>
        <v>2.4511278725373762</v>
      </c>
      <c r="I8" s="3">
        <f>'Prices by Case'!H5*$C$1-'NG Alphas'!$C8*'Demand by Case'!H5-'NG Alphas'!$C$2*'Demand by Case'!H$11</f>
        <v>0.82455362756734485</v>
      </c>
      <c r="J8" s="3">
        <f>'Prices by Case'!I5*$C$1-'NG Alphas'!$C8*'Demand by Case'!I5-'NG Alphas'!$C$2*'Demand by Case'!I$11</f>
        <v>0.32504394420439797</v>
      </c>
      <c r="K8" s="3">
        <f>'Prices by Case'!J5*$C$1-'NG Alphas'!$C8*'Demand by Case'!J5-'NG Alphas'!$C$2*'Demand by Case'!J$11</f>
        <v>0.86366943488649728</v>
      </c>
      <c r="L8" s="3">
        <f>'Prices by Case'!K5*$C$1-'NG Alphas'!$C8*'Demand by Case'!K5-'NG Alphas'!$C$2*'Demand by Case'!K$11</f>
        <v>0.73171208529155507</v>
      </c>
      <c r="M8" s="3">
        <f>'Prices by Case'!L5*$C$1-'NG Alphas'!$C8*'Demand by Case'!L5-'NG Alphas'!$C$2*'Demand by Case'!L$11</f>
        <v>1.2359993180262263E-2</v>
      </c>
      <c r="N8" s="3">
        <f>'Prices by Case'!M5*$C$1-'NG Alphas'!$C8*'Demand by Case'!M5-'NG Alphas'!$C$2*'Demand by Case'!M$11</f>
        <v>-0.2795846806996658</v>
      </c>
      <c r="O8" s="3">
        <f>'Prices by Case'!N5*$C$1-'NG Alphas'!$C8*'Demand by Case'!N5-'NG Alphas'!$C$2*'Demand by Case'!N$11</f>
        <v>1.760392044953575</v>
      </c>
      <c r="P8" s="3">
        <f>'Prices by Case'!O5*$C$1-'NG Alphas'!$C8*'Demand by Case'!O5-'NG Alphas'!$C$2*'Demand by Case'!O$11</f>
        <v>2.5451020982319301</v>
      </c>
      <c r="Q8" s="3">
        <f>'Prices by Case'!P5*$C$1-'NG Alphas'!$C8*'Demand by Case'!P5-'NG Alphas'!$C$2*'Demand by Case'!P$11</f>
        <v>-0.29602425992480619</v>
      </c>
      <c r="R8" s="3">
        <f>'Prices by Case'!Q5*$C$1-'NG Alphas'!$C8*'Demand by Case'!Q5-'NG Alphas'!$C$2*'Demand by Case'!Q$11</f>
        <v>-0.82646076399122981</v>
      </c>
      <c r="S8" s="3">
        <f>'Prices by Case'!R5*$C$1-'NG Alphas'!$C8*'Demand by Case'!R5-'NG Alphas'!$C$2*'Demand by Case'!R$11</f>
        <v>-0.38074382900746473</v>
      </c>
      <c r="T8" s="3">
        <f>'Prices by Case'!S5*$C$1-'NG Alphas'!$C8*'Demand by Case'!S5-'NG Alphas'!$C$2*'Demand by Case'!S$11</f>
        <v>-0.32959446769799228</v>
      </c>
      <c r="U8" s="3">
        <f>'Prices by Case'!T5*$C$1-'NG Alphas'!$C8*'Demand by Case'!T5-'NG Alphas'!$C$2*'Demand by Case'!T$11</f>
        <v>-0.40153602658404108</v>
      </c>
      <c r="V8" s="3">
        <f>'Prices by Case'!U5*$C$1-'NG Alphas'!$C8*'Demand by Case'!U5-'NG Alphas'!$C$2*'Demand by Case'!U$11</f>
        <v>-0.27449089609820576</v>
      </c>
      <c r="W8" s="3">
        <f>'Prices by Case'!V5*$C$1-'NG Alphas'!$C8*'Demand by Case'!V5-'NG Alphas'!$C$2*'Demand by Case'!V$11</f>
        <v>-0.11932086854429347</v>
      </c>
      <c r="X8" s="3">
        <f>'Prices by Case'!W5*$C$1-'NG Alphas'!$C8*'Demand by Case'!W5-'NG Alphas'!$C$2*'Demand by Case'!W$11</f>
        <v>4.5458597489321573E-2</v>
      </c>
      <c r="Y8" s="3">
        <f>'Prices by Case'!X5*$C$1-'NG Alphas'!$C8*'Demand by Case'!X5-'NG Alphas'!$C$2*'Demand by Case'!X$11</f>
        <v>0.21752108133748727</v>
      </c>
      <c r="Z8" s="3">
        <f>'Prices by Case'!Y5*$C$1-'NG Alphas'!$C8*'Demand by Case'!Y5-'NG Alphas'!$C$2*'Demand by Case'!Y$11</f>
        <v>0.4110870005100784</v>
      </c>
      <c r="AA8" s="3">
        <f>'Prices by Case'!Z5*$C$1-'NG Alphas'!$C8*'Demand by Case'!Z5-'NG Alphas'!$C$2*'Demand by Case'!Z$11</f>
        <v>0.82960533804933689</v>
      </c>
      <c r="AB8" s="3">
        <f>'Prices by Case'!AA5*$C$1-'NG Alphas'!$C8*'Demand by Case'!AA5-'NG Alphas'!$C$2*'Demand by Case'!AA$11</f>
        <v>1.1090057889143887</v>
      </c>
      <c r="AC8" s="3">
        <f>'Prices by Case'!AB5*$C$1-'NG Alphas'!$C8*'Demand by Case'!AB5-'NG Alphas'!$C$2*'Demand by Case'!AB$11</f>
        <v>1.2311886527826017</v>
      </c>
      <c r="AD8" s="3">
        <f>'Prices by Case'!AC5*$C$1-'NG Alphas'!$C8*'Demand by Case'!AC5-'NG Alphas'!$C$2*'Demand by Case'!AC$11</f>
        <v>1.2863562629356593</v>
      </c>
      <c r="AE8" s="3">
        <f>'Prices by Case'!AD5*$C$1-'NG Alphas'!$C8*'Demand by Case'!AD5-'NG Alphas'!$C$2*'Demand by Case'!AD$11</f>
        <v>1.3798449313944412</v>
      </c>
      <c r="AF8" s="3">
        <f>'Prices by Case'!AE5*$C$1-'NG Alphas'!$C8*'Demand by Case'!AE5-'NG Alphas'!$C$2*'Demand by Case'!AE$11</f>
        <v>1.4494253651465034</v>
      </c>
      <c r="AG8" s="3">
        <f>'Prices by Case'!AF5*$C$1-'NG Alphas'!$C8*'Demand by Case'!AF5-'NG Alphas'!$C$2*'Demand by Case'!AF$11</f>
        <v>1.4861780122175696</v>
      </c>
      <c r="AH8" s="3">
        <f>'Prices by Case'!AG5*$C$1-'NG Alphas'!$C8*'Demand by Case'!AG5-'NG Alphas'!$C$2*'Demand by Case'!AG$11</f>
        <v>1.5608434371755131</v>
      </c>
      <c r="AI8" s="3">
        <f>'Prices by Case'!AH5*$C$1-'NG Alphas'!$C8*'Demand by Case'!AH5-'NG Alphas'!$C$2*'Demand by Case'!AH$11</f>
        <v>1.656160052721195</v>
      </c>
      <c r="AJ8" s="3">
        <f>'Prices by Case'!AI5*$C$1-'NG Alphas'!$C8*'Demand by Case'!AI5-'NG Alphas'!$C$2*'Demand by Case'!AI$11</f>
        <v>1.7414919155876278</v>
      </c>
      <c r="AK8" s="3">
        <f>'Prices by Case'!AJ5*$C$1-'NG Alphas'!$C8*'Demand by Case'!AJ5-'NG Alphas'!$C$2*'Demand by Case'!AJ$11</f>
        <v>1.8251325117800716</v>
      </c>
      <c r="AL8" s="3">
        <f>'Prices by Case'!AK5*$C$1-'NG Alphas'!$C8*'Demand by Case'!AK5-'NG Alphas'!$C$2*'Demand by Case'!AK$11</f>
        <v>1.8459842602489429</v>
      </c>
      <c r="AM8" s="3">
        <f>'Prices by Case'!AL5*$C$1-'NG Alphas'!$C8*'Demand by Case'!AL5-'NG Alphas'!$C$2*'Demand by Case'!AL$11</f>
        <v>1.8635193826424874</v>
      </c>
      <c r="AN8" s="3">
        <f>'Prices by Case'!AM5*$C$1-'NG Alphas'!$C8*'Demand by Case'!AM5-'NG Alphas'!$C$2*'Demand by Case'!AM$11</f>
        <v>1.9284681604454732</v>
      </c>
      <c r="AO8" s="3">
        <f>'Prices by Case'!AN5*$C$1-'NG Alphas'!$C8*'Demand by Case'!AN5-'NG Alphas'!$C$2*'Demand by Case'!AN$11</f>
        <v>1.9756782446447567</v>
      </c>
      <c r="AP8" s="3">
        <f>'Prices by Case'!AO5*$C$1-'NG Alphas'!$C8*'Demand by Case'!AO5-'NG Alphas'!$C$2*'Demand by Case'!AO$11</f>
        <v>1.9087316024048431</v>
      </c>
      <c r="AQ8" s="3">
        <f>'Prices by Case'!AP5*$C$1-'NG Alphas'!$C8*'Demand by Case'!AP5-'NG Alphas'!$C$2*'Demand by Case'!AP$11</f>
        <v>1.8358664053988896</v>
      </c>
      <c r="AR8" s="3">
        <f>'Prices by Case'!AQ5*$C$1-'NG Alphas'!$C8*'Demand by Case'!AQ5-'NG Alphas'!$C$2*'Demand by Case'!AQ$11</f>
        <v>1.863104554963297</v>
      </c>
      <c r="AS8" s="3"/>
      <c r="AT8" s="11">
        <f>(AH8+'Demand by Case'!AG5*'NG Alphas'!C8+'Demand by Case'!$AG$11*'NG Alphas'!$C$2)/'NG Alphas'!$C$1</f>
        <v>5.3064039999999997</v>
      </c>
      <c r="AU8" s="11">
        <v>5.961182</v>
      </c>
    </row>
    <row r="9" spans="1:47" x14ac:dyDescent="0.25">
      <c r="A9" t="s">
        <v>0</v>
      </c>
      <c r="B9" t="s">
        <v>1</v>
      </c>
      <c r="C9" s="14">
        <v>0.50217579747531205</v>
      </c>
      <c r="D9" s="3">
        <f>'Prices by Case'!C6*$C$1</f>
        <v>4.6838750171663719</v>
      </c>
      <c r="E9" s="3">
        <f>'Prices by Case'!D6*$C$1-'NG Alphas'!$C9*'Demand by Case'!D6-'NG Alphas'!$C$2*'Demand by Case'!D$11</f>
        <v>2.9271620518635126</v>
      </c>
      <c r="F9" s="3">
        <f>'Prices by Case'!E6*$C$1-'NG Alphas'!$C9*'Demand by Case'!E6-'NG Alphas'!$C$2*'Demand by Case'!E$11</f>
        <v>1.6056841390394616</v>
      </c>
      <c r="G9" s="3">
        <f>'Prices by Case'!F6*$C$1-'NG Alphas'!$C9*'Demand by Case'!F6-'NG Alphas'!$C$2*'Demand by Case'!F$11</f>
        <v>3.5464152474947772</v>
      </c>
      <c r="H9" s="3">
        <f>'Prices by Case'!G6*$C$1-'NG Alphas'!$C9*'Demand by Case'!G6-'NG Alphas'!$C$2*'Demand by Case'!G$11</f>
        <v>3.9811655937527926</v>
      </c>
      <c r="I9" s="3">
        <f>'Prices by Case'!H6*$C$1-'NG Alphas'!$C9*'Demand by Case'!H6-'NG Alphas'!$C$2*'Demand by Case'!H$11</f>
        <v>1.8666083947473033</v>
      </c>
      <c r="J9" s="3">
        <f>'Prices by Case'!I6*$C$1-'NG Alphas'!$C9*'Demand by Case'!I6-'NG Alphas'!$C$2*'Demand by Case'!I$11</f>
        <v>1.5119945901028327</v>
      </c>
      <c r="K9" s="3">
        <f>'Prices by Case'!J6*$C$1-'NG Alphas'!$C9*'Demand by Case'!J6-'NG Alphas'!$C$2*'Demand by Case'!J$11</f>
        <v>1.7528551153717022</v>
      </c>
      <c r="L9" s="3">
        <f>'Prices by Case'!K6*$C$1-'NG Alphas'!$C9*'Demand by Case'!K6-'NG Alphas'!$C$2*'Demand by Case'!K$11</f>
        <v>1.8913199589272245</v>
      </c>
      <c r="M9" s="3">
        <f>'Prices by Case'!L6*$C$1-'NG Alphas'!$C9*'Demand by Case'!L6-'NG Alphas'!$C$2*'Demand by Case'!L$11</f>
        <v>1.5389975703791314</v>
      </c>
      <c r="N9" s="3">
        <f>'Prices by Case'!M6*$C$1-'NG Alphas'!$C9*'Demand by Case'!M6-'NG Alphas'!$C$2*'Demand by Case'!M$11</f>
        <v>1.131327219086131</v>
      </c>
      <c r="O9" s="3">
        <f>'Prices by Case'!N6*$C$1-'NG Alphas'!$C9*'Demand by Case'!N6-'NG Alphas'!$C$2*'Demand by Case'!N$11</f>
        <v>3.0996412489691707</v>
      </c>
      <c r="P9" s="3">
        <f>'Prices by Case'!O6*$C$1-'NG Alphas'!$C9*'Demand by Case'!O6-'NG Alphas'!$C$2*'Demand by Case'!O$11</f>
        <v>3.5483196541215358</v>
      </c>
      <c r="Q9" s="3">
        <f>'Prices by Case'!P6*$C$1-'NG Alphas'!$C9*'Demand by Case'!P6-'NG Alphas'!$C$2*'Demand by Case'!P$11</f>
        <v>1.1978492595683954</v>
      </c>
      <c r="R9" s="3">
        <f>'Prices by Case'!Q6*$C$1-'NG Alphas'!$C9*'Demand by Case'!Q6-'NG Alphas'!$C$2*'Demand by Case'!Q$11</f>
        <v>0.2494119603482734</v>
      </c>
      <c r="S9" s="3">
        <f>'Prices by Case'!R6*$C$1-'NG Alphas'!$C9*'Demand by Case'!R6-'NG Alphas'!$C$2*'Demand by Case'!R$11</f>
        <v>0.40573429969417951</v>
      </c>
      <c r="T9" s="3">
        <f>'Prices by Case'!S6*$C$1-'NG Alphas'!$C9*'Demand by Case'!S6-'NG Alphas'!$C$2*'Demand by Case'!S$11</f>
        <v>0.46590152248871397</v>
      </c>
      <c r="U9" s="3">
        <f>'Prices by Case'!T6*$C$1-'NG Alphas'!$C9*'Demand by Case'!T6-'NG Alphas'!$C$2*'Demand by Case'!T$11</f>
        <v>0.20730882244720461</v>
      </c>
      <c r="V9" s="3">
        <f>'Prices by Case'!U6*$C$1-'NG Alphas'!$C9*'Demand by Case'!U6-'NG Alphas'!$C$2*'Demand by Case'!U$11</f>
        <v>0.11499856006635811</v>
      </c>
      <c r="W9" s="3">
        <f>'Prices by Case'!V6*$C$1-'NG Alphas'!$C9*'Demand by Case'!V6-'NG Alphas'!$C$2*'Demand by Case'!V$11</f>
        <v>0.12173973726881204</v>
      </c>
      <c r="X9" s="3">
        <f>'Prices by Case'!W6*$C$1-'NG Alphas'!$C9*'Demand by Case'!W6-'NG Alphas'!$C$2*'Demand by Case'!W$11</f>
        <v>8.2704877448024128E-2</v>
      </c>
      <c r="Y9" s="3">
        <f>'Prices by Case'!X6*$C$1-'NG Alphas'!$C9*'Demand by Case'!X6-'NG Alphas'!$C$2*'Demand by Case'!X$11</f>
        <v>0.24550000071180422</v>
      </c>
      <c r="Z9" s="3">
        <f>'Prices by Case'!Y6*$C$1-'NG Alphas'!$C9*'Demand by Case'!Y6-'NG Alphas'!$C$2*'Demand by Case'!Y$11</f>
        <v>0.3472720012072843</v>
      </c>
      <c r="AA9" s="3">
        <f>'Prices by Case'!Z6*$C$1-'NG Alphas'!$C9*'Demand by Case'!Z6-'NG Alphas'!$C$2*'Demand by Case'!Z$11</f>
        <v>0.65943381905391263</v>
      </c>
      <c r="AB9" s="3">
        <f>'Prices by Case'!AA6*$C$1-'NG Alphas'!$C9*'Demand by Case'!AA6-'NG Alphas'!$C$2*'Demand by Case'!AA$11</f>
        <v>0.84950958273431132</v>
      </c>
      <c r="AC9" s="3">
        <f>'Prices by Case'!AB6*$C$1-'NG Alphas'!$C9*'Demand by Case'!AB6-'NG Alphas'!$C$2*'Demand by Case'!AB$11</f>
        <v>0.95633695664934271</v>
      </c>
      <c r="AD9" s="3">
        <f>'Prices by Case'!AC6*$C$1-'NG Alphas'!$C9*'Demand by Case'!AC6-'NG Alphas'!$C$2*'Demand by Case'!AC$11</f>
        <v>1.0738785707019265</v>
      </c>
      <c r="AE9" s="3">
        <f>'Prices by Case'!AD6*$C$1-'NG Alphas'!$C9*'Demand by Case'!AD6-'NG Alphas'!$C$2*'Demand by Case'!AD$11</f>
        <v>1.1092310913290493</v>
      </c>
      <c r="AF9" s="3">
        <f>'Prices by Case'!AE6*$C$1-'NG Alphas'!$C9*'Demand by Case'!AE6-'NG Alphas'!$C$2*'Demand by Case'!AE$11</f>
        <v>1.1068287627601583</v>
      </c>
      <c r="AG9" s="3">
        <f>'Prices by Case'!AF6*$C$1-'NG Alphas'!$C9*'Demand by Case'!AF6-'NG Alphas'!$C$2*'Demand by Case'!AF$11</f>
        <v>1.0492800392738222</v>
      </c>
      <c r="AH9" s="3">
        <f>'Prices by Case'!AG6*$C$1-'NG Alphas'!$C9*'Demand by Case'!AG6-'NG Alphas'!$C$2*'Demand by Case'!AG$11</f>
        <v>1.071272460804481</v>
      </c>
      <c r="AI9" s="3">
        <f>'Prices by Case'!AH6*$C$1-'NG Alphas'!$C9*'Demand by Case'!AH6-'NG Alphas'!$C$2*'Demand by Case'!AH$11</f>
        <v>1.1025003807624303</v>
      </c>
      <c r="AJ9" s="3">
        <f>'Prices by Case'!AI6*$C$1-'NG Alphas'!$C9*'Demand by Case'!AI6-'NG Alphas'!$C$2*'Demand by Case'!AI$11</f>
        <v>1.1785883910084065</v>
      </c>
      <c r="AK9" s="3">
        <f>'Prices by Case'!AJ6*$C$1-'NG Alphas'!$C9*'Demand by Case'!AJ6-'NG Alphas'!$C$2*'Demand by Case'!AJ$11</f>
        <v>1.2135579687326654</v>
      </c>
      <c r="AL9" s="3">
        <f>'Prices by Case'!AK6*$C$1-'NG Alphas'!$C9*'Demand by Case'!AK6-'NG Alphas'!$C$2*'Demand by Case'!AK$11</f>
        <v>1.169946954361349</v>
      </c>
      <c r="AM9" s="3">
        <f>'Prices by Case'!AL6*$C$1-'NG Alphas'!$C9*'Demand by Case'!AL6-'NG Alphas'!$C$2*'Demand by Case'!AL$11</f>
        <v>1.0738911140106653</v>
      </c>
      <c r="AN9" s="3">
        <f>'Prices by Case'!AM6*$C$1-'NG Alphas'!$C9*'Demand by Case'!AM6-'NG Alphas'!$C$2*'Demand by Case'!AM$11</f>
        <v>1.0771988530293444</v>
      </c>
      <c r="AO9" s="3">
        <f>'Prices by Case'!AN6*$C$1-'NG Alphas'!$C9*'Demand by Case'!AN6-'NG Alphas'!$C$2*'Demand by Case'!AN$11</f>
        <v>1.1103886952260056</v>
      </c>
      <c r="AP9" s="3">
        <f>'Prices by Case'!AO6*$C$1-'NG Alphas'!$C9*'Demand by Case'!AO6-'NG Alphas'!$C$2*'Demand by Case'!AO$11</f>
        <v>1.0098858459109763</v>
      </c>
      <c r="AQ9" s="3">
        <f>'Prices by Case'!AP6*$C$1-'NG Alphas'!$C9*'Demand by Case'!AP6-'NG Alphas'!$C$2*'Demand by Case'!AP$11</f>
        <v>1.0623565885292667</v>
      </c>
      <c r="AR9" s="3">
        <f>'Prices by Case'!AQ6*$C$1-'NG Alphas'!$C9*'Demand by Case'!AQ6-'NG Alphas'!$C$2*'Demand by Case'!AQ$11</f>
        <v>1.0291185592651475</v>
      </c>
      <c r="AS9" s="3"/>
      <c r="AT9" s="11">
        <f>(AH9+'Demand by Case'!AG6*'NG Alphas'!C9+'Demand by Case'!$AG$11*'NG Alphas'!$C$2)/'NG Alphas'!$C$1</f>
        <v>3.872509</v>
      </c>
      <c r="AU9" s="11">
        <v>6.1492699999999996</v>
      </c>
    </row>
    <row r="10" spans="1:47" x14ac:dyDescent="0.25">
      <c r="A10" t="s">
        <v>0</v>
      </c>
      <c r="B10" t="s">
        <v>9</v>
      </c>
      <c r="C10" s="14">
        <v>0.19684249743097632</v>
      </c>
      <c r="D10" s="3">
        <f>'Prices by Case'!C7*$C$1</f>
        <v>4.1725022280508384</v>
      </c>
      <c r="E10" s="3">
        <f>'Prices by Case'!D7*$C$1-'NG Alphas'!$C10*'Demand by Case'!D7-'NG Alphas'!$C$2*'Demand by Case'!D$11</f>
        <v>2.7320029116764442</v>
      </c>
      <c r="F10" s="3">
        <f>'Prices by Case'!E7*$C$1-'NG Alphas'!$C10*'Demand by Case'!E7-'NG Alphas'!$C$2*'Demand by Case'!E$11</f>
        <v>1.5382517211981239</v>
      </c>
      <c r="G10" s="3">
        <f>'Prices by Case'!F7*$C$1-'NG Alphas'!$C10*'Demand by Case'!F7-'NG Alphas'!$C$2*'Demand by Case'!F$11</f>
        <v>2.2558133414695516</v>
      </c>
      <c r="H10" s="3">
        <f>'Prices by Case'!G7*$C$1-'NG Alphas'!$C10*'Demand by Case'!G7-'NG Alphas'!$C$2*'Demand by Case'!G$11</f>
        <v>2.6657390427129046</v>
      </c>
      <c r="I10" s="3">
        <f>'Prices by Case'!H7*$C$1-'NG Alphas'!$C10*'Demand by Case'!H7-'NG Alphas'!$C$2*'Demand by Case'!H$11</f>
        <v>1.0415252015151502</v>
      </c>
      <c r="J10" s="3">
        <f>'Prices by Case'!I7*$C$1-'NG Alphas'!$C10*'Demand by Case'!I7-'NG Alphas'!$C$2*'Demand by Case'!I$11</f>
        <v>0.63590778482911126</v>
      </c>
      <c r="K10" s="3">
        <f>'Prices by Case'!J7*$C$1-'NG Alphas'!$C10*'Demand by Case'!J7-'NG Alphas'!$C$2*'Demand by Case'!J$11</f>
        <v>1.070923523340499</v>
      </c>
      <c r="L10" s="3">
        <f>'Prices by Case'!K7*$C$1-'NG Alphas'!$C10*'Demand by Case'!K7-'NG Alphas'!$C$2*'Demand by Case'!K$11</f>
        <v>0.97809026960587975</v>
      </c>
      <c r="M10" s="3">
        <f>'Prices by Case'!L7*$C$1-'NG Alphas'!$C10*'Demand by Case'!L7-'NG Alphas'!$C$2*'Demand by Case'!L$11</f>
        <v>0.50351143876793425</v>
      </c>
      <c r="N10" s="3">
        <f>'Prices by Case'!M7*$C$1-'NG Alphas'!$C10*'Demand by Case'!M7-'NG Alphas'!$C$2*'Demand by Case'!M$11</f>
        <v>0.18755021019053597</v>
      </c>
      <c r="O10" s="3">
        <f>'Prices by Case'!N7*$C$1-'NG Alphas'!$C10*'Demand by Case'!N7-'NG Alphas'!$C$2*'Demand by Case'!N$11</f>
        <v>2.3535620239931276</v>
      </c>
      <c r="P10" s="3">
        <f>'Prices by Case'!O7*$C$1-'NG Alphas'!$C10*'Demand by Case'!O7-'NG Alphas'!$C$2*'Demand by Case'!O$11</f>
        <v>3.029575429038144</v>
      </c>
      <c r="Q10" s="3">
        <f>'Prices by Case'!P7*$C$1-'NG Alphas'!$C10*'Demand by Case'!P7-'NG Alphas'!$C$2*'Demand by Case'!P$11</f>
        <v>0.19857816254973937</v>
      </c>
      <c r="R10" s="3">
        <f>'Prices by Case'!Q7*$C$1-'NG Alphas'!$C10*'Demand by Case'!Q7-'NG Alphas'!$C$2*'Demand by Case'!Q$11</f>
        <v>-0.16957838812990267</v>
      </c>
      <c r="S10" s="3">
        <f>'Prices by Case'!R7*$C$1-'NG Alphas'!$C10*'Demand by Case'!R7-'NG Alphas'!$C$2*'Demand by Case'!R$11</f>
        <v>0.14052927797466341</v>
      </c>
      <c r="T10" s="3">
        <f>'Prices by Case'!S7*$C$1-'NG Alphas'!$C10*'Demand by Case'!S7-'NG Alphas'!$C$2*'Demand by Case'!S$11</f>
        <v>0.11863235605209344</v>
      </c>
      <c r="U10" s="3">
        <f>'Prices by Case'!T7*$C$1-'NG Alphas'!$C10*'Demand by Case'!T7-'NG Alphas'!$C$2*'Demand by Case'!T$11</f>
        <v>2.9139093029723506E-2</v>
      </c>
      <c r="V10" s="3">
        <f>'Prices by Case'!U7*$C$1-'NG Alphas'!$C10*'Demand by Case'!U7-'NG Alphas'!$C$2*'Demand by Case'!U$11</f>
        <v>0.14671313179974854</v>
      </c>
      <c r="W10" s="3">
        <f>'Prices by Case'!V7*$C$1-'NG Alphas'!$C10*'Demand by Case'!V7-'NG Alphas'!$C$2*'Demand by Case'!V$11</f>
        <v>0.31579167571663058</v>
      </c>
      <c r="X10" s="3">
        <f>'Prices by Case'!W7*$C$1-'NG Alphas'!$C10*'Demand by Case'!W7-'NG Alphas'!$C$2*'Demand by Case'!W$11</f>
        <v>0.53002899636548251</v>
      </c>
      <c r="Y10" s="3">
        <f>'Prices by Case'!X7*$C$1-'NG Alphas'!$C10*'Demand by Case'!X7-'NG Alphas'!$C$2*'Demand by Case'!X$11</f>
        <v>0.72785905890288505</v>
      </c>
      <c r="Z10" s="3">
        <f>'Prices by Case'!Y7*$C$1-'NG Alphas'!$C10*'Demand by Case'!Y7-'NG Alphas'!$C$2*'Demand by Case'!Y$11</f>
        <v>0.92629898868619209</v>
      </c>
      <c r="AA10" s="3">
        <f>'Prices by Case'!Z7*$C$1-'NG Alphas'!$C10*'Demand by Case'!Z7-'NG Alphas'!$C$2*'Demand by Case'!Z$11</f>
        <v>1.2530686308240448</v>
      </c>
      <c r="AB10" s="3">
        <f>'Prices by Case'!AA7*$C$1-'NG Alphas'!$C10*'Demand by Case'!AA7-'NG Alphas'!$C$2*'Demand by Case'!AA$11</f>
        <v>1.4908411994721815</v>
      </c>
      <c r="AC10" s="3">
        <f>'Prices by Case'!AB7*$C$1-'NG Alphas'!$C10*'Demand by Case'!AB7-'NG Alphas'!$C$2*'Demand by Case'!AB$11</f>
        <v>1.6002421563594957</v>
      </c>
      <c r="AD10" s="3">
        <f>'Prices by Case'!AC7*$C$1-'NG Alphas'!$C10*'Demand by Case'!AC7-'NG Alphas'!$C$2*'Demand by Case'!AC$11</f>
        <v>1.6112688077436219</v>
      </c>
      <c r="AE10" s="3">
        <f>'Prices by Case'!AD7*$C$1-'NG Alphas'!$C10*'Demand by Case'!AD7-'NG Alphas'!$C$2*'Demand by Case'!AD$11</f>
        <v>1.6351480203860127</v>
      </c>
      <c r="AF10" s="3">
        <f>'Prices by Case'!AE7*$C$1-'NG Alphas'!$C10*'Demand by Case'!AE7-'NG Alphas'!$C$2*'Demand by Case'!AE$11</f>
        <v>1.6630331644902752</v>
      </c>
      <c r="AG10" s="3">
        <f>'Prices by Case'!AF7*$C$1-'NG Alphas'!$C10*'Demand by Case'!AF7-'NG Alphas'!$C$2*'Demand by Case'!AF$11</f>
        <v>1.663509754731235</v>
      </c>
      <c r="AH10" s="3">
        <f>'Prices by Case'!AG7*$C$1-'NG Alphas'!$C10*'Demand by Case'!AG7-'NG Alphas'!$C$2*'Demand by Case'!AG$11</f>
        <v>1.7380991380444428</v>
      </c>
      <c r="AI10" s="3">
        <f>'Prices by Case'!AH7*$C$1-'NG Alphas'!$C10*'Demand by Case'!AH7-'NG Alphas'!$C$2*'Demand by Case'!AH$11</f>
        <v>1.8519593603997684</v>
      </c>
      <c r="AJ10" s="3">
        <f>'Prices by Case'!AI7*$C$1-'NG Alphas'!$C10*'Demand by Case'!AI7-'NG Alphas'!$C$2*'Demand by Case'!AI$11</f>
        <v>1.9425962275527819</v>
      </c>
      <c r="AK10" s="3">
        <f>'Prices by Case'!AJ7*$C$1-'NG Alphas'!$C10*'Demand by Case'!AJ7-'NG Alphas'!$C$2*'Demand by Case'!AJ$11</f>
        <v>2.0189344227660326</v>
      </c>
      <c r="AL10" s="3">
        <f>'Prices by Case'!AK7*$C$1-'NG Alphas'!$C10*'Demand by Case'!AK7-'NG Alphas'!$C$2*'Demand by Case'!AK$11</f>
        <v>2.0668662898567542</v>
      </c>
      <c r="AM10" s="3">
        <f>'Prices by Case'!AL7*$C$1-'NG Alphas'!$C10*'Demand by Case'!AL7-'NG Alphas'!$C$2*'Demand by Case'!AL$11</f>
        <v>2.0664135716393686</v>
      </c>
      <c r="AN10" s="3">
        <f>'Prices by Case'!AM7*$C$1-'NG Alphas'!$C10*'Demand by Case'!AM7-'NG Alphas'!$C$2*'Demand by Case'!AM$11</f>
        <v>2.1533613851369271</v>
      </c>
      <c r="AO10" s="3">
        <f>'Prices by Case'!AN7*$C$1-'NG Alphas'!$C10*'Demand by Case'!AN7-'NG Alphas'!$C$2*'Demand by Case'!AN$11</f>
        <v>2.1871588425690032</v>
      </c>
      <c r="AP10" s="3">
        <f>'Prices by Case'!AO7*$C$1-'NG Alphas'!$C10*'Demand by Case'!AO7-'NG Alphas'!$C$2*'Demand by Case'!AO$11</f>
        <v>2.1869445552874902</v>
      </c>
      <c r="AQ10" s="3">
        <f>'Prices by Case'!AP7*$C$1-'NG Alphas'!$C10*'Demand by Case'!AP7-'NG Alphas'!$C$2*'Demand by Case'!AP$11</f>
        <v>2.1868416001323476</v>
      </c>
      <c r="AR10" s="3">
        <f>'Prices by Case'!AQ7*$C$1-'NG Alphas'!$C10*'Demand by Case'!AQ7-'NG Alphas'!$C$2*'Demand by Case'!AQ$11</f>
        <v>2.1698561863292061</v>
      </c>
      <c r="AS10" s="3"/>
      <c r="AT10" s="11">
        <f>(AH10+'Demand by Case'!AG7*'NG Alphas'!C10+'Demand by Case'!$AG$11*'NG Alphas'!$C$2)/'NG Alphas'!$C$1</f>
        <v>5.0555430000000001</v>
      </c>
      <c r="AU10" s="11">
        <v>5.3081880000000004</v>
      </c>
    </row>
    <row r="11" spans="1:47" x14ac:dyDescent="0.25">
      <c r="A11" t="s">
        <v>0</v>
      </c>
      <c r="B11" t="s">
        <v>5</v>
      </c>
      <c r="C11" s="14">
        <v>0.16186348632922257</v>
      </c>
      <c r="D11" s="3">
        <f>'Prices by Case'!C8*$C$1</f>
        <v>5.2114045111850569</v>
      </c>
      <c r="E11" s="3">
        <f>'Prices by Case'!D8*$C$1-'NG Alphas'!$C11*'Demand by Case'!D8-'NG Alphas'!$C$2*'Demand by Case'!D$11</f>
        <v>3.2690962585265515</v>
      </c>
      <c r="F11" s="3">
        <f>'Prices by Case'!E8*$C$1-'NG Alphas'!$C11*'Demand by Case'!E8-'NG Alphas'!$C$2*'Demand by Case'!E$11</f>
        <v>1.8726286314874494</v>
      </c>
      <c r="G11" s="3">
        <f>'Prices by Case'!F8*$C$1-'NG Alphas'!$C11*'Demand by Case'!F8-'NG Alphas'!$C$2*'Demand by Case'!F$11</f>
        <v>2.4758234711478653</v>
      </c>
      <c r="H11" s="3">
        <f>'Prices by Case'!G8*$C$1-'NG Alphas'!$C11*'Demand by Case'!G8-'NG Alphas'!$C$2*'Demand by Case'!G$11</f>
        <v>2.9106209974847381</v>
      </c>
      <c r="I11" s="3">
        <f>'Prices by Case'!H8*$C$1-'NG Alphas'!$C11*'Demand by Case'!H8-'NG Alphas'!$C$2*'Demand by Case'!H$11</f>
        <v>1.4151552712560773</v>
      </c>
      <c r="J11" s="3">
        <f>'Prices by Case'!I8*$C$1-'NG Alphas'!$C11*'Demand by Case'!I8-'NG Alphas'!$C$2*'Demand by Case'!I$11</f>
        <v>0.92748951727880535</v>
      </c>
      <c r="K11" s="3">
        <f>'Prices by Case'!J8*$C$1-'NG Alphas'!$C11*'Demand by Case'!J8-'NG Alphas'!$C$2*'Demand by Case'!J$11</f>
        <v>1.2476410150242159</v>
      </c>
      <c r="L11" s="3">
        <f>'Prices by Case'!K8*$C$1-'NG Alphas'!$C11*'Demand by Case'!K8-'NG Alphas'!$C$2*'Demand by Case'!K$11</f>
        <v>0.96583999720442071</v>
      </c>
      <c r="M11" s="3">
        <f>'Prices by Case'!L8*$C$1-'NG Alphas'!$C11*'Demand by Case'!L8-'NG Alphas'!$C$2*'Demand by Case'!L$11</f>
        <v>0.42709666125089574</v>
      </c>
      <c r="N11" s="3">
        <f>'Prices by Case'!M8*$C$1-'NG Alphas'!$C11*'Demand by Case'!M8-'NG Alphas'!$C$2*'Demand by Case'!M$11</f>
        <v>4.5345631160517597E-2</v>
      </c>
      <c r="O11" s="3">
        <f>'Prices by Case'!N8*$C$1-'NG Alphas'!$C11*'Demand by Case'!N8-'NG Alphas'!$C$2*'Demand by Case'!N$11</f>
        <v>2.0804123361789082</v>
      </c>
      <c r="P11" s="3">
        <f>'Prices by Case'!O8*$C$1-'NG Alphas'!$C11*'Demand by Case'!O8-'NG Alphas'!$C$2*'Demand by Case'!O$11</f>
        <v>3.0785933912196182</v>
      </c>
      <c r="Q11" s="3">
        <f>'Prices by Case'!P8*$C$1-'NG Alphas'!$C11*'Demand by Case'!P8-'NG Alphas'!$C$2*'Demand by Case'!P$11</f>
        <v>4.8011954272756174E-2</v>
      </c>
      <c r="R11" s="3">
        <f>'Prices by Case'!Q8*$C$1-'NG Alphas'!$C11*'Demand by Case'!Q8-'NG Alphas'!$C$2*'Demand by Case'!Q$11</f>
        <v>-0.17310437762388475</v>
      </c>
      <c r="S11" s="3">
        <f>'Prices by Case'!R8*$C$1-'NG Alphas'!$C11*'Demand by Case'!R8-'NG Alphas'!$C$2*'Demand by Case'!R$11</f>
        <v>8.8194268431950551E-2</v>
      </c>
      <c r="T11" s="3">
        <f>'Prices by Case'!S8*$C$1-'NG Alphas'!$C11*'Demand by Case'!S8-'NG Alphas'!$C$2*'Demand by Case'!S$11</f>
        <v>0.13434821337338843</v>
      </c>
      <c r="U11" s="3">
        <f>'Prices by Case'!T8*$C$1-'NG Alphas'!$C11*'Demand by Case'!T8-'NG Alphas'!$C$2*'Demand by Case'!T$11</f>
        <v>0.13110772087863554</v>
      </c>
      <c r="V11" s="3">
        <f>'Prices by Case'!U8*$C$1-'NG Alphas'!$C11*'Demand by Case'!U8-'NG Alphas'!$C$2*'Demand by Case'!U$11</f>
        <v>0.13226608716952515</v>
      </c>
      <c r="W11" s="3">
        <f>'Prices by Case'!V8*$C$1-'NG Alphas'!$C11*'Demand by Case'!V8-'NG Alphas'!$C$2*'Demand by Case'!V$11</f>
        <v>0.33738802544841384</v>
      </c>
      <c r="X11" s="3">
        <f>'Prices by Case'!W8*$C$1-'NG Alphas'!$C11*'Demand by Case'!W8-'NG Alphas'!$C$2*'Demand by Case'!W$11</f>
        <v>0.3554027512447393</v>
      </c>
      <c r="Y11" s="3">
        <f>'Prices by Case'!X8*$C$1-'NG Alphas'!$C11*'Demand by Case'!X8-'NG Alphas'!$C$2*'Demand by Case'!X$11</f>
        <v>0.45456480053203907</v>
      </c>
      <c r="Z11" s="3">
        <f>'Prices by Case'!Y8*$C$1-'NG Alphas'!$C11*'Demand by Case'!Y8-'NG Alphas'!$C$2*'Demand by Case'!Y$11</f>
        <v>0.55006201261063659</v>
      </c>
      <c r="AA11" s="3">
        <f>'Prices by Case'!Z8*$C$1-'NG Alphas'!$C11*'Demand by Case'!Z8-'NG Alphas'!$C$2*'Demand by Case'!Z$11</f>
        <v>0.88795022998556306</v>
      </c>
      <c r="AB11" s="3">
        <f>'Prices by Case'!AA8*$C$1-'NG Alphas'!$C11*'Demand by Case'!AA8-'NG Alphas'!$C$2*'Demand by Case'!AA$11</f>
        <v>1.111641178178151</v>
      </c>
      <c r="AC11" s="3">
        <f>'Prices by Case'!AB8*$C$1-'NG Alphas'!$C11*'Demand by Case'!AB8-'NG Alphas'!$C$2*'Demand by Case'!AB$11</f>
        <v>1.2415096300381152</v>
      </c>
      <c r="AD11" s="3">
        <f>'Prices by Case'!AC8*$C$1-'NG Alphas'!$C11*'Demand by Case'!AC8-'NG Alphas'!$C$2*'Demand by Case'!AC$11</f>
        <v>1.3304063684491865</v>
      </c>
      <c r="AE11" s="3">
        <f>'Prices by Case'!AD8*$C$1-'NG Alphas'!$C11*'Demand by Case'!AD8-'NG Alphas'!$C$2*'Demand by Case'!AD$11</f>
        <v>1.4439150758981432</v>
      </c>
      <c r="AF11" s="3">
        <f>'Prices by Case'!AE8*$C$1-'NG Alphas'!$C11*'Demand by Case'!AE8-'NG Alphas'!$C$2*'Demand by Case'!AE$11</f>
        <v>1.4785142820470032</v>
      </c>
      <c r="AG11" s="3">
        <f>'Prices by Case'!AF8*$C$1-'NG Alphas'!$C11*'Demand by Case'!AF8-'NG Alphas'!$C$2*'Demand by Case'!AF$11</f>
        <v>1.492638659448237</v>
      </c>
      <c r="AH11" s="3">
        <f>'Prices by Case'!AG8*$C$1-'NG Alphas'!$C11*'Demand by Case'!AG8-'NG Alphas'!$C$2*'Demand by Case'!AG$11</f>
        <v>1.4971654042746307</v>
      </c>
      <c r="AI11" s="3">
        <f>'Prices by Case'!AH8*$C$1-'NG Alphas'!$C11*'Demand by Case'!AH8-'NG Alphas'!$C$2*'Demand by Case'!AH$11</f>
        <v>1.4879708520984296</v>
      </c>
      <c r="AJ11" s="3">
        <f>'Prices by Case'!AI8*$C$1-'NG Alphas'!$C11*'Demand by Case'!AI8-'NG Alphas'!$C$2*'Demand by Case'!AI$11</f>
        <v>1.5253039790802836</v>
      </c>
      <c r="AK11" s="3">
        <f>'Prices by Case'!AJ8*$C$1-'NG Alphas'!$C11*'Demand by Case'!AJ8-'NG Alphas'!$C$2*'Demand by Case'!AJ$11</f>
        <v>1.5720332675135076</v>
      </c>
      <c r="AL11" s="3">
        <f>'Prices by Case'!AK8*$C$1-'NG Alphas'!$C11*'Demand by Case'!AK8-'NG Alphas'!$C$2*'Demand by Case'!AK$11</f>
        <v>1.5804002418952359</v>
      </c>
      <c r="AM11" s="3">
        <f>'Prices by Case'!AL8*$C$1-'NG Alphas'!$C11*'Demand by Case'!AL8-'NG Alphas'!$C$2*'Demand by Case'!AL$11</f>
        <v>1.5571723363842469</v>
      </c>
      <c r="AN11" s="3">
        <f>'Prices by Case'!AM8*$C$1-'NG Alphas'!$C11*'Demand by Case'!AM8-'NG Alphas'!$C$2*'Demand by Case'!AM$11</f>
        <v>1.5842295795874939</v>
      </c>
      <c r="AO11" s="3">
        <f>'Prices by Case'!AN8*$C$1-'NG Alphas'!$C11*'Demand by Case'!AN8-'NG Alphas'!$C$2*'Demand by Case'!AN$11</f>
        <v>1.5496079387647121</v>
      </c>
      <c r="AP11" s="3">
        <f>'Prices by Case'!AO8*$C$1-'NG Alphas'!$C11*'Demand by Case'!AO8-'NG Alphas'!$C$2*'Demand by Case'!AO$11</f>
        <v>1.4855331029490009</v>
      </c>
      <c r="AQ11" s="3">
        <f>'Prices by Case'!AP8*$C$1-'NG Alphas'!$C11*'Demand by Case'!AP8-'NG Alphas'!$C$2*'Demand by Case'!AP$11</f>
        <v>1.4310404012709392</v>
      </c>
      <c r="AR11" s="3">
        <f>'Prices by Case'!AQ8*$C$1-'NG Alphas'!$C11*'Demand by Case'!AQ8-'NG Alphas'!$C$2*'Demand by Case'!AQ$11</f>
        <v>1.3686402056799496</v>
      </c>
      <c r="AS11" s="3"/>
      <c r="AT11" s="11">
        <f>(AH11+'Demand by Case'!AG8*'NG Alphas'!C11+'Demand by Case'!$AG$11*'NG Alphas'!$C$2)/'NG Alphas'!$C$1</f>
        <v>4.8540460000000003</v>
      </c>
      <c r="AU11" s="11">
        <v>5.0393119999999998</v>
      </c>
    </row>
    <row r="12" spans="1:47" x14ac:dyDescent="0.25">
      <c r="A12" t="s">
        <v>0</v>
      </c>
      <c r="B12" t="s">
        <v>4</v>
      </c>
      <c r="C12" s="14">
        <v>0.57865435636938944</v>
      </c>
      <c r="D12" s="3">
        <f>'Prices by Case'!C9*$C$1</f>
        <v>4.6620897633904246</v>
      </c>
      <c r="E12" s="3">
        <f>'Prices by Case'!D9*$C$1-'NG Alphas'!$C12*'Demand by Case'!D9-'NG Alphas'!$C$2*'Demand by Case'!D$11</f>
        <v>3.2157740009384215</v>
      </c>
      <c r="F12" s="3">
        <f>'Prices by Case'!E9*$C$1-'NG Alphas'!$C12*'Demand by Case'!E9-'NG Alphas'!$C$2*'Demand by Case'!E$11</f>
        <v>1.5577101284621062</v>
      </c>
      <c r="G12" s="3">
        <f>'Prices by Case'!F9*$C$1-'NG Alphas'!$C12*'Demand by Case'!F9-'NG Alphas'!$C$2*'Demand by Case'!F$11</f>
        <v>2.5365061400214408</v>
      </c>
      <c r="H12" s="3">
        <f>'Prices by Case'!G9*$C$1-'NG Alphas'!$C12*'Demand by Case'!G9-'NG Alphas'!$C$2*'Demand by Case'!G$11</f>
        <v>3.2640843651417013</v>
      </c>
      <c r="I12" s="3">
        <f>'Prices by Case'!H9*$C$1-'NG Alphas'!$C12*'Demand by Case'!H9-'NG Alphas'!$C$2*'Demand by Case'!H$11</f>
        <v>1.2361316887098204</v>
      </c>
      <c r="J12" s="3">
        <f>'Prices by Case'!I9*$C$1-'NG Alphas'!$C12*'Demand by Case'!I9-'NG Alphas'!$C$2*'Demand by Case'!I$11</f>
        <v>0.6050647239644309</v>
      </c>
      <c r="K12" s="3">
        <f>'Prices by Case'!J9*$C$1-'NG Alphas'!$C12*'Demand by Case'!J9-'NG Alphas'!$C$2*'Demand by Case'!J$11</f>
        <v>1.305792929810448</v>
      </c>
      <c r="L12" s="3">
        <f>'Prices by Case'!K9*$C$1-'NG Alphas'!$C12*'Demand by Case'!K9-'NG Alphas'!$C$2*'Demand by Case'!K$11</f>
        <v>1.0502648074212475</v>
      </c>
      <c r="M12" s="3">
        <f>'Prices by Case'!L9*$C$1-'NG Alphas'!$C12*'Demand by Case'!L9-'NG Alphas'!$C$2*'Demand by Case'!L$11</f>
        <v>0.29672411396428777</v>
      </c>
      <c r="N12" s="3">
        <f>'Prices by Case'!M9*$C$1-'NG Alphas'!$C12*'Demand by Case'!M9-'NG Alphas'!$C$2*'Demand by Case'!M$11</f>
        <v>-6.0481249181205232E-2</v>
      </c>
      <c r="O12" s="3">
        <f>'Prices by Case'!N9*$C$1-'NG Alphas'!$C12*'Demand by Case'!N9-'NG Alphas'!$C$2*'Demand by Case'!N$11</f>
        <v>1.7796630691441733</v>
      </c>
      <c r="P12" s="3">
        <f>'Prices by Case'!O9*$C$1-'NG Alphas'!$C12*'Demand by Case'!O9-'NG Alphas'!$C$2*'Demand by Case'!O$11</f>
        <v>2.7993290573174727</v>
      </c>
      <c r="Q12" s="3">
        <f>'Prices by Case'!P9*$C$1-'NG Alphas'!$C12*'Demand by Case'!P9-'NG Alphas'!$C$2*'Demand by Case'!P$11</f>
        <v>-6.4037546633059828E-2</v>
      </c>
      <c r="R12" s="3">
        <f>'Prices by Case'!Q9*$C$1-'NG Alphas'!$C12*'Demand by Case'!Q9-'NG Alphas'!$C$2*'Demand by Case'!Q$11</f>
        <v>-0.50317184831550454</v>
      </c>
      <c r="S12" s="3">
        <f>'Prices by Case'!R9*$C$1-'NG Alphas'!$C12*'Demand by Case'!R9-'NG Alphas'!$C$2*'Demand by Case'!R$11</f>
        <v>-5.7326572989266245E-2</v>
      </c>
      <c r="T12" s="3">
        <f>'Prices by Case'!S9*$C$1-'NG Alphas'!$C12*'Demand by Case'!S9-'NG Alphas'!$C$2*'Demand by Case'!S$11</f>
        <v>2.7694900662775801E-3</v>
      </c>
      <c r="U12" s="3">
        <f>'Prices by Case'!T9*$C$1-'NG Alphas'!$C12*'Demand by Case'!T9-'NG Alphas'!$C$2*'Demand by Case'!T$11</f>
        <v>-9.094512052090109E-2</v>
      </c>
      <c r="V12" s="3">
        <f>'Prices by Case'!U9*$C$1-'NG Alphas'!$C12*'Demand by Case'!U9-'NG Alphas'!$C$2*'Demand by Case'!U$11</f>
        <v>-1.6746525473074758E-3</v>
      </c>
      <c r="W12" s="3">
        <f>'Prices by Case'!V9*$C$1-'NG Alphas'!$C12*'Demand by Case'!V9-'NG Alphas'!$C$2*'Demand by Case'!V$11</f>
        <v>0.1022018650455645</v>
      </c>
      <c r="X12" s="3">
        <f>'Prices by Case'!W9*$C$1-'NG Alphas'!$C12*'Demand by Case'!W9-'NG Alphas'!$C$2*'Demand by Case'!W$11</f>
        <v>0.21645222675834019</v>
      </c>
      <c r="Y12" s="3">
        <f>'Prices by Case'!X9*$C$1-'NG Alphas'!$C12*'Demand by Case'!X9-'NG Alphas'!$C$2*'Demand by Case'!X$11</f>
        <v>0.35442644687003866</v>
      </c>
      <c r="Z12" s="3">
        <f>'Prices by Case'!Y9*$C$1-'NG Alphas'!$C12*'Demand by Case'!Y9-'NG Alphas'!$C$2*'Demand by Case'!Y$11</f>
        <v>0.49967929137139455</v>
      </c>
      <c r="AA12" s="3">
        <f>'Prices by Case'!Z9*$C$1-'NG Alphas'!$C12*'Demand by Case'!Z9-'NG Alphas'!$C$2*'Demand by Case'!Z$11</f>
        <v>0.82259945594278028</v>
      </c>
      <c r="AB12" s="3">
        <f>'Prices by Case'!AA9*$C$1-'NG Alphas'!$C12*'Demand by Case'!AA9-'NG Alphas'!$C$2*'Demand by Case'!AA$11</f>
        <v>1.071100679454577</v>
      </c>
      <c r="AC12" s="3">
        <f>'Prices by Case'!AB9*$C$1-'NG Alphas'!$C12*'Demand by Case'!AB9-'NG Alphas'!$C$2*'Demand by Case'!AB$11</f>
        <v>1.189063369500587</v>
      </c>
      <c r="AD12" s="3">
        <f>'Prices by Case'!AC9*$C$1-'NG Alphas'!$C12*'Demand by Case'!AC9-'NG Alphas'!$C$2*'Demand by Case'!AC$11</f>
        <v>1.2828192233278812</v>
      </c>
      <c r="AE12" s="3">
        <f>'Prices by Case'!AD9*$C$1-'NG Alphas'!$C12*'Demand by Case'!AD9-'NG Alphas'!$C$2*'Demand by Case'!AD$11</f>
        <v>1.3444256663269936</v>
      </c>
      <c r="AF12" s="3">
        <f>'Prices by Case'!AE9*$C$1-'NG Alphas'!$C12*'Demand by Case'!AE9-'NG Alphas'!$C$2*'Demand by Case'!AE$11</f>
        <v>1.3718378584519515</v>
      </c>
      <c r="AG12" s="3">
        <f>'Prices by Case'!AF9*$C$1-'NG Alphas'!$C12*'Demand by Case'!AF9-'NG Alphas'!$C$2*'Demand by Case'!AF$11</f>
        <v>1.3409284580197618</v>
      </c>
      <c r="AH12" s="3">
        <f>'Prices by Case'!AG9*$C$1-'NG Alphas'!$C12*'Demand by Case'!AG9-'NG Alphas'!$C$2*'Demand by Case'!AG$11</f>
        <v>1.3828213326593233</v>
      </c>
      <c r="AI12" s="3">
        <f>'Prices by Case'!AH9*$C$1-'NG Alphas'!$C12*'Demand by Case'!AH9-'NG Alphas'!$C$2*'Demand by Case'!AH$11</f>
        <v>1.4450793351282816</v>
      </c>
      <c r="AJ12" s="3">
        <f>'Prices by Case'!AI9*$C$1-'NG Alphas'!$C12*'Demand by Case'!AI9-'NG Alphas'!$C$2*'Demand by Case'!AI$11</f>
        <v>1.5261510157392215</v>
      </c>
      <c r="AK12" s="3">
        <f>'Prices by Case'!AJ9*$C$1-'NG Alphas'!$C12*'Demand by Case'!AJ9-'NG Alphas'!$C$2*'Demand by Case'!AJ$11</f>
        <v>1.5486283477618441</v>
      </c>
      <c r="AL12" s="3">
        <f>'Prices by Case'!AK9*$C$1-'NG Alphas'!$C12*'Demand by Case'!AK9-'NG Alphas'!$C$2*'Demand by Case'!AK$11</f>
        <v>1.5639722351395702</v>
      </c>
      <c r="AM12" s="3">
        <f>'Prices by Case'!AL9*$C$1-'NG Alphas'!$C12*'Demand by Case'!AL9-'NG Alphas'!$C$2*'Demand by Case'!AL$11</f>
        <v>1.5549652181230715</v>
      </c>
      <c r="AN12" s="3">
        <f>'Prices by Case'!AM9*$C$1-'NG Alphas'!$C12*'Demand by Case'!AM9-'NG Alphas'!$C$2*'Demand by Case'!AM$11</f>
        <v>1.6176535379579062</v>
      </c>
      <c r="AO12" s="3">
        <f>'Prices by Case'!AN9*$C$1-'NG Alphas'!$C12*'Demand by Case'!AN9-'NG Alphas'!$C$2*'Demand by Case'!AN$11</f>
        <v>1.5954580536880063</v>
      </c>
      <c r="AP12" s="3">
        <f>'Prices by Case'!AO9*$C$1-'NG Alphas'!$C12*'Demand by Case'!AO9-'NG Alphas'!$C$2*'Demand by Case'!AO$11</f>
        <v>1.5516196923346299</v>
      </c>
      <c r="AQ12" s="3">
        <f>'Prices by Case'!AP9*$C$1-'NG Alphas'!$C12*'Demand by Case'!AP9-'NG Alphas'!$C$2*'Demand by Case'!AP$11</f>
        <v>1.5090727855987647</v>
      </c>
      <c r="AR12" s="3">
        <f>'Prices by Case'!AQ9*$C$1-'NG Alphas'!$C12*'Demand by Case'!AQ9-'NG Alphas'!$C$2*'Demand by Case'!AQ$11</f>
        <v>1.525061938016476</v>
      </c>
      <c r="AS12" s="3"/>
      <c r="AT12" s="11">
        <f>(AH12+'Demand by Case'!AG9*'NG Alphas'!C12+'Demand by Case'!$AG$11*'NG Alphas'!$C$2)/'NG Alphas'!$C$1</f>
        <v>4.491251000000001</v>
      </c>
      <c r="AU12" s="11">
        <v>5.0113349999999999</v>
      </c>
    </row>
    <row r="13" spans="1:47" x14ac:dyDescent="0.25">
      <c r="A13" t="s">
        <v>0</v>
      </c>
      <c r="B13" t="s">
        <v>7</v>
      </c>
      <c r="C13" s="14">
        <v>8.4871961789308781E-2</v>
      </c>
      <c r="D13" s="3">
        <f>'Prices by Case'!C10*$C$1</f>
        <v>3.9867079797492209</v>
      </c>
      <c r="E13" s="3">
        <f>'Prices by Case'!D10*$C$1-'NG Alphas'!$C13*'Demand by Case'!D10-'NG Alphas'!$C$2*'Demand by Case'!D$11</f>
        <v>2.3949954225043468</v>
      </c>
      <c r="F13" s="3">
        <f>'Prices by Case'!E10*$C$1-'NG Alphas'!$C13*'Demand by Case'!E10-'NG Alphas'!$C$2*'Demand by Case'!E$11</f>
        <v>1.005572996037204</v>
      </c>
      <c r="G13" s="3">
        <f>'Prices by Case'!F10*$C$1-'NG Alphas'!$C13*'Demand by Case'!F10-'NG Alphas'!$C$2*'Demand by Case'!F$11</f>
        <v>1.895342333321627</v>
      </c>
      <c r="H13" s="3">
        <f>'Prices by Case'!G10*$C$1-'NG Alphas'!$C13*'Demand by Case'!G10-'NG Alphas'!$C$2*'Demand by Case'!G$11</f>
        <v>2.3971762347797565</v>
      </c>
      <c r="I13" s="3">
        <f>'Prices by Case'!H10*$C$1-'NG Alphas'!$C13*'Demand by Case'!H10-'NG Alphas'!$C$2*'Demand by Case'!H$11</f>
        <v>0.68153450714485886</v>
      </c>
      <c r="J13" s="3">
        <f>'Prices by Case'!I10*$C$1-'NG Alphas'!$C13*'Demand by Case'!I10-'NG Alphas'!$C$2*'Demand by Case'!I$11</f>
        <v>0.27363172501221689</v>
      </c>
      <c r="K13" s="3">
        <f>'Prices by Case'!J10*$C$1-'NG Alphas'!$C13*'Demand by Case'!J10-'NG Alphas'!$C$2*'Demand by Case'!J$11</f>
        <v>0.83540980960703282</v>
      </c>
      <c r="L13" s="3">
        <f>'Prices by Case'!K10*$C$1-'NG Alphas'!$C13*'Demand by Case'!K10-'NG Alphas'!$C$2*'Demand by Case'!K$11</f>
        <v>0.602674725525012</v>
      </c>
      <c r="M13" s="3">
        <f>'Prices by Case'!L10*$C$1-'NG Alphas'!$C13*'Demand by Case'!L10-'NG Alphas'!$C$2*'Demand by Case'!L$11</f>
        <v>-0.12211052062966887</v>
      </c>
      <c r="N13" s="3">
        <f>'Prices by Case'!M10*$C$1-'NG Alphas'!$C13*'Demand by Case'!M10-'NG Alphas'!$C$2*'Demand by Case'!M$11</f>
        <v>-0.4569989584133991</v>
      </c>
      <c r="O13" s="3">
        <f>'Prices by Case'!N10*$C$1-'NG Alphas'!$C13*'Demand by Case'!N10-'NG Alphas'!$C$2*'Demand by Case'!N$11</f>
        <v>1.5298491349842749</v>
      </c>
      <c r="P13" s="3">
        <f>'Prices by Case'!O10*$C$1-'NG Alphas'!$C13*'Demand by Case'!O10-'NG Alphas'!$C$2*'Demand by Case'!O$11</f>
        <v>2.5497180183886758</v>
      </c>
      <c r="Q13" s="3">
        <f>'Prices by Case'!P10*$C$1-'NG Alphas'!$C13*'Demand by Case'!P10-'NG Alphas'!$C$2*'Demand by Case'!P$11</f>
        <v>-0.48387049716810693</v>
      </c>
      <c r="R13" s="3">
        <f>'Prices by Case'!Q10*$C$1-'NG Alphas'!$C13*'Demand by Case'!Q10-'NG Alphas'!$C$2*'Demand by Case'!Q$11</f>
        <v>-0.83594227861661308</v>
      </c>
      <c r="S13" s="3">
        <f>'Prices by Case'!R10*$C$1-'NG Alphas'!$C13*'Demand by Case'!R10-'NG Alphas'!$C$2*'Demand by Case'!R$11</f>
        <v>-0.40131936719442662</v>
      </c>
      <c r="T13" s="3">
        <f>'Prices by Case'!S10*$C$1-'NG Alphas'!$C13*'Demand by Case'!S10-'NG Alphas'!$C$2*'Demand by Case'!S$11</f>
        <v>-0.35349054617148523</v>
      </c>
      <c r="U13" s="3">
        <f>'Prices by Case'!T10*$C$1-'NG Alphas'!$C13*'Demand by Case'!T10-'NG Alphas'!$C$2*'Demand by Case'!T$11</f>
        <v>-0.44258388779452784</v>
      </c>
      <c r="V13" s="3">
        <f>'Prices by Case'!U10*$C$1-'NG Alphas'!$C13*'Demand by Case'!U10-'NG Alphas'!$C$2*'Demand by Case'!U$11</f>
        <v>-0.33007523016076923</v>
      </c>
      <c r="W13" s="3">
        <f>'Prices by Case'!V10*$C$1-'NG Alphas'!$C13*'Demand by Case'!V10-'NG Alphas'!$C$2*'Demand by Case'!V$11</f>
        <v>-0.19305054348403727</v>
      </c>
      <c r="X13" s="3">
        <f>'Prices by Case'!W10*$C$1-'NG Alphas'!$C13*'Demand by Case'!W10-'NG Alphas'!$C$2*'Demand by Case'!W$11</f>
        <v>-4.5046144469299998E-2</v>
      </c>
      <c r="Y13" s="3">
        <f>'Prices by Case'!X10*$C$1-'NG Alphas'!$C13*'Demand by Case'!X10-'NG Alphas'!$C$2*'Demand by Case'!X$11</f>
        <v>0.10170713497535999</v>
      </c>
      <c r="Z13" s="3">
        <f>'Prices by Case'!Y10*$C$1-'NG Alphas'!$C13*'Demand by Case'!Y10-'NG Alphas'!$C$2*'Demand by Case'!Y$11</f>
        <v>0.25134259151701244</v>
      </c>
      <c r="AA13" s="3">
        <f>'Prices by Case'!Z10*$C$1-'NG Alphas'!$C13*'Demand by Case'!Z10-'NG Alphas'!$C$2*'Demand by Case'!Z$11</f>
        <v>0.6224203639298187</v>
      </c>
      <c r="AB13" s="3">
        <f>'Prices by Case'!AA10*$C$1-'NG Alphas'!$C13*'Demand by Case'!AA10-'NG Alphas'!$C$2*'Demand by Case'!AA$11</f>
        <v>0.87328541111158398</v>
      </c>
      <c r="AC13" s="3">
        <f>'Prices by Case'!AB10*$C$1-'NG Alphas'!$C13*'Demand by Case'!AB10-'NG Alphas'!$C$2*'Demand by Case'!AB$11</f>
        <v>1.0059967400774221</v>
      </c>
      <c r="AD13" s="3">
        <f>'Prices by Case'!AC10*$C$1-'NG Alphas'!$C13*'Demand by Case'!AC10-'NG Alphas'!$C$2*'Demand by Case'!AC$11</f>
        <v>1.0791824217421644</v>
      </c>
      <c r="AE13" s="3">
        <f>'Prices by Case'!AD10*$C$1-'NG Alphas'!$C13*'Demand by Case'!AD10-'NG Alphas'!$C$2*'Demand by Case'!AD$11</f>
        <v>1.1753516262323076</v>
      </c>
      <c r="AF13" s="3">
        <f>'Prices by Case'!AE10*$C$1-'NG Alphas'!$C13*'Demand by Case'!AE10-'NG Alphas'!$C$2*'Demand by Case'!AE$11</f>
        <v>1.2320588103813566</v>
      </c>
      <c r="AG13" s="3">
        <f>'Prices by Case'!AF10*$C$1-'NG Alphas'!$C13*'Demand by Case'!AF10-'NG Alphas'!$C$2*'Demand by Case'!AF$11</f>
        <v>1.2552248917759157</v>
      </c>
      <c r="AH13" s="3">
        <f>'Prices by Case'!AG10*$C$1-'NG Alphas'!$C13*'Demand by Case'!AG10-'NG Alphas'!$C$2*'Demand by Case'!AG$11</f>
        <v>1.2851074064930266</v>
      </c>
      <c r="AI13" s="3">
        <f>'Prices by Case'!AH10*$C$1-'NG Alphas'!$C13*'Demand by Case'!AH10-'NG Alphas'!$C$2*'Demand by Case'!AH$11</f>
        <v>1.3315739773730451</v>
      </c>
      <c r="AJ13" s="3">
        <f>'Prices by Case'!AI10*$C$1-'NG Alphas'!$C13*'Demand by Case'!AI10-'NG Alphas'!$C$2*'Demand by Case'!AI$11</f>
        <v>1.4074461063360446</v>
      </c>
      <c r="AK13" s="3">
        <f>'Prices by Case'!AJ10*$C$1-'NG Alphas'!$C13*'Demand by Case'!AJ10-'NG Alphas'!$C$2*'Demand by Case'!AJ$11</f>
        <v>1.4929317995221671</v>
      </c>
      <c r="AL13" s="3">
        <f>'Prices by Case'!AK10*$C$1-'NG Alphas'!$C13*'Demand by Case'!AK10-'NG Alphas'!$C$2*'Demand by Case'!AK$11</f>
        <v>1.549872097394192</v>
      </c>
      <c r="AM13" s="3">
        <f>'Prices by Case'!AL10*$C$1-'NG Alphas'!$C13*'Demand by Case'!AL10-'NG Alphas'!$C$2*'Demand by Case'!AL$11</f>
        <v>1.5809829315807378</v>
      </c>
      <c r="AN13" s="3">
        <f>'Prices by Case'!AM10*$C$1-'NG Alphas'!$C13*'Demand by Case'!AM10-'NG Alphas'!$C$2*'Demand by Case'!AM$11</f>
        <v>1.6240241355967597</v>
      </c>
      <c r="AO13" s="3">
        <f>'Prices by Case'!AN10*$C$1-'NG Alphas'!$C13*'Demand by Case'!AN10-'NG Alphas'!$C$2*'Demand by Case'!AN$11</f>
        <v>1.6761945206844597</v>
      </c>
      <c r="AP13" s="3">
        <f>'Prices by Case'!AO10*$C$1-'NG Alphas'!$C13*'Demand by Case'!AO10-'NG Alphas'!$C$2*'Demand by Case'!AO$11</f>
        <v>1.6736253656146605</v>
      </c>
      <c r="AQ13" s="3">
        <f>'Prices by Case'!AP10*$C$1-'NG Alphas'!$C13*'Demand by Case'!AP10-'NG Alphas'!$C$2*'Demand by Case'!AP$11</f>
        <v>1.6526390064195005</v>
      </c>
      <c r="AR13" s="3">
        <f>'Prices by Case'!AQ10*$C$1-'NG Alphas'!$C13*'Demand by Case'!AQ10-'NG Alphas'!$C$2*'Demand by Case'!AQ$11</f>
        <v>1.6545383515342014</v>
      </c>
      <c r="AS13" s="3"/>
      <c r="AT13" s="11">
        <f>(AH13+'Demand by Case'!AG10*'NG Alphas'!C13+'Demand by Case'!$AG$11*'NG Alphas'!$C$2)/'NG Alphas'!$C$1</f>
        <v>4.305593</v>
      </c>
      <c r="AU13" s="11">
        <v>5.1394570000000002</v>
      </c>
    </row>
    <row r="14" spans="1:47" s="4" customFormat="1" x14ac:dyDescent="0.25">
      <c r="A14" s="4" t="s">
        <v>0</v>
      </c>
      <c r="B14" s="4" t="s">
        <v>10</v>
      </c>
      <c r="C14" s="15">
        <v>0.1616781091618244</v>
      </c>
      <c r="D14" s="3">
        <f>'Prices by Case'!C11*$C$1</f>
        <v>4.4779156485186569</v>
      </c>
      <c r="E14" s="5">
        <f>'Prices by Case'!D11*'NG Alphas'!$C$1-'NG Alphas'!$C14*'Demand by Case'!D11</f>
        <v>2.7862634122664289</v>
      </c>
      <c r="F14" s="5">
        <f>'Prices by Case'!E11*'NG Alphas'!$C$1-'NG Alphas'!$C14*'Demand by Case'!E11</f>
        <v>1.383384010839094</v>
      </c>
      <c r="G14" s="5">
        <f>'Prices by Case'!F11*'NG Alphas'!$C$1-'NG Alphas'!$C14*'Demand by Case'!F11</f>
        <v>2.2634442200335387</v>
      </c>
      <c r="H14" s="5">
        <f>'Prices by Case'!G11*'NG Alphas'!$C$1-'NG Alphas'!$C14*'Demand by Case'!G11</f>
        <v>2.7045386743592612</v>
      </c>
      <c r="I14" s="5">
        <f>'Prices by Case'!H11*'NG Alphas'!$C$1-'NG Alphas'!$C14*'Demand by Case'!H11</f>
        <v>0.97271046456208343</v>
      </c>
      <c r="J14" s="5">
        <f>'Prices by Case'!I11*'NG Alphas'!$C$1-'NG Alphas'!$C14*'Demand by Case'!I11</f>
        <v>0.59270812290279373</v>
      </c>
      <c r="K14" s="5">
        <f>'Prices by Case'!J11*'NG Alphas'!$C$1-'NG Alphas'!$C14*'Demand by Case'!J11</f>
        <v>1.0665052949654925</v>
      </c>
      <c r="L14" s="5">
        <f>'Prices by Case'!K11*'NG Alphas'!$C$1-'NG Alphas'!$C14*'Demand by Case'!K11</f>
        <v>0.83735634449237262</v>
      </c>
      <c r="M14" s="5">
        <f>'Prices by Case'!L11*'NG Alphas'!$C$1-'NG Alphas'!$C14*'Demand by Case'!L11</f>
        <v>0.20859262575591786</v>
      </c>
      <c r="N14" s="5">
        <f>'Prices by Case'!M11*'NG Alphas'!$C$1-'NG Alphas'!$C14*'Demand by Case'!M11</f>
        <v>-0.17144334465971744</v>
      </c>
      <c r="O14" s="5">
        <f>'Prices by Case'!N11*'NG Alphas'!$C$1-'NG Alphas'!$C14*'Demand by Case'!N11</f>
        <v>1.7755978764325249</v>
      </c>
      <c r="P14" s="5">
        <f>'Prices by Case'!O11*'NG Alphas'!$C$1-'NG Alphas'!$C14*'Demand by Case'!O11</f>
        <v>2.5601703557872182</v>
      </c>
      <c r="Q14" s="5">
        <f>'Prices by Case'!P11*'NG Alphas'!$C$1-'NG Alphas'!$C14*'Demand by Case'!P11</f>
        <v>-0.18152421332570912</v>
      </c>
      <c r="R14" s="5">
        <f>'Prices by Case'!Q11*'NG Alphas'!$C$1-'NG Alphas'!$C14*'Demand by Case'!Q11</f>
        <v>-0.61034047722589024</v>
      </c>
      <c r="S14" s="5">
        <f>'Prices by Case'!R11*'NG Alphas'!$C$1-'NG Alphas'!$C14*'Demand by Case'!R11</f>
        <v>-0.21430955828252318</v>
      </c>
      <c r="T14" s="5">
        <f>'Prices by Case'!S11*'NG Alphas'!$C$1-'NG Alphas'!$C14*'Demand by Case'!S11</f>
        <v>-0.15826315619393361</v>
      </c>
      <c r="U14" s="5">
        <f>'Prices by Case'!T11*'NG Alphas'!$C$1-'NG Alphas'!$C14*'Demand by Case'!T11</f>
        <v>-0.25249944571975758</v>
      </c>
      <c r="V14" s="5">
        <f>'Prices by Case'!U11*'NG Alphas'!$C$1-'NG Alphas'!$C14*'Demand by Case'!U11</f>
        <v>-0.2013588613630839</v>
      </c>
      <c r="W14" s="5">
        <f>'Prices by Case'!V11*'NG Alphas'!$C$1-'NG Alphas'!$C14*'Demand by Case'!V11</f>
        <v>-8.0406049203098462E-2</v>
      </c>
      <c r="X14" s="5">
        <f>'Prices by Case'!W11*'NG Alphas'!$C$1-'NG Alphas'!$C14*'Demand by Case'!W11</f>
        <v>1.5387427508264828E-2</v>
      </c>
      <c r="Y14" s="5">
        <f>'Prices by Case'!X11*'NG Alphas'!$C$1-'NG Alphas'!$C14*'Demand by Case'!X11</f>
        <v>0.15266028692757949</v>
      </c>
      <c r="Z14" s="5">
        <f>'Prices by Case'!Y11*'NG Alphas'!$C$1-'NG Alphas'!$C14*'Demand by Case'!Y11</f>
        <v>0.25497932039128512</v>
      </c>
      <c r="AA14" s="5">
        <f>'Prices by Case'!Z11*'NG Alphas'!$C$1-'NG Alphas'!$C14*'Demand by Case'!Z11</f>
        <v>0.58246371704866062</v>
      </c>
      <c r="AB14" s="5">
        <f>'Prices by Case'!AA11*'NG Alphas'!$C$1-'NG Alphas'!$C14*'Demand by Case'!AA11</f>
        <v>0.81927598584682948</v>
      </c>
      <c r="AC14" s="5">
        <f>'Prices by Case'!AB11*'NG Alphas'!$C$1-'NG Alphas'!$C14*'Demand by Case'!AB11</f>
        <v>0.9562364165566668</v>
      </c>
      <c r="AD14" s="5">
        <f>'Prices by Case'!AC11*'NG Alphas'!$C$1-'NG Alphas'!$C14*'Demand by Case'!AC11</f>
        <v>1.0412372284256948</v>
      </c>
      <c r="AE14" s="5">
        <f>'Prices by Case'!AD11*'NG Alphas'!$C$1-'NG Alphas'!$C14*'Demand by Case'!AD11</f>
        <v>1.1291435171107707</v>
      </c>
      <c r="AF14" s="5">
        <f>'Prices by Case'!AE11*'NG Alphas'!$C$1-'NG Alphas'!$C14*'Demand by Case'!AE11</f>
        <v>1.1783993896671514</v>
      </c>
      <c r="AG14" s="5">
        <f>'Prices by Case'!AF11*'NG Alphas'!$C$1-'NG Alphas'!$C14*'Demand by Case'!AF11</f>
        <v>1.1948632617968531</v>
      </c>
      <c r="AH14" s="5">
        <f>'Prices by Case'!AG11*'NG Alphas'!$C$1-'NG Alphas'!$C14*'Demand by Case'!AG11</f>
        <v>1.202448159713245</v>
      </c>
      <c r="AI14" s="5">
        <f>'Prices by Case'!AH11*'NG Alphas'!$C$1-'NG Alphas'!$C14*'Demand by Case'!AH11</f>
        <v>1.2259949094216409</v>
      </c>
      <c r="AJ14" s="5">
        <f>'Prices by Case'!AI11*'NG Alphas'!$C$1-'NG Alphas'!$C14*'Demand by Case'!AI11</f>
        <v>1.286408766007989</v>
      </c>
      <c r="AK14" s="5">
        <f>'Prices by Case'!AJ11*'NG Alphas'!$C$1-'NG Alphas'!$C14*'Demand by Case'!AJ11</f>
        <v>1.3250619724547905</v>
      </c>
      <c r="AL14" s="5">
        <f>'Prices by Case'!AK11*'NG Alphas'!$C$1-'NG Alphas'!$C14*'Demand by Case'!AK11</f>
        <v>1.3316921417459191</v>
      </c>
      <c r="AM14" s="5">
        <f>'Prices by Case'!AL11*'NG Alphas'!$C$1-'NG Alphas'!$C14*'Demand by Case'!AL11</f>
        <v>1.3280621068949445</v>
      </c>
      <c r="AN14" s="5">
        <f>'Prices by Case'!AM11*'NG Alphas'!$C$1-'NG Alphas'!$C14*'Demand by Case'!AM11</f>
        <v>1.3551494595903031</v>
      </c>
      <c r="AO14" s="5">
        <f>'Prices by Case'!AN11*'NG Alphas'!$C$1-'NG Alphas'!$C14*'Demand by Case'!AN11</f>
        <v>1.368988388568698</v>
      </c>
      <c r="AP14" s="5">
        <f>'Prices by Case'!AO11*'NG Alphas'!$C$1-'NG Alphas'!$C14*'Demand by Case'!AO11</f>
        <v>1.3392744794244169</v>
      </c>
      <c r="AQ14" s="5">
        <f>'Prices by Case'!AP11*'NG Alphas'!$C$1-'NG Alphas'!$C14*'Demand by Case'!AP11</f>
        <v>1.3101142065499076</v>
      </c>
      <c r="AR14" s="5">
        <f>'Prices by Case'!AQ11*'NG Alphas'!$C$1-'NG Alphas'!$C14*'Demand by Case'!AQ11</f>
        <v>1.28724869346648</v>
      </c>
      <c r="AS14" s="5"/>
      <c r="AT14" s="12">
        <f>(AH14+'Demand by Case'!AG11*'NG Alphas'!C14)/'NG Alphas'!$C$1</f>
        <v>4.3096769999999998</v>
      </c>
      <c r="AU14" s="12">
        <v>5.4386109999999999</v>
      </c>
    </row>
    <row r="15" spans="1:47" s="6" customFormat="1" x14ac:dyDescent="0.25">
      <c r="A15" s="6" t="s">
        <v>11</v>
      </c>
      <c r="B15" t="s">
        <v>3</v>
      </c>
      <c r="C15" s="14">
        <v>0.26295633632281001</v>
      </c>
      <c r="D15" s="3">
        <f>'Prices by Case'!C12*$C$1</f>
        <v>4.2743238519535147</v>
      </c>
      <c r="E15" s="3">
        <f>'Prices by Case'!D12*$C$1-'NG Alphas'!$C15*'Demand by Case'!D12-'NG Alphas'!$C$2*'Demand by Case'!D$11</f>
        <v>2.7139078541738337</v>
      </c>
      <c r="F15" s="3">
        <f>'Prices by Case'!E12*$C$1-'NG Alphas'!$C15*'Demand by Case'!E12-'NG Alphas'!$C$2*'Demand by Case'!E$11</f>
        <v>1.1714833211159859</v>
      </c>
      <c r="G15" s="3">
        <f>'Prices by Case'!F12*$C$1-'NG Alphas'!$C15*'Demand by Case'!F12-'NG Alphas'!$C$2*'Demand by Case'!F$11</f>
        <v>2.147141335664466</v>
      </c>
      <c r="H15" s="3">
        <f>'Prices by Case'!G12*$C$1-'NG Alphas'!$C15*'Demand by Case'!G12-'NG Alphas'!$C$2*'Demand by Case'!G$11</f>
        <v>2.9000407173122955</v>
      </c>
      <c r="I15" s="3">
        <f>'Prices by Case'!H12*$C$1-'NG Alphas'!$C15*'Demand by Case'!H12-'NG Alphas'!$C$2*'Demand by Case'!H$11</f>
        <v>0.71192198947373542</v>
      </c>
      <c r="J15" s="3">
        <f>'Prices by Case'!I12*$C$1-'NG Alphas'!$C15*'Demand by Case'!I12-'NG Alphas'!$C$2*'Demand by Case'!I$21</f>
        <v>0.53890977944135243</v>
      </c>
      <c r="K15" s="3">
        <f>'Prices by Case'!J12*$C$1-'NG Alphas'!$C15*'Demand by Case'!J12-'NG Alphas'!$C$2*'Demand by Case'!J$21</f>
        <v>1.060862281646441</v>
      </c>
      <c r="L15" s="3">
        <f>'Prices by Case'!K12*$C$1-'NG Alphas'!$C15*'Demand by Case'!K12-'NG Alphas'!$C$2*'Demand by Case'!K$21</f>
        <v>0.74484404516559932</v>
      </c>
      <c r="M15" s="3">
        <f>'Prices by Case'!L12*$C$1-'NG Alphas'!$C15*'Demand by Case'!L12-'NG Alphas'!$C$2*'Demand by Case'!L$21</f>
        <v>-5.0799310081162119E-2</v>
      </c>
      <c r="N15" s="3">
        <f>'Prices by Case'!M12*$C$1-'NG Alphas'!$C15*'Demand by Case'!M12-'NG Alphas'!$C$2*'Demand by Case'!M$21</f>
        <v>-0.50293648591643425</v>
      </c>
      <c r="O15" s="3">
        <f>'Prices by Case'!N12*$C$1-'NG Alphas'!$C15*'Demand by Case'!N12-'NG Alphas'!$C$2*'Demand by Case'!N$21</f>
        <v>1.3390132680244284</v>
      </c>
      <c r="P15" s="3">
        <f>'Prices by Case'!O12*$C$1-'NG Alphas'!$C15*'Demand by Case'!O12-'NG Alphas'!$C$2*'Demand by Case'!O$21</f>
        <v>2.0225775118174214</v>
      </c>
      <c r="Q15" s="3">
        <f>'Prices by Case'!P12*$C$1-'NG Alphas'!$C15*'Demand by Case'!P12-'NG Alphas'!$C$2*'Demand by Case'!P$21</f>
        <v>-0.53250915128832044</v>
      </c>
      <c r="R15" s="3">
        <f>'Prices by Case'!Q12*$C$1-'NG Alphas'!$C15*'Demand by Case'!Q12-'NG Alphas'!$C$2*'Demand by Case'!Q$21</f>
        <v>-0.97257919310106278</v>
      </c>
      <c r="S15" s="3">
        <f>'Prices by Case'!R12*$C$1-'NG Alphas'!$C15*'Demand by Case'!R12-'NG Alphas'!$C$2*'Demand by Case'!R$21</f>
        <v>-0.76803260349205449</v>
      </c>
      <c r="T15" s="3">
        <f>'Prices by Case'!S12*$C$1-'NG Alphas'!$C15*'Demand by Case'!S12-'NG Alphas'!$C$2*'Demand by Case'!S$21</f>
        <v>-1.0361951471334723</v>
      </c>
      <c r="U15" s="3">
        <f>'Prices by Case'!T12*$C$1-'NG Alphas'!$C15*'Demand by Case'!T12-'NG Alphas'!$C$2*'Demand by Case'!T$21</f>
        <v>-1.1311706180214394</v>
      </c>
      <c r="V15" s="3">
        <f>'Prices by Case'!U12*$C$1-'NG Alphas'!$C15*'Demand by Case'!U12-'NG Alphas'!$C$2*'Demand by Case'!U$21</f>
        <v>-1.1052369429791722</v>
      </c>
      <c r="W15" s="3">
        <f>'Prices by Case'!V12*$C$1-'NG Alphas'!$C15*'Demand by Case'!V12-'NG Alphas'!$C$2*'Demand by Case'!V$21</f>
        <v>-1.1156791798196259</v>
      </c>
      <c r="X15" s="3">
        <f>'Prices by Case'!W12*$C$1-'NG Alphas'!$C15*'Demand by Case'!W12-'NG Alphas'!$C$2*'Demand by Case'!W$21</f>
        <v>-1.1247899299720181</v>
      </c>
      <c r="Y15" s="3">
        <f>'Prices by Case'!X12*$C$1-'NG Alphas'!$C15*'Demand by Case'!X12-'NG Alphas'!$C$2*'Demand by Case'!X$21</f>
        <v>-1.1636895555658406</v>
      </c>
      <c r="Z15" s="3">
        <f>'Prices by Case'!Y12*$C$1-'NG Alphas'!$C15*'Demand by Case'!Y12-'NG Alphas'!$C$2*'Demand by Case'!Y$21</f>
        <v>-1.2813592066973636</v>
      </c>
      <c r="AA15" s="3">
        <f>'Prices by Case'!Z12*$C$1-'NG Alphas'!$C15*'Demand by Case'!Z12-'NG Alphas'!$C$2*'Demand by Case'!Z$21</f>
        <v>-1.2294515609448826</v>
      </c>
      <c r="AB15" s="3">
        <f>'Prices by Case'!AA12*$C$1-'NG Alphas'!$C15*'Demand by Case'!AA12-'NG Alphas'!$C$2*'Demand by Case'!AA$21</f>
        <v>-1.1833471084982463</v>
      </c>
      <c r="AC15" s="3">
        <f>'Prices by Case'!AB12*$C$1-'NG Alphas'!$C15*'Demand by Case'!AB12-'NG Alphas'!$C$2*'Demand by Case'!AB$21</f>
        <v>-1.130417494772604</v>
      </c>
      <c r="AD15" s="3">
        <f>'Prices by Case'!AC12*$C$1-'NG Alphas'!$C15*'Demand by Case'!AC12-'NG Alphas'!$C$2*'Demand by Case'!AC$21</f>
        <v>-1.0156314294699005</v>
      </c>
      <c r="AE15" s="3">
        <f>'Prices by Case'!AD12*$C$1-'NG Alphas'!$C15*'Demand by Case'!AD12-'NG Alphas'!$C$2*'Demand by Case'!AD$21</f>
        <v>-0.99229842102104671</v>
      </c>
      <c r="AF15" s="3">
        <f>'Prices by Case'!AE12*$C$1-'NG Alphas'!$C15*'Demand by Case'!AE12-'NG Alphas'!$C$2*'Demand by Case'!AE$21</f>
        <v>-0.81284438836319406</v>
      </c>
      <c r="AG15" s="3">
        <f>'Prices by Case'!AF12*$C$1-'NG Alphas'!$C15*'Demand by Case'!AF12-'NG Alphas'!$C$2*'Demand by Case'!AF$21</f>
        <v>-0.70447108179228057</v>
      </c>
      <c r="AH15" s="3">
        <f>'Prices by Case'!AG12*$C$1-'NG Alphas'!$C15*'Demand by Case'!AG12-'NG Alphas'!$C$2*'Demand by Case'!AG$21</f>
        <v>-0.70361412516088429</v>
      </c>
      <c r="AI15" s="3">
        <f>'Prices by Case'!AH12*$C$1-'NG Alphas'!$C15*'Demand by Case'!AH12-'NG Alphas'!$C$2*'Demand by Case'!AH$21</f>
        <v>-0.73251254935511612</v>
      </c>
      <c r="AJ15" s="3">
        <f>'Prices by Case'!AI12*$C$1-'NG Alphas'!$C15*'Demand by Case'!AI12-'NG Alphas'!$C$2*'Demand by Case'!AI$21</f>
        <v>-0.79618012735488541</v>
      </c>
      <c r="AK15" s="3">
        <f>'Prices by Case'!AJ12*$C$1-'NG Alphas'!$C15*'Demand by Case'!AJ12-'NG Alphas'!$C$2*'Demand by Case'!AJ$21</f>
        <v>-0.9131823061821277</v>
      </c>
      <c r="AL15" s="3">
        <f>'Prices by Case'!AK12*$C$1-'NG Alphas'!$C15*'Demand by Case'!AK12-'NG Alphas'!$C$2*'Demand by Case'!AK$21</f>
        <v>-1.0159043714760598</v>
      </c>
      <c r="AM15" s="3">
        <f>'Prices by Case'!AL12*$C$1-'NG Alphas'!$C15*'Demand by Case'!AL12-'NG Alphas'!$C$2*'Demand by Case'!AL$21</f>
        <v>-1.0985165929504497</v>
      </c>
      <c r="AN15" s="3">
        <f>'Prices by Case'!AM12*$C$1-'NG Alphas'!$C15*'Demand by Case'!AM12-'NG Alphas'!$C$2*'Demand by Case'!AM$21</f>
        <v>-1.1411900698410791</v>
      </c>
      <c r="AO15" s="3">
        <f>'Prices by Case'!AN12*$C$1-'NG Alphas'!$C15*'Demand by Case'!AN12-'NG Alphas'!$C$2*'Demand by Case'!AN$21</f>
        <v>-1.1554321787501232</v>
      </c>
      <c r="AP15" s="3">
        <f>'Prices by Case'!AO12*$C$1-'NG Alphas'!$C15*'Demand by Case'!AO12-'NG Alphas'!$C$2*'Demand by Case'!AO$21</f>
        <v>-1.1326440742335064</v>
      </c>
      <c r="AQ15" s="3">
        <f>'Prices by Case'!AP12*$C$1-'NG Alphas'!$C15*'Demand by Case'!AP12-'NG Alphas'!$C$2*'Demand by Case'!AP$21</f>
        <v>-1.2247742289273278</v>
      </c>
      <c r="AR15" s="3">
        <f>'Prices by Case'!AQ12*$C$1-'NG Alphas'!$C15*'Demand by Case'!AQ12-'NG Alphas'!$C$2*'Demand by Case'!AQ$21</f>
        <v>-1.2304545347551756</v>
      </c>
      <c r="AS15" s="3"/>
      <c r="AT15" s="11">
        <f>(AH15+'Demand by Case'!AG12*'NG Alphas'!C15+'Demand by Case'!$AG$21*'NG Alphas'!$C$2)/'NG Alphas'!$C$1</f>
        <v>2.7657880000000001</v>
      </c>
      <c r="AU15" s="11">
        <v>4.067107</v>
      </c>
    </row>
    <row r="16" spans="1:47" x14ac:dyDescent="0.25">
      <c r="A16" t="s">
        <v>11</v>
      </c>
      <c r="B16" t="s">
        <v>6</v>
      </c>
      <c r="C16" s="14">
        <v>0.60841226768421552</v>
      </c>
      <c r="D16" s="3">
        <f>'Prices by Case'!C13*$C$1</f>
        <v>4.1378736160508724</v>
      </c>
      <c r="E16" s="3">
        <f>'Prices by Case'!D13*$C$1-'NG Alphas'!$C16*'Demand by Case'!D13-'NG Alphas'!$C$2*'Demand by Case'!D$11</f>
        <v>2.2002797607657691</v>
      </c>
      <c r="F16" s="3">
        <f>'Prices by Case'!E13*$C$1-'NG Alphas'!$C16*'Demand by Case'!E13-'NG Alphas'!$C$2*'Demand by Case'!E$11</f>
        <v>0.77014557245315651</v>
      </c>
      <c r="G16" s="3">
        <f>'Prices by Case'!F13*$C$1-'NG Alphas'!$C16*'Demand by Case'!F13-'NG Alphas'!$C$2*'Demand by Case'!F$11</f>
        <v>1.7575023406675929</v>
      </c>
      <c r="H16" s="3">
        <f>'Prices by Case'!G13*$C$1-'NG Alphas'!$C16*'Demand by Case'!G13-'NG Alphas'!$C$2*'Demand by Case'!G$11</f>
        <v>2.1929869272357809</v>
      </c>
      <c r="I16" s="3">
        <f>'Prices by Case'!H13*$C$1-'NG Alphas'!$C16*'Demand by Case'!H13-'NG Alphas'!$C$2*'Demand by Case'!H$11</f>
        <v>0.4291959952206621</v>
      </c>
      <c r="J16" s="3">
        <f>'Prices by Case'!I13*$C$1-'NG Alphas'!$C16*'Demand by Case'!I13-'NG Alphas'!$C$2*'Demand by Case'!I$21</f>
        <v>3.9588120605686283E-2</v>
      </c>
      <c r="K16" s="3">
        <f>'Prices by Case'!J13*$C$1-'NG Alphas'!$C16*'Demand by Case'!J13-'NG Alphas'!$C$2*'Demand by Case'!J$21</f>
        <v>0.60453658178901515</v>
      </c>
      <c r="L16" s="3">
        <f>'Prices by Case'!K13*$C$1-'NG Alphas'!$C16*'Demand by Case'!K13-'NG Alphas'!$C$2*'Demand by Case'!K$21</f>
        <v>0.36894389655221893</v>
      </c>
      <c r="M16" s="3">
        <f>'Prices by Case'!L13*$C$1-'NG Alphas'!$C16*'Demand by Case'!L13-'NG Alphas'!$C$2*'Demand by Case'!L$21</f>
        <v>-0.23416557106321068</v>
      </c>
      <c r="N16" s="3">
        <f>'Prices by Case'!M13*$C$1-'NG Alphas'!$C16*'Demand by Case'!M13-'NG Alphas'!$C$2*'Demand by Case'!M$21</f>
        <v>-0.60444315668918436</v>
      </c>
      <c r="O16" s="3">
        <f>'Prices by Case'!N13*$C$1-'NG Alphas'!$C16*'Demand by Case'!N13-'NG Alphas'!$C$2*'Demand by Case'!N$21</f>
        <v>1.506878451882486</v>
      </c>
      <c r="P16" s="3">
        <f>'Prices by Case'!O13*$C$1-'NG Alphas'!$C16*'Demand by Case'!O13-'NG Alphas'!$C$2*'Demand by Case'!O$21</f>
        <v>2.5710224733060318</v>
      </c>
      <c r="Q16" s="3">
        <f>'Prices by Case'!P13*$C$1-'NG Alphas'!$C16*'Demand by Case'!P13-'NG Alphas'!$C$2*'Demand by Case'!P$21</f>
        <v>-0.63998441430250841</v>
      </c>
      <c r="R16" s="3">
        <f>'Prices by Case'!Q13*$C$1-'NG Alphas'!$C16*'Demand by Case'!Q13-'NG Alphas'!$C$2*'Demand by Case'!Q$21</f>
        <v>-0.94900438609839799</v>
      </c>
      <c r="S16" s="3">
        <f>'Prices by Case'!R13*$C$1-'NG Alphas'!$C16*'Demand by Case'!R13-'NG Alphas'!$C$2*'Demand by Case'!R$21</f>
        <v>-0.82324210385639762</v>
      </c>
      <c r="T16" s="3">
        <f>'Prices by Case'!S13*$C$1-'NG Alphas'!$C16*'Demand by Case'!S13-'NG Alphas'!$C$2*'Demand by Case'!S$21</f>
        <v>-1.1215684945586026</v>
      </c>
      <c r="U16" s="3">
        <f>'Prices by Case'!T13*$C$1-'NG Alphas'!$C16*'Demand by Case'!T13-'NG Alphas'!$C$2*'Demand by Case'!T$21</f>
        <v>-1.2384806419594669</v>
      </c>
      <c r="V16" s="3">
        <f>'Prices by Case'!U13*$C$1-'NG Alphas'!$C16*'Demand by Case'!U13-'NG Alphas'!$C$2*'Demand by Case'!U$21</f>
        <v>-1.1266364482979809</v>
      </c>
      <c r="W16" s="3">
        <f>'Prices by Case'!V13*$C$1-'NG Alphas'!$C16*'Demand by Case'!V13-'NG Alphas'!$C$2*'Demand by Case'!V$21</f>
        <v>-1.0879753648913688</v>
      </c>
      <c r="X16" s="3">
        <f>'Prices by Case'!W13*$C$1-'NG Alphas'!$C16*'Demand by Case'!W13-'NG Alphas'!$C$2*'Demand by Case'!W$21</f>
        <v>-1.0045419562116611</v>
      </c>
      <c r="Y16" s="3">
        <f>'Prices by Case'!X13*$C$1-'NG Alphas'!$C16*'Demand by Case'!X13-'NG Alphas'!$C$2*'Demand by Case'!X$21</f>
        <v>-0.93020221203145281</v>
      </c>
      <c r="Z16" s="3">
        <f>'Prices by Case'!Y13*$C$1-'NG Alphas'!$C16*'Demand by Case'!Y13-'NG Alphas'!$C$2*'Demand by Case'!Y$21</f>
        <v>-0.94026821234288493</v>
      </c>
      <c r="AA16" s="3">
        <f>'Prices by Case'!Z13*$C$1-'NG Alphas'!$C16*'Demand by Case'!Z13-'NG Alphas'!$C$2*'Demand by Case'!Z$21</f>
        <v>-0.8933488456463512</v>
      </c>
      <c r="AB16" s="3">
        <f>'Prices by Case'!AA13*$C$1-'NG Alphas'!$C16*'Demand by Case'!AA13-'NG Alphas'!$C$2*'Demand by Case'!AA$21</f>
        <v>-0.86239935948990487</v>
      </c>
      <c r="AC16" s="3">
        <f>'Prices by Case'!AB13*$C$1-'NG Alphas'!$C16*'Demand by Case'!AB13-'NG Alphas'!$C$2*'Demand by Case'!AB$21</f>
        <v>-0.78145207204368061</v>
      </c>
      <c r="AD16" s="3">
        <f>'Prices by Case'!AC13*$C$1-'NG Alphas'!$C16*'Demand by Case'!AC13-'NG Alphas'!$C$2*'Demand by Case'!AC$21</f>
        <v>-0.65803587578757972</v>
      </c>
      <c r="AE16" s="3">
        <f>'Prices by Case'!AD13*$C$1-'NG Alphas'!$C16*'Demand by Case'!AD13-'NG Alphas'!$C$2*'Demand by Case'!AD$21</f>
        <v>-0.62238811489071111</v>
      </c>
      <c r="AF16" s="3">
        <f>'Prices by Case'!AE13*$C$1-'NG Alphas'!$C16*'Demand by Case'!AE13-'NG Alphas'!$C$2*'Demand by Case'!AE$21</f>
        <v>-0.53480174484210807</v>
      </c>
      <c r="AG16" s="3">
        <f>'Prices by Case'!AF13*$C$1-'NG Alphas'!$C16*'Demand by Case'!AF13-'NG Alphas'!$C$2*'Demand by Case'!AF$21</f>
        <v>-0.41805049201277944</v>
      </c>
      <c r="AH16" s="3">
        <f>'Prices by Case'!AG13*$C$1-'NG Alphas'!$C16*'Demand by Case'!AG13-'NG Alphas'!$C$2*'Demand by Case'!AG$21</f>
        <v>-0.40130966255160061</v>
      </c>
      <c r="AI16" s="3">
        <f>'Prices by Case'!AH13*$C$1-'NG Alphas'!$C16*'Demand by Case'!AH13-'NG Alphas'!$C$2*'Demand by Case'!AH$21</f>
        <v>-0.41911572588413804</v>
      </c>
      <c r="AJ16" s="3">
        <f>'Prices by Case'!AI13*$C$1-'NG Alphas'!$C16*'Demand by Case'!AI13-'NG Alphas'!$C$2*'Demand by Case'!AI$21</f>
        <v>-0.41396289910952211</v>
      </c>
      <c r="AK16" s="3">
        <f>'Prices by Case'!AJ13*$C$1-'NG Alphas'!$C16*'Demand by Case'!AJ13-'NG Alphas'!$C$2*'Demand by Case'!AJ$21</f>
        <v>-0.52995780187472485</v>
      </c>
      <c r="AL16" s="3">
        <f>'Prices by Case'!AK13*$C$1-'NG Alphas'!$C16*'Demand by Case'!AK13-'NG Alphas'!$C$2*'Demand by Case'!AK$21</f>
        <v>-0.58178524331789494</v>
      </c>
      <c r="AM16" s="3">
        <f>'Prices by Case'!AL13*$C$1-'NG Alphas'!$C16*'Demand by Case'!AL13-'NG Alphas'!$C$2*'Demand by Case'!AL$21</f>
        <v>-0.63988184060663222</v>
      </c>
      <c r="AN16" s="3">
        <f>'Prices by Case'!AM13*$C$1-'NG Alphas'!$C16*'Demand by Case'!AM13-'NG Alphas'!$C$2*'Demand by Case'!AM$21</f>
        <v>-0.69875610890369555</v>
      </c>
      <c r="AO16" s="3">
        <f>'Prices by Case'!AN13*$C$1-'NG Alphas'!$C16*'Demand by Case'!AN13-'NG Alphas'!$C$2*'Demand by Case'!AN$21</f>
        <v>-0.74550446882925336</v>
      </c>
      <c r="AP16" s="3">
        <f>'Prices by Case'!AO13*$C$1-'NG Alphas'!$C16*'Demand by Case'!AO13-'NG Alphas'!$C$2*'Demand by Case'!AO$21</f>
        <v>-0.73227681594637661</v>
      </c>
      <c r="AQ16" s="3">
        <f>'Prices by Case'!AP13*$C$1-'NG Alphas'!$C16*'Demand by Case'!AP13-'NG Alphas'!$C$2*'Demand by Case'!AP$21</f>
        <v>-0.77680401300336643</v>
      </c>
      <c r="AR16" s="3">
        <f>'Prices by Case'!AQ13*$C$1-'NG Alphas'!$C16*'Demand by Case'!AQ13-'NG Alphas'!$C$2*'Demand by Case'!AQ$21</f>
        <v>-0.81588887930187415</v>
      </c>
      <c r="AS16" s="3"/>
      <c r="AT16" s="11">
        <f>(AH16+'Demand by Case'!AG13*'NG Alphas'!C16+'Demand by Case'!$AG$21*'NG Alphas'!$C$2)/'NG Alphas'!$C$1</f>
        <v>3.2491560000000002</v>
      </c>
      <c r="AU16" s="11">
        <v>3.465214</v>
      </c>
    </row>
    <row r="17" spans="1:47" x14ac:dyDescent="0.25">
      <c r="A17" t="s">
        <v>11</v>
      </c>
      <c r="B17" t="s">
        <v>2</v>
      </c>
      <c r="C17" s="14">
        <v>0.14497774722731144</v>
      </c>
      <c r="D17" s="3">
        <f>'Prices by Case'!C14*$C$1</f>
        <v>4.7115638256984873</v>
      </c>
      <c r="E17" s="3">
        <f>'Prices by Case'!D14*$C$1-'NG Alphas'!$C17*'Demand by Case'!D14-'NG Alphas'!$C$2*'Demand by Case'!D$11</f>
        <v>3.1398234404486107</v>
      </c>
      <c r="F17" s="3">
        <f>'Prices by Case'!E14*$C$1-'NG Alphas'!$C17*'Demand by Case'!E14-'NG Alphas'!$C$2*'Demand by Case'!E$11</f>
        <v>1.539767229517955</v>
      </c>
      <c r="G17" s="3">
        <f>'Prices by Case'!F14*$C$1-'NG Alphas'!$C17*'Demand by Case'!F14-'NG Alphas'!$C$2*'Demand by Case'!F$11</f>
        <v>2.4654549888554165</v>
      </c>
      <c r="H17" s="3">
        <f>'Prices by Case'!G14*$C$1-'NG Alphas'!$C17*'Demand by Case'!G14-'NG Alphas'!$C$2*'Demand by Case'!G$11</f>
        <v>2.7714771522384121</v>
      </c>
      <c r="I17" s="3">
        <f>'Prices by Case'!H14*$C$1-'NG Alphas'!$C17*'Demand by Case'!H14-'NG Alphas'!$C$2*'Demand by Case'!H$11</f>
        <v>0.79368306044094683</v>
      </c>
      <c r="J17" s="3">
        <f>'Prices by Case'!I14*$C$1-'NG Alphas'!$C17*'Demand by Case'!I14-'NG Alphas'!$C$2*'Demand by Case'!I$21</f>
        <v>0.61804107849298906</v>
      </c>
      <c r="K17" s="3">
        <f>'Prices by Case'!J14*$C$1-'NG Alphas'!$C17*'Demand by Case'!J14-'NG Alphas'!$C$2*'Demand by Case'!J$21</f>
        <v>1.0452689305943794</v>
      </c>
      <c r="L17" s="3">
        <f>'Prices by Case'!K14*$C$1-'NG Alphas'!$C17*'Demand by Case'!K14-'NG Alphas'!$C$2*'Demand by Case'!K$21</f>
        <v>0.90758109133231368</v>
      </c>
      <c r="M17" s="3">
        <f>'Prices by Case'!L14*$C$1-'NG Alphas'!$C17*'Demand by Case'!L14-'NG Alphas'!$C$2*'Demand by Case'!L$21</f>
        <v>0.34902581566072555</v>
      </c>
      <c r="N17" s="3">
        <f>'Prices by Case'!M14*$C$1-'NG Alphas'!$C17*'Demand by Case'!M14-'NG Alphas'!$C$2*'Demand by Case'!M$21</f>
        <v>-0.12049962503760425</v>
      </c>
      <c r="O17" s="3">
        <f>'Prices by Case'!N14*$C$1-'NG Alphas'!$C17*'Demand by Case'!N14-'NG Alphas'!$C$2*'Demand by Case'!N$21</f>
        <v>1.4511304972005803</v>
      </c>
      <c r="P17" s="3">
        <f>'Prices by Case'!O14*$C$1-'NG Alphas'!$C17*'Demand by Case'!O14-'NG Alphas'!$C$2*'Demand by Case'!O$21</f>
        <v>1.7828926433910903</v>
      </c>
      <c r="Q17" s="3">
        <f>'Prices by Case'!P14*$C$1-'NG Alphas'!$C17*'Demand by Case'!P14-'NG Alphas'!$C$2*'Demand by Case'!P$21</f>
        <v>-0.12758500298981512</v>
      </c>
      <c r="R17" s="3">
        <f>'Prices by Case'!Q14*$C$1-'NG Alphas'!$C17*'Demand by Case'!Q14-'NG Alphas'!$C$2*'Demand by Case'!Q$21</f>
        <v>-0.78722062463980991</v>
      </c>
      <c r="S17" s="3">
        <f>'Prices by Case'!R14*$C$1-'NG Alphas'!$C17*'Demand by Case'!R14-'NG Alphas'!$C$2*'Demand by Case'!R$21</f>
        <v>-0.59463985919896101</v>
      </c>
      <c r="T17" s="3">
        <f>'Prices by Case'!S14*$C$1-'NG Alphas'!$C17*'Demand by Case'!S14-'NG Alphas'!$C$2*'Demand by Case'!S$21</f>
        <v>-0.73375641125847424</v>
      </c>
      <c r="U17" s="3">
        <f>'Prices by Case'!T14*$C$1-'NG Alphas'!$C17*'Demand by Case'!T14-'NG Alphas'!$C$2*'Demand by Case'!T$21</f>
        <v>-0.80500250163819942</v>
      </c>
      <c r="V17" s="3">
        <f>'Prices by Case'!U14*$C$1-'NG Alphas'!$C17*'Demand by Case'!U14-'NG Alphas'!$C$2*'Demand by Case'!U$21</f>
        <v>-0.80363251751769393</v>
      </c>
      <c r="W17" s="3">
        <f>'Prices by Case'!V14*$C$1-'NG Alphas'!$C17*'Demand by Case'!V14-'NG Alphas'!$C$2*'Demand by Case'!V$21</f>
        <v>-0.80338862062145533</v>
      </c>
      <c r="X17" s="3">
        <f>'Prices by Case'!W14*$C$1-'NG Alphas'!$C17*'Demand by Case'!W14-'NG Alphas'!$C$2*'Demand by Case'!W$21</f>
        <v>-0.81888673712197613</v>
      </c>
      <c r="Y17" s="3">
        <f>'Prices by Case'!X14*$C$1-'NG Alphas'!$C17*'Demand by Case'!X14-'NG Alphas'!$C$2*'Demand by Case'!X$21</f>
        <v>-0.8129446328396468</v>
      </c>
      <c r="Z17" s="3">
        <f>'Prices by Case'!Y14*$C$1-'NG Alphas'!$C17*'Demand by Case'!Y14-'NG Alphas'!$C$2*'Demand by Case'!Y$21</f>
        <v>-0.86540900641595986</v>
      </c>
      <c r="AA17" s="3">
        <f>'Prices by Case'!Z14*$C$1-'NG Alphas'!$C17*'Demand by Case'!Z14-'NG Alphas'!$C$2*'Demand by Case'!Z$21</f>
        <v>-0.78175653722698235</v>
      </c>
      <c r="AB17" s="3">
        <f>'Prices by Case'!AA14*$C$1-'NG Alphas'!$C17*'Demand by Case'!AA14-'NG Alphas'!$C$2*'Demand by Case'!AA$21</f>
        <v>-0.71739763454380312</v>
      </c>
      <c r="AC17" s="3">
        <f>'Prices by Case'!AB14*$C$1-'NG Alphas'!$C17*'Demand by Case'!AB14-'NG Alphas'!$C$2*'Demand by Case'!AB$21</f>
        <v>-0.6499275069133934</v>
      </c>
      <c r="AD17" s="3">
        <f>'Prices by Case'!AC14*$C$1-'NG Alphas'!$C17*'Demand by Case'!AC14-'NG Alphas'!$C$2*'Demand by Case'!AC$21</f>
        <v>-0.56474395326304072</v>
      </c>
      <c r="AE17" s="3">
        <f>'Prices by Case'!AD14*$C$1-'NG Alphas'!$C17*'Demand by Case'!AD14-'NG Alphas'!$C$2*'Demand by Case'!AD$21</f>
        <v>-0.52153082247045823</v>
      </c>
      <c r="AF17" s="3">
        <f>'Prices by Case'!AE14*$C$1-'NG Alphas'!$C17*'Demand by Case'!AE14-'NG Alphas'!$C$2*'Demand by Case'!AE$21</f>
        <v>-0.43577900307703255</v>
      </c>
      <c r="AG17" s="3">
        <f>'Prices by Case'!AF14*$C$1-'NG Alphas'!$C17*'Demand by Case'!AF14-'NG Alphas'!$C$2*'Demand by Case'!AF$21</f>
        <v>-0.34423880936443019</v>
      </c>
      <c r="AH17" s="3">
        <f>'Prices by Case'!AG14*$C$1-'NG Alphas'!$C17*'Demand by Case'!AG14-'NG Alphas'!$C$2*'Demand by Case'!AG$21</f>
        <v>-0.37674502237254548</v>
      </c>
      <c r="AI17" s="3">
        <f>'Prices by Case'!AH14*$C$1-'NG Alphas'!$C17*'Demand by Case'!AH14-'NG Alphas'!$C$2*'Demand by Case'!AH$21</f>
        <v>-0.39365741629989426</v>
      </c>
      <c r="AJ17" s="3">
        <f>'Prices by Case'!AI14*$C$1-'NG Alphas'!$C17*'Demand by Case'!AI14-'NG Alphas'!$C$2*'Demand by Case'!AI$21</f>
        <v>-0.3904114140053474</v>
      </c>
      <c r="AK17" s="3">
        <f>'Prices by Case'!AJ14*$C$1-'NG Alphas'!$C17*'Demand by Case'!AJ14-'NG Alphas'!$C$2*'Demand by Case'!AJ$21</f>
        <v>-0.49478179945614076</v>
      </c>
      <c r="AL17" s="3">
        <f>'Prices by Case'!AK14*$C$1-'NG Alphas'!$C17*'Demand by Case'!AK14-'NG Alphas'!$C$2*'Demand by Case'!AK$21</f>
        <v>-0.60099419862540326</v>
      </c>
      <c r="AM17" s="3">
        <f>'Prices by Case'!AL14*$C$1-'NG Alphas'!$C17*'Demand by Case'!AL14-'NG Alphas'!$C$2*'Demand by Case'!AL$21</f>
        <v>-0.67974921903743035</v>
      </c>
      <c r="AN17" s="3">
        <f>'Prices by Case'!AM14*$C$1-'NG Alphas'!$C17*'Demand by Case'!AM14-'NG Alphas'!$C$2*'Demand by Case'!AM$21</f>
        <v>-0.7396445747966538</v>
      </c>
      <c r="AO17" s="3">
        <f>'Prices by Case'!AN14*$C$1-'NG Alphas'!$C17*'Demand by Case'!AN14-'NG Alphas'!$C$2*'Demand by Case'!AN$21</f>
        <v>-0.77983490371455999</v>
      </c>
      <c r="AP17" s="3">
        <f>'Prices by Case'!AO14*$C$1-'NG Alphas'!$C17*'Demand by Case'!AO14-'NG Alphas'!$C$2*'Demand by Case'!AO$21</f>
        <v>-0.79209340983237397</v>
      </c>
      <c r="AQ17" s="3">
        <f>'Prices by Case'!AP14*$C$1-'NG Alphas'!$C17*'Demand by Case'!AP14-'NG Alphas'!$C$2*'Demand by Case'!AP$21</f>
        <v>-0.8389819810248198</v>
      </c>
      <c r="AR17" s="3">
        <f>'Prices by Case'!AQ14*$C$1-'NG Alphas'!$C17*'Demand by Case'!AQ14-'NG Alphas'!$C$2*'Demand by Case'!AQ$21</f>
        <v>-0.86868651119775664</v>
      </c>
      <c r="AS17" s="3"/>
      <c r="AT17" s="11">
        <f>(AH17+'Demand by Case'!AG14*'NG Alphas'!C17+'Demand by Case'!$AG$21*'NG Alphas'!$C$2)/'NG Alphas'!$C$1</f>
        <v>2.5420180000000001</v>
      </c>
      <c r="AU17" s="11">
        <v>3.7341319999999998</v>
      </c>
    </row>
    <row r="18" spans="1:47" x14ac:dyDescent="0.25">
      <c r="A18" t="s">
        <v>11</v>
      </c>
      <c r="B18" t="s">
        <v>8</v>
      </c>
      <c r="C18" s="14">
        <v>0.54532052123182084</v>
      </c>
      <c r="D18" s="3">
        <f>'Prices by Case'!C15*$C$1</f>
        <v>4.3488509548252035</v>
      </c>
      <c r="E18" s="3">
        <f>'Prices by Case'!D15*$C$1-'NG Alphas'!$C18*'Demand by Case'!D15-'NG Alphas'!$C$2*'Demand by Case'!D$11</f>
        <v>2.7158125260700716</v>
      </c>
      <c r="F18" s="3">
        <f>'Prices by Case'!E15*$C$1-'NG Alphas'!$C18*'Demand by Case'!E15-'NG Alphas'!$C$2*'Demand by Case'!E$11</f>
        <v>1.2803753647941767</v>
      </c>
      <c r="G18" s="3">
        <f>'Prices by Case'!F15*$C$1-'NG Alphas'!$C18*'Demand by Case'!F15-'NG Alphas'!$C$2*'Demand by Case'!F$11</f>
        <v>2.1476220613774211</v>
      </c>
      <c r="H18" s="3">
        <f>'Prices by Case'!G15*$C$1-'NG Alphas'!$C18*'Demand by Case'!G15-'NG Alphas'!$C$2*'Demand by Case'!G$11</f>
        <v>2.4511278725373762</v>
      </c>
      <c r="I18" s="3">
        <f>'Prices by Case'!H15*$C$1-'NG Alphas'!$C18*'Demand by Case'!H15-'NG Alphas'!$C$2*'Demand by Case'!H$11</f>
        <v>0.82455362756734485</v>
      </c>
      <c r="J18" s="3">
        <f>'Prices by Case'!I15*$C$1-'NG Alphas'!$C18*'Demand by Case'!I15-'NG Alphas'!$C$2*'Demand by Case'!I$21</f>
        <v>0.32504394420439797</v>
      </c>
      <c r="K18" s="3">
        <f>'Prices by Case'!J15*$C$1-'NG Alphas'!$C18*'Demand by Case'!J15-'NG Alphas'!$C$2*'Demand by Case'!J$21</f>
        <v>0.86366943488649728</v>
      </c>
      <c r="L18" s="3">
        <f>'Prices by Case'!K15*$C$1-'NG Alphas'!$C18*'Demand by Case'!K15-'NG Alphas'!$C$2*'Demand by Case'!K$21</f>
        <v>0.73171208529155507</v>
      </c>
      <c r="M18" s="3">
        <f>'Prices by Case'!L15*$C$1-'NG Alphas'!$C18*'Demand by Case'!L15-'NG Alphas'!$C$2*'Demand by Case'!L$21</f>
        <v>1.2359993180262263E-2</v>
      </c>
      <c r="N18" s="3">
        <f>'Prices by Case'!M15*$C$1-'NG Alphas'!$C18*'Demand by Case'!M15-'NG Alphas'!$C$2*'Demand by Case'!M$21</f>
        <v>-0.2795846806996658</v>
      </c>
      <c r="O18" s="3">
        <f>'Prices by Case'!N15*$C$1-'NG Alphas'!$C18*'Demand by Case'!N15-'NG Alphas'!$C$2*'Demand by Case'!N$21</f>
        <v>1.760392044953575</v>
      </c>
      <c r="P18" s="3">
        <f>'Prices by Case'!O15*$C$1-'NG Alphas'!$C18*'Demand by Case'!O15-'NG Alphas'!$C$2*'Demand by Case'!O$21</f>
        <v>2.5451020982319301</v>
      </c>
      <c r="Q18" s="3">
        <f>'Prices by Case'!P15*$C$1-'NG Alphas'!$C18*'Demand by Case'!P15-'NG Alphas'!$C$2*'Demand by Case'!P$21</f>
        <v>-0.29602425992480619</v>
      </c>
      <c r="R18" s="3">
        <f>'Prices by Case'!Q15*$C$1-'NG Alphas'!$C18*'Demand by Case'!Q15-'NG Alphas'!$C$2*'Demand by Case'!Q$21</f>
        <v>-0.81039218747272534</v>
      </c>
      <c r="S18" s="3">
        <f>'Prices by Case'!R15*$C$1-'NG Alphas'!$C18*'Demand by Case'!R15-'NG Alphas'!$C$2*'Demand by Case'!R$21</f>
        <v>-0.68099410287341366</v>
      </c>
      <c r="T18" s="3">
        <f>'Prices by Case'!S15*$C$1-'NG Alphas'!$C18*'Demand by Case'!S15-'NG Alphas'!$C$2*'Demand by Case'!S$21</f>
        <v>-0.85525880658036901</v>
      </c>
      <c r="U18" s="3">
        <f>'Prices by Case'!T15*$C$1-'NG Alphas'!$C18*'Demand by Case'!T15-'NG Alphas'!$C$2*'Demand by Case'!T$21</f>
        <v>-0.87563381697618703</v>
      </c>
      <c r="V18" s="3">
        <f>'Prices by Case'!U15*$C$1-'NG Alphas'!$C18*'Demand by Case'!U15-'NG Alphas'!$C$2*'Demand by Case'!U$21</f>
        <v>-0.76752806827839315</v>
      </c>
      <c r="W18" s="3">
        <f>'Prices by Case'!V15*$C$1-'NG Alphas'!$C18*'Demand by Case'!V15-'NG Alphas'!$C$2*'Demand by Case'!V$21</f>
        <v>-0.71405844209355829</v>
      </c>
      <c r="X18" s="3">
        <f>'Prices by Case'!W15*$C$1-'NG Alphas'!$C18*'Demand by Case'!W15-'NG Alphas'!$C$2*'Demand by Case'!W$21</f>
        <v>-0.64858221452836373</v>
      </c>
      <c r="Y18" s="3">
        <f>'Prices by Case'!X15*$C$1-'NG Alphas'!$C18*'Demand by Case'!X15-'NG Alphas'!$C$2*'Demand by Case'!X$21</f>
        <v>-0.57980150723652413</v>
      </c>
      <c r="Z18" s="3">
        <f>'Prices by Case'!Y15*$C$1-'NG Alphas'!$C18*'Demand by Case'!Y15-'NG Alphas'!$C$2*'Demand by Case'!Y$21</f>
        <v>-0.54767312072576102</v>
      </c>
      <c r="AA18" s="3">
        <f>'Prices by Case'!Z15*$C$1-'NG Alphas'!$C18*'Demand by Case'!Z15-'NG Alphas'!$C$2*'Demand by Case'!Z$21</f>
        <v>-0.415576480007537</v>
      </c>
      <c r="AB18" s="3">
        <f>'Prices by Case'!AA15*$C$1-'NG Alphas'!$C18*'Demand by Case'!AA15-'NG Alphas'!$C$2*'Demand by Case'!AA$21</f>
        <v>-0.32539357782210976</v>
      </c>
      <c r="AC18" s="3">
        <f>'Prices by Case'!AB15*$C$1-'NG Alphas'!$C18*'Demand by Case'!AB15-'NG Alphas'!$C$2*'Demand by Case'!AB$21</f>
        <v>-0.21849191586853234</v>
      </c>
      <c r="AD18" s="3">
        <f>'Prices by Case'!AC15*$C$1-'NG Alphas'!$C18*'Demand by Case'!AC15-'NG Alphas'!$C$2*'Demand by Case'!AC$21</f>
        <v>-0.16214170758809243</v>
      </c>
      <c r="AE18" s="3">
        <f>'Prices by Case'!AD15*$C$1-'NG Alphas'!$C18*'Demand by Case'!AD15-'NG Alphas'!$C$2*'Demand by Case'!AD$21</f>
        <v>-0.10031486183127458</v>
      </c>
      <c r="AF18" s="3">
        <f>'Prices by Case'!AE15*$C$1-'NG Alphas'!$C18*'Demand by Case'!AE15-'NG Alphas'!$C$2*'Demand by Case'!AE$21</f>
        <v>0.11233868519295487</v>
      </c>
      <c r="AG18" s="3">
        <f>'Prices by Case'!AF15*$C$1-'NG Alphas'!$C18*'Demand by Case'!AF15-'NG Alphas'!$C$2*'Demand by Case'!AF$21</f>
        <v>0.27533996272416217</v>
      </c>
      <c r="AH18" s="3">
        <f>'Prices by Case'!AG15*$C$1-'NG Alphas'!$C18*'Demand by Case'!AG15-'NG Alphas'!$C$2*'Demand by Case'!AG$21</f>
        <v>0.3020238450908117</v>
      </c>
      <c r="AI18" s="3">
        <f>'Prices by Case'!AH15*$C$1-'NG Alphas'!$C18*'Demand by Case'!AH15-'NG Alphas'!$C$2*'Demand by Case'!AH$21</f>
        <v>0.34384380128083181</v>
      </c>
      <c r="AJ18" s="3">
        <f>'Prices by Case'!AI15*$C$1-'NG Alphas'!$C18*'Demand by Case'!AI15-'NG Alphas'!$C$2*'Demand by Case'!AI$21</f>
        <v>0.34034851561682644</v>
      </c>
      <c r="AK18" s="3">
        <f>'Prices by Case'!AJ15*$C$1-'NG Alphas'!$C18*'Demand by Case'!AJ15-'NG Alphas'!$C$2*'Demand by Case'!AJ$21</f>
        <v>0.23018708247214015</v>
      </c>
      <c r="AL18" s="3">
        <f>'Prices by Case'!AK15*$C$1-'NG Alphas'!$C18*'Demand by Case'!AK15-'NG Alphas'!$C$2*'Demand by Case'!AK$21</f>
        <v>0.12293244173470153</v>
      </c>
      <c r="AM18" s="3">
        <f>'Prices by Case'!AL15*$C$1-'NG Alphas'!$C18*'Demand by Case'!AL15-'NG Alphas'!$C$2*'Demand by Case'!AL$21</f>
        <v>6.7107054430961766E-2</v>
      </c>
      <c r="AN18" s="3">
        <f>'Prices by Case'!AM15*$C$1-'NG Alphas'!$C18*'Demand by Case'!AM15-'NG Alphas'!$C$2*'Demand by Case'!AM$21</f>
        <v>7.175287643084105E-2</v>
      </c>
      <c r="AO18" s="3">
        <f>'Prices by Case'!AN15*$C$1-'NG Alphas'!$C18*'Demand by Case'!AN15-'NG Alphas'!$C$2*'Demand by Case'!AN$21</f>
        <v>3.8801498670076873E-2</v>
      </c>
      <c r="AP18" s="3">
        <f>'Prices by Case'!AO15*$C$1-'NG Alphas'!$C18*'Demand by Case'!AO15-'NG Alphas'!$C$2*'Demand by Case'!AO$21</f>
        <v>5.373526344559898E-2</v>
      </c>
      <c r="AQ18" s="3">
        <f>'Prices by Case'!AP15*$C$1-'NG Alphas'!$C18*'Demand by Case'!AP15-'NG Alphas'!$C$2*'Demand by Case'!AP$21</f>
        <v>-2.1675881642307937E-2</v>
      </c>
      <c r="AR18" s="3">
        <f>'Prices by Case'!AQ15*$C$1-'NG Alphas'!$C18*'Demand by Case'!AQ15-'NG Alphas'!$C$2*'Demand by Case'!AQ$21</f>
        <v>-7.6279579052419333E-2</v>
      </c>
      <c r="AS18" s="3"/>
      <c r="AT18" s="11">
        <f>(AH18+'Demand by Case'!AG15*'NG Alphas'!C18+'Demand by Case'!$AG$21*'NG Alphas'!$C$2)/'NG Alphas'!$C$1</f>
        <v>4.2917139999999998</v>
      </c>
      <c r="AU18" s="11">
        <v>4.3085680000000002</v>
      </c>
    </row>
    <row r="19" spans="1:47" x14ac:dyDescent="0.25">
      <c r="A19" t="s">
        <v>11</v>
      </c>
      <c r="B19" t="s">
        <v>1</v>
      </c>
      <c r="C19" s="14">
        <v>0.50217579747531205</v>
      </c>
      <c r="D19" s="3">
        <f>'Prices by Case'!C16*$C$1</f>
        <v>4.6838750171663719</v>
      </c>
      <c r="E19" s="3">
        <f>'Prices by Case'!D16*$C$1-'NG Alphas'!$C19*'Demand by Case'!D16-'NG Alphas'!$C$2*'Demand by Case'!D$11</f>
        <v>2.9271620518635126</v>
      </c>
      <c r="F19" s="3">
        <f>'Prices by Case'!E16*$C$1-'NG Alphas'!$C19*'Demand by Case'!E16-'NG Alphas'!$C$2*'Demand by Case'!E$11</f>
        <v>1.6056841390394616</v>
      </c>
      <c r="G19" s="3">
        <f>'Prices by Case'!F16*$C$1-'NG Alphas'!$C19*'Demand by Case'!F16-'NG Alphas'!$C$2*'Demand by Case'!F$11</f>
        <v>3.5464152474947772</v>
      </c>
      <c r="H19" s="3">
        <f>'Prices by Case'!G16*$C$1-'NG Alphas'!$C19*'Demand by Case'!G16-'NG Alphas'!$C$2*'Demand by Case'!G$11</f>
        <v>3.9811655937527926</v>
      </c>
      <c r="I19" s="3">
        <f>'Prices by Case'!H16*$C$1-'NG Alphas'!$C19*'Demand by Case'!H16-'NG Alphas'!$C$2*'Demand by Case'!H$11</f>
        <v>1.8666083947473033</v>
      </c>
      <c r="J19" s="3">
        <f>'Prices by Case'!I16*$C$1-'NG Alphas'!$C19*'Demand by Case'!I16-'NG Alphas'!$C$2*'Demand by Case'!I$21</f>
        <v>1.5119945901028327</v>
      </c>
      <c r="K19" s="3">
        <f>'Prices by Case'!J16*$C$1-'NG Alphas'!$C19*'Demand by Case'!J16-'NG Alphas'!$C$2*'Demand by Case'!J$21</f>
        <v>1.7528551153717022</v>
      </c>
      <c r="L19" s="3">
        <f>'Prices by Case'!K16*$C$1-'NG Alphas'!$C19*'Demand by Case'!K16-'NG Alphas'!$C$2*'Demand by Case'!K$21</f>
        <v>1.8913199589272245</v>
      </c>
      <c r="M19" s="3">
        <f>'Prices by Case'!L16*$C$1-'NG Alphas'!$C19*'Demand by Case'!L16-'NG Alphas'!$C$2*'Demand by Case'!L$21</f>
        <v>1.5389975703791314</v>
      </c>
      <c r="N19" s="3">
        <f>'Prices by Case'!M16*$C$1-'NG Alphas'!$C19*'Demand by Case'!M16-'NG Alphas'!$C$2*'Demand by Case'!M$21</f>
        <v>1.131327219086131</v>
      </c>
      <c r="O19" s="3">
        <f>'Prices by Case'!N16*$C$1-'NG Alphas'!$C19*'Demand by Case'!N16-'NG Alphas'!$C$2*'Demand by Case'!N$21</f>
        <v>3.0996412489691707</v>
      </c>
      <c r="P19" s="3">
        <f>'Prices by Case'!O16*$C$1-'NG Alphas'!$C19*'Demand by Case'!O16-'NG Alphas'!$C$2*'Demand by Case'!O$21</f>
        <v>3.5483196541215358</v>
      </c>
      <c r="Q19" s="3">
        <f>'Prices by Case'!P16*$C$1-'NG Alphas'!$C19*'Demand by Case'!P16-'NG Alphas'!$C$2*'Demand by Case'!P$21</f>
        <v>1.1978492595683954</v>
      </c>
      <c r="R19" s="3">
        <f>'Prices by Case'!Q16*$C$1-'NG Alphas'!$C19*'Demand by Case'!Q16-'NG Alphas'!$C$2*'Demand by Case'!Q$21</f>
        <v>0.26949636472772576</v>
      </c>
      <c r="S19" s="3">
        <f>'Prices by Case'!R16*$C$1-'NG Alphas'!$C19*'Demand by Case'!R16-'NG Alphas'!$C$2*'Demand by Case'!R$21</f>
        <v>0.17801500875831322</v>
      </c>
      <c r="T19" s="3">
        <f>'Prices by Case'!S16*$C$1-'NG Alphas'!$C19*'Demand by Case'!S16-'NG Alphas'!$C$2*'Demand by Case'!S$21</f>
        <v>3.4676441127260205E-2</v>
      </c>
      <c r="U19" s="3">
        <f>'Prices by Case'!T16*$C$1-'NG Alphas'!$C19*'Demand by Case'!T16-'NG Alphas'!$C$2*'Demand by Case'!T$21</f>
        <v>-0.13580411786961322</v>
      </c>
      <c r="V19" s="3">
        <f>'Prices by Case'!U16*$C$1-'NG Alphas'!$C19*'Demand by Case'!U16-'NG Alphas'!$C$2*'Demand by Case'!U$21</f>
        <v>-0.23983943070287461</v>
      </c>
      <c r="W19" s="3">
        <f>'Prices by Case'!V16*$C$1-'NG Alphas'!$C19*'Demand by Case'!V16-'NG Alphas'!$C$2*'Demand by Case'!V$21</f>
        <v>-0.29003843012700448</v>
      </c>
      <c r="X19" s="3">
        <f>'Prices by Case'!W16*$C$1-'NG Alphas'!$C19*'Demand by Case'!W16-'NG Alphas'!$C$2*'Demand by Case'!W$21</f>
        <v>-0.38720459903757631</v>
      </c>
      <c r="Y19" s="3">
        <f>'Prices by Case'!X16*$C$1-'NG Alphas'!$C19*'Demand by Case'!X16-'NG Alphas'!$C$2*'Demand by Case'!X$21</f>
        <v>-0.39444373179515368</v>
      </c>
      <c r="Z19" s="3">
        <f>'Prices by Case'!Y16*$C$1-'NG Alphas'!$C19*'Demand by Case'!Y16-'NG Alphas'!$C$2*'Demand by Case'!Y$21</f>
        <v>-0.39095319372211401</v>
      </c>
      <c r="AA19" s="3">
        <f>'Prices by Case'!Z16*$C$1-'NG Alphas'!$C19*'Demand by Case'!Z16-'NG Alphas'!$C$2*'Demand by Case'!Z$21</f>
        <v>-0.31456912077826704</v>
      </c>
      <c r="AB19" s="3">
        <f>'Prices by Case'!AA16*$C$1-'NG Alphas'!$C19*'Demand by Case'!AA16-'NG Alphas'!$C$2*'Demand by Case'!AA$21</f>
        <v>-0.23058775689631039</v>
      </c>
      <c r="AC19" s="3">
        <f>'Prices by Case'!AB16*$C$1-'NG Alphas'!$C19*'Demand by Case'!AB16-'NG Alphas'!$C$2*'Demand by Case'!AB$21</f>
        <v>-0.12880992403397218</v>
      </c>
      <c r="AD19" s="3">
        <f>'Prices by Case'!AC16*$C$1-'NG Alphas'!$C19*'Demand by Case'!AC16-'NG Alphas'!$C$2*'Demand by Case'!AC$21</f>
        <v>-2.5469880343526485E-2</v>
      </c>
      <c r="AE19" s="3">
        <f>'Prices by Case'!AD16*$C$1-'NG Alphas'!$C19*'Demand by Case'!AD16-'NG Alphas'!$C$2*'Demand by Case'!AD$21</f>
        <v>2.0532265657734028E-2</v>
      </c>
      <c r="AF19" s="3">
        <f>'Prices by Case'!AE16*$C$1-'NG Alphas'!$C19*'Demand by Case'!AE16-'NG Alphas'!$C$2*'Demand by Case'!AE$21</f>
        <v>0.13855602150830504</v>
      </c>
      <c r="AG19" s="3">
        <f>'Prices by Case'!AF16*$C$1-'NG Alphas'!$C19*'Demand by Case'!AF16-'NG Alphas'!$C$2*'Demand by Case'!AF$21</f>
        <v>0.16024195420131981</v>
      </c>
      <c r="AH19" s="3">
        <f>'Prices by Case'!AG16*$C$1-'NG Alphas'!$C19*'Demand by Case'!AG16-'NG Alphas'!$C$2*'Demand by Case'!AG$21</f>
        <v>0.11604033311043782</v>
      </c>
      <c r="AI19" s="3">
        <f>'Prices by Case'!AH16*$C$1-'NG Alphas'!$C19*'Demand by Case'!AH16-'NG Alphas'!$C$2*'Demand by Case'!AH$21</f>
        <v>0.1730156203193014</v>
      </c>
      <c r="AJ19" s="3">
        <f>'Prices by Case'!AI16*$C$1-'NG Alphas'!$C19*'Demand by Case'!AI16-'NG Alphas'!$C$2*'Demand by Case'!AI$21</f>
        <v>0.18343671770772008</v>
      </c>
      <c r="AK19" s="3">
        <f>'Prices by Case'!AJ16*$C$1-'NG Alphas'!$C19*'Demand by Case'!AJ16-'NG Alphas'!$C$2*'Demand by Case'!AJ$21</f>
        <v>8.6264906925606066E-2</v>
      </c>
      <c r="AL19" s="3">
        <f>'Prices by Case'!AK16*$C$1-'NG Alphas'!$C19*'Demand by Case'!AK16-'NG Alphas'!$C$2*'Demand by Case'!AK$21</f>
        <v>-6.8155989151635232E-2</v>
      </c>
      <c r="AM19" s="3">
        <f>'Prices by Case'!AL16*$C$1-'NG Alphas'!$C19*'Demand by Case'!AL16-'NG Alphas'!$C$2*'Demand by Case'!AL$21</f>
        <v>-0.15788215379226367</v>
      </c>
      <c r="AN19" s="3">
        <f>'Prices by Case'!AM16*$C$1-'NG Alphas'!$C19*'Demand by Case'!AM16-'NG Alphas'!$C$2*'Demand by Case'!AM$21</f>
        <v>-0.19253785052536876</v>
      </c>
      <c r="AO19" s="3">
        <f>'Prices by Case'!AN16*$C$1-'NG Alphas'!$C19*'Demand by Case'!AN16-'NG Alphas'!$C$2*'Demand by Case'!AN$21</f>
        <v>-0.23173771748349958</v>
      </c>
      <c r="AP19" s="3">
        <f>'Prices by Case'!AO16*$C$1-'NG Alphas'!$C19*'Demand by Case'!AO16-'NG Alphas'!$C$2*'Demand by Case'!AO$21</f>
        <v>-0.23766312025635483</v>
      </c>
      <c r="AQ19" s="3">
        <f>'Prices by Case'!AP16*$C$1-'NG Alphas'!$C19*'Demand by Case'!AP16-'NG Alphas'!$C$2*'Demand by Case'!AP$21</f>
        <v>-0.28093376175853946</v>
      </c>
      <c r="AR19" s="3">
        <f>'Prices by Case'!AQ16*$C$1-'NG Alphas'!$C19*'Demand by Case'!AQ16-'NG Alphas'!$C$2*'Demand by Case'!AQ$21</f>
        <v>-0.31724018843320168</v>
      </c>
      <c r="AS19" s="3"/>
      <c r="AT19" s="11">
        <f>(AH19+'Demand by Case'!AG16*'NG Alphas'!C19+'Demand by Case'!$AG$21*'NG Alphas'!$C$2)/'NG Alphas'!$C$1</f>
        <v>3.1723659999999998</v>
      </c>
      <c r="AU19" s="11">
        <v>4.60398</v>
      </c>
    </row>
    <row r="20" spans="1:47" x14ac:dyDescent="0.25">
      <c r="A20" t="s">
        <v>11</v>
      </c>
      <c r="B20" t="s">
        <v>9</v>
      </c>
      <c r="C20" s="14">
        <v>0.19684249743097632</v>
      </c>
      <c r="D20" s="3">
        <f>'Prices by Case'!C17*$C$1</f>
        <v>4.1725022280508384</v>
      </c>
      <c r="E20" s="3">
        <f>'Prices by Case'!D17*$C$1-'NG Alphas'!$C20*'Demand by Case'!D17-'NG Alphas'!$C$2*'Demand by Case'!D$11</f>
        <v>2.7320029116764442</v>
      </c>
      <c r="F20" s="3">
        <f>'Prices by Case'!E17*$C$1-'NG Alphas'!$C20*'Demand by Case'!E17-'NG Alphas'!$C$2*'Demand by Case'!E$11</f>
        <v>1.5382517211981239</v>
      </c>
      <c r="G20" s="3">
        <f>'Prices by Case'!F17*$C$1-'NG Alphas'!$C20*'Demand by Case'!F17-'NG Alphas'!$C$2*'Demand by Case'!F$11</f>
        <v>2.2558133414695516</v>
      </c>
      <c r="H20" s="3">
        <f>'Prices by Case'!G17*$C$1-'NG Alphas'!$C20*'Demand by Case'!G17-'NG Alphas'!$C$2*'Demand by Case'!G$11</f>
        <v>2.6657390427129046</v>
      </c>
      <c r="I20" s="3">
        <f>'Prices by Case'!H17*$C$1-'NG Alphas'!$C20*'Demand by Case'!H17-'NG Alphas'!$C$2*'Demand by Case'!H$11</f>
        <v>1.0415252015151502</v>
      </c>
      <c r="J20" s="3">
        <f>'Prices by Case'!I17*$C$1-'NG Alphas'!$C20*'Demand by Case'!I17-'NG Alphas'!$C$2*'Demand by Case'!I$21</f>
        <v>0.63590778482911126</v>
      </c>
      <c r="K20" s="3">
        <f>'Prices by Case'!J17*$C$1-'NG Alphas'!$C20*'Demand by Case'!J17-'NG Alphas'!$C$2*'Demand by Case'!J$21</f>
        <v>1.070923523340499</v>
      </c>
      <c r="L20" s="3">
        <f>'Prices by Case'!K17*$C$1-'NG Alphas'!$C20*'Demand by Case'!K17-'NG Alphas'!$C$2*'Demand by Case'!K$21</f>
        <v>0.97809026960587975</v>
      </c>
      <c r="M20" s="3">
        <f>'Prices by Case'!L17*$C$1-'NG Alphas'!$C20*'Demand by Case'!L17-'NG Alphas'!$C$2*'Demand by Case'!L$21</f>
        <v>0.50351143876793425</v>
      </c>
      <c r="N20" s="3">
        <f>'Prices by Case'!M17*$C$1-'NG Alphas'!$C20*'Demand by Case'!M17-'NG Alphas'!$C$2*'Demand by Case'!M$21</f>
        <v>0.18755021019053597</v>
      </c>
      <c r="O20" s="3">
        <f>'Prices by Case'!N17*$C$1-'NG Alphas'!$C20*'Demand by Case'!N17-'NG Alphas'!$C$2*'Demand by Case'!N$21</f>
        <v>2.3535620239931276</v>
      </c>
      <c r="P20" s="3">
        <f>'Prices by Case'!O17*$C$1-'NG Alphas'!$C20*'Demand by Case'!O17-'NG Alphas'!$C$2*'Demand by Case'!O$21</f>
        <v>3.029575429038144</v>
      </c>
      <c r="Q20" s="3">
        <f>'Prices by Case'!P17*$C$1-'NG Alphas'!$C20*'Demand by Case'!P17-'NG Alphas'!$C$2*'Demand by Case'!P$21</f>
        <v>0.19857816254973937</v>
      </c>
      <c r="R20" s="3">
        <f>'Prices by Case'!Q17*$C$1-'NG Alphas'!$C20*'Demand by Case'!Q17-'NG Alphas'!$C$2*'Demand by Case'!Q$21</f>
        <v>-0.14912396714005993</v>
      </c>
      <c r="S20" s="3">
        <f>'Prices by Case'!R17*$C$1-'NG Alphas'!$C20*'Demand by Case'!R17-'NG Alphas'!$C$2*'Demand by Case'!R$21</f>
        <v>-0.18570372698037541</v>
      </c>
      <c r="T20" s="3">
        <f>'Prices by Case'!S17*$C$1-'NG Alphas'!$C20*'Demand by Case'!S17-'NG Alphas'!$C$2*'Demand by Case'!S$21</f>
        <v>-0.33270885496864167</v>
      </c>
      <c r="U20" s="3">
        <f>'Prices by Case'!T17*$C$1-'NG Alphas'!$C20*'Demand by Case'!T17-'NG Alphas'!$C$2*'Demand by Case'!T$21</f>
        <v>-0.36282282168906099</v>
      </c>
      <c r="V20" s="3">
        <f>'Prices by Case'!U17*$C$1-'NG Alphas'!$C20*'Demand by Case'!U17-'NG Alphas'!$C$2*'Demand by Case'!U$21</f>
        <v>-0.25231139568565109</v>
      </c>
      <c r="W20" s="3">
        <f>'Prices by Case'!V17*$C$1-'NG Alphas'!$C20*'Demand by Case'!V17-'NG Alphas'!$C$2*'Demand by Case'!V$21</f>
        <v>-0.19926287124170394</v>
      </c>
      <c r="X20" s="3">
        <f>'Prices by Case'!W17*$C$1-'NG Alphas'!$C20*'Demand by Case'!W17-'NG Alphas'!$C$2*'Demand by Case'!W$21</f>
        <v>-7.7671450016487675E-2</v>
      </c>
      <c r="Y20" s="3">
        <f>'Prices by Case'!X17*$C$1-'NG Alphas'!$C20*'Demand by Case'!X17-'NG Alphas'!$C$2*'Demand by Case'!X$21</f>
        <v>9.0813373031035649E-3</v>
      </c>
      <c r="Z20" s="3">
        <f>'Prices by Case'!Y17*$C$1-'NG Alphas'!$C20*'Demand by Case'!Y17-'NG Alphas'!$C$2*'Demand by Case'!Y$21</f>
        <v>9.8568309456783521E-2</v>
      </c>
      <c r="AA20" s="3">
        <f>'Prices by Case'!Z17*$C$1-'NG Alphas'!$C20*'Demand by Case'!Z17-'NG Alphas'!$C$2*'Demand by Case'!Z$21</f>
        <v>0.22006891119454153</v>
      </c>
      <c r="AB20" s="3">
        <f>'Prices by Case'!AA17*$C$1-'NG Alphas'!$C20*'Demand by Case'!AA17-'NG Alphas'!$C$2*'Demand by Case'!AA$21</f>
        <v>0.3060994739418863</v>
      </c>
      <c r="AC20" s="3">
        <f>'Prices by Case'!AB17*$C$1-'NG Alphas'!$C20*'Demand by Case'!AB17-'NG Alphas'!$C$2*'Demand by Case'!AB$21</f>
        <v>0.36551396032353534</v>
      </c>
      <c r="AD20" s="3">
        <f>'Prices by Case'!AC17*$C$1-'NG Alphas'!$C20*'Demand by Case'!AC17-'NG Alphas'!$C$2*'Demand by Case'!AC$21</f>
        <v>0.44471140733682035</v>
      </c>
      <c r="AE20" s="3">
        <f>'Prices by Case'!AD17*$C$1-'NG Alphas'!$C20*'Demand by Case'!AD17-'NG Alphas'!$C$2*'Demand by Case'!AD$21</f>
        <v>0.47256854533538206</v>
      </c>
      <c r="AF20" s="3">
        <f>'Prices by Case'!AE17*$C$1-'NG Alphas'!$C20*'Demand by Case'!AE17-'NG Alphas'!$C$2*'Demand by Case'!AE$21</f>
        <v>0.56990476383325661</v>
      </c>
      <c r="AG20" s="3">
        <f>'Prices by Case'!AF17*$C$1-'NG Alphas'!$C20*'Demand by Case'!AF17-'NG Alphas'!$C$2*'Demand by Case'!AF$21</f>
        <v>0.68936793501666394</v>
      </c>
      <c r="AH20" s="3">
        <f>'Prices by Case'!AG17*$C$1-'NG Alphas'!$C20*'Demand by Case'!AG17-'NG Alphas'!$C$2*'Demand by Case'!AG$21</f>
        <v>0.73125095885297897</v>
      </c>
      <c r="AI20" s="3">
        <f>'Prices by Case'!AH17*$C$1-'NG Alphas'!$C20*'Demand by Case'!AH17-'NG Alphas'!$C$2*'Demand by Case'!AH$21</f>
        <v>0.73913426494204759</v>
      </c>
      <c r="AJ20" s="3">
        <f>'Prices by Case'!AI17*$C$1-'NG Alphas'!$C20*'Demand by Case'!AI17-'NG Alphas'!$C$2*'Demand by Case'!AI$21</f>
        <v>0.75458354423614549</v>
      </c>
      <c r="AK20" s="3">
        <f>'Prices by Case'!AJ17*$C$1-'NG Alphas'!$C20*'Demand by Case'!AJ17-'NG Alphas'!$C$2*'Demand by Case'!AJ$21</f>
        <v>0.6960709376717511</v>
      </c>
      <c r="AL20" s="3">
        <f>'Prices by Case'!AK17*$C$1-'NG Alphas'!$C20*'Demand by Case'!AK17-'NG Alphas'!$C$2*'Demand by Case'!AK$21</f>
        <v>0.61423517314595899</v>
      </c>
      <c r="AM20" s="3">
        <f>'Prices by Case'!AL17*$C$1-'NG Alphas'!$C20*'Demand by Case'!AL17-'NG Alphas'!$C$2*'Demand by Case'!AL$21</f>
        <v>0.6378751896894288</v>
      </c>
      <c r="AN20" s="3">
        <f>'Prices by Case'!AM17*$C$1-'NG Alphas'!$C20*'Demand by Case'!AM17-'NG Alphas'!$C$2*'Demand by Case'!AM$21</f>
        <v>0.61940475836372877</v>
      </c>
      <c r="AO20" s="3">
        <f>'Prices by Case'!AN17*$C$1-'NG Alphas'!$C20*'Demand by Case'!AN17-'NG Alphas'!$C$2*'Demand by Case'!AN$21</f>
        <v>0.6277273052258876</v>
      </c>
      <c r="AP20" s="3">
        <f>'Prices by Case'!AO17*$C$1-'NG Alphas'!$C20*'Demand by Case'!AO17-'NG Alphas'!$C$2*'Demand by Case'!AO$21</f>
        <v>0.6705700897137794</v>
      </c>
      <c r="AQ20" s="3">
        <f>'Prices by Case'!AP17*$C$1-'NG Alphas'!$C20*'Demand by Case'!AP17-'NG Alphas'!$C$2*'Demand by Case'!AP$21</f>
        <v>0.63030240737160415</v>
      </c>
      <c r="AR20" s="3">
        <f>'Prices by Case'!AQ17*$C$1-'NG Alphas'!$C20*'Demand by Case'!AQ17-'NG Alphas'!$C$2*'Demand by Case'!AQ$21</f>
        <v>0.63115775833320908</v>
      </c>
      <c r="AS20" s="3"/>
      <c r="AT20" s="11">
        <f>(AH20+'Demand by Case'!AG17*'NG Alphas'!C20+'Demand by Case'!$AG$21*'NG Alphas'!$C$2)/'NG Alphas'!$C$1</f>
        <v>4.3760579999999996</v>
      </c>
      <c r="AU20" s="11">
        <v>3.7682169999999999</v>
      </c>
    </row>
    <row r="21" spans="1:47" x14ac:dyDescent="0.25">
      <c r="A21" t="s">
        <v>11</v>
      </c>
      <c r="B21" t="s">
        <v>5</v>
      </c>
      <c r="C21" s="14">
        <v>0.16186348632922257</v>
      </c>
      <c r="D21" s="3">
        <f>'Prices by Case'!C18*$C$1</f>
        <v>5.2114045111850569</v>
      </c>
      <c r="E21" s="3">
        <f>'Prices by Case'!D18*$C$1-'NG Alphas'!$C21*'Demand by Case'!D18-'NG Alphas'!$C$2*'Demand by Case'!D$11</f>
        <v>3.2690962585265515</v>
      </c>
      <c r="F21" s="3">
        <f>'Prices by Case'!E18*$C$1-'NG Alphas'!$C21*'Demand by Case'!E18-'NG Alphas'!$C$2*'Demand by Case'!E$11</f>
        <v>1.8726286314874494</v>
      </c>
      <c r="G21" s="3">
        <f>'Prices by Case'!F18*$C$1-'NG Alphas'!$C21*'Demand by Case'!F18-'NG Alphas'!$C$2*'Demand by Case'!F$11</f>
        <v>2.4758234711478653</v>
      </c>
      <c r="H21" s="3">
        <f>'Prices by Case'!G18*$C$1-'NG Alphas'!$C21*'Demand by Case'!G18-'NG Alphas'!$C$2*'Demand by Case'!G$11</f>
        <v>2.9106209974847381</v>
      </c>
      <c r="I21" s="3">
        <f>'Prices by Case'!H18*$C$1-'NG Alphas'!$C21*'Demand by Case'!H18-'NG Alphas'!$C$2*'Demand by Case'!H$11</f>
        <v>1.4151552712560773</v>
      </c>
      <c r="J21" s="3">
        <f>'Prices by Case'!I18*$C$1-'NG Alphas'!$C21*'Demand by Case'!I18-'NG Alphas'!$C$2*'Demand by Case'!I$21</f>
        <v>0.92748951727880535</v>
      </c>
      <c r="K21" s="3">
        <f>'Prices by Case'!J18*$C$1-'NG Alphas'!$C21*'Demand by Case'!J18-'NG Alphas'!$C$2*'Demand by Case'!J$21</f>
        <v>1.2476410150242159</v>
      </c>
      <c r="L21" s="3">
        <f>'Prices by Case'!K18*$C$1-'NG Alphas'!$C21*'Demand by Case'!K18-'NG Alphas'!$C$2*'Demand by Case'!K$21</f>
        <v>0.96583999720442071</v>
      </c>
      <c r="M21" s="3">
        <f>'Prices by Case'!L18*$C$1-'NG Alphas'!$C21*'Demand by Case'!L18-'NG Alphas'!$C$2*'Demand by Case'!L$21</f>
        <v>0.42709666125089574</v>
      </c>
      <c r="N21" s="3">
        <f>'Prices by Case'!M18*$C$1-'NG Alphas'!$C21*'Demand by Case'!M18-'NG Alphas'!$C$2*'Demand by Case'!M$21</f>
        <v>4.5345631160517597E-2</v>
      </c>
      <c r="O21" s="3">
        <f>'Prices by Case'!N18*$C$1-'NG Alphas'!$C21*'Demand by Case'!N18-'NG Alphas'!$C$2*'Demand by Case'!N$21</f>
        <v>2.0804123361789082</v>
      </c>
      <c r="P21" s="3">
        <f>'Prices by Case'!O18*$C$1-'NG Alphas'!$C21*'Demand by Case'!O18-'NG Alphas'!$C$2*'Demand by Case'!O$21</f>
        <v>3.0785933912196182</v>
      </c>
      <c r="Q21" s="3">
        <f>'Prices by Case'!P18*$C$1-'NG Alphas'!$C21*'Demand by Case'!P18-'NG Alphas'!$C$2*'Demand by Case'!P$21</f>
        <v>4.8011954272756174E-2</v>
      </c>
      <c r="R21" s="3">
        <f>'Prices by Case'!Q18*$C$1-'NG Alphas'!$C21*'Demand by Case'!Q18-'NG Alphas'!$C$2*'Demand by Case'!Q$21</f>
        <v>-0.23339860072997598</v>
      </c>
      <c r="S21" s="3">
        <f>'Prices by Case'!R18*$C$1-'NG Alphas'!$C21*'Demand by Case'!R18-'NG Alphas'!$C$2*'Demand by Case'!R$21</f>
        <v>-0.18001518963295937</v>
      </c>
      <c r="T21" s="3">
        <f>'Prices by Case'!S18*$C$1-'NG Alphas'!$C21*'Demand by Case'!S18-'NG Alphas'!$C$2*'Demand by Case'!S$21</f>
        <v>-0.40794032498651589</v>
      </c>
      <c r="U21" s="3">
        <f>'Prices by Case'!T18*$C$1-'NG Alphas'!$C21*'Demand by Case'!T18-'NG Alphas'!$C$2*'Demand by Case'!T$21</f>
        <v>-0.38800904085826438</v>
      </c>
      <c r="V21" s="3">
        <f>'Prices by Case'!U18*$C$1-'NG Alphas'!$C21*'Demand by Case'!U18-'NG Alphas'!$C$2*'Demand by Case'!U$21</f>
        <v>-0.29877592469313607</v>
      </c>
      <c r="W21" s="3">
        <f>'Prices by Case'!V18*$C$1-'NG Alphas'!$C21*'Demand by Case'!V18-'NG Alphas'!$C$2*'Demand by Case'!V$21</f>
        <v>-0.26434238655664366</v>
      </c>
      <c r="X21" s="3">
        <f>'Prices by Case'!W18*$C$1-'NG Alphas'!$C21*'Demand by Case'!W18-'NG Alphas'!$C$2*'Demand by Case'!W$21</f>
        <v>-0.22490711357423021</v>
      </c>
      <c r="Y21" s="3">
        <f>'Prices by Case'!X18*$C$1-'NG Alphas'!$C21*'Demand by Case'!X18-'NG Alphas'!$C$2*'Demand by Case'!X$21</f>
        <v>-0.28326791048859956</v>
      </c>
      <c r="Z21" s="3">
        <f>'Prices by Case'!Y18*$C$1-'NG Alphas'!$C21*'Demand by Case'!Y18-'NG Alphas'!$C$2*'Demand by Case'!Y$21</f>
        <v>-0.19745912803982524</v>
      </c>
      <c r="AA21" s="3">
        <f>'Prices by Case'!Z18*$C$1-'NG Alphas'!$C21*'Demand by Case'!Z18-'NG Alphas'!$C$2*'Demand by Case'!Z$21</f>
        <v>-0.22990666222829592</v>
      </c>
      <c r="AB21" s="3">
        <f>'Prices by Case'!AA18*$C$1-'NG Alphas'!$C21*'Demand by Case'!AA18-'NG Alphas'!$C$2*'Demand by Case'!AA$21</f>
        <v>-0.19498274613327493</v>
      </c>
      <c r="AC21" s="3">
        <f>'Prices by Case'!AB18*$C$1-'NG Alphas'!$C21*'Demand by Case'!AB18-'NG Alphas'!$C$2*'Demand by Case'!AB$21</f>
        <v>-0.12791387645820884</v>
      </c>
      <c r="AD21" s="3">
        <f>'Prices by Case'!AC18*$C$1-'NG Alphas'!$C21*'Demand by Case'!AC18-'NG Alphas'!$C$2*'Demand by Case'!AC$21</f>
        <v>-2.0665994562458767E-2</v>
      </c>
      <c r="AE21" s="3">
        <f>'Prices by Case'!AD18*$C$1-'NG Alphas'!$C21*'Demand by Case'!AD18-'NG Alphas'!$C$2*'Demand by Case'!AD$21</f>
        <v>2.2290134619959767E-2</v>
      </c>
      <c r="AF21" s="3">
        <f>'Prices by Case'!AE18*$C$1-'NG Alphas'!$C21*'Demand by Case'!AE18-'NG Alphas'!$C$2*'Demand by Case'!AE$21</f>
        <v>0.12081336356618833</v>
      </c>
      <c r="AG21" s="3">
        <f>'Prices by Case'!AF18*$C$1-'NG Alphas'!$C21*'Demand by Case'!AF18-'NG Alphas'!$C$2*'Demand by Case'!AF$21</f>
        <v>0.2118585596551017</v>
      </c>
      <c r="AH21" s="3">
        <f>'Prices by Case'!AG18*$C$1-'NG Alphas'!$C21*'Demand by Case'!AG18-'NG Alphas'!$C$2*'Demand by Case'!AG$21</f>
        <v>0.20225215598051571</v>
      </c>
      <c r="AI21" s="3">
        <f>'Prices by Case'!AH18*$C$1-'NG Alphas'!$C21*'Demand by Case'!AH18-'NG Alphas'!$C$2*'Demand by Case'!AH$21</f>
        <v>0.19481013236243117</v>
      </c>
      <c r="AJ21" s="3">
        <f>'Prices by Case'!AI18*$C$1-'NG Alphas'!$C21*'Demand by Case'!AI18-'NG Alphas'!$C$2*'Demand by Case'!AI$21</f>
        <v>0.18554843227052431</v>
      </c>
      <c r="AK21" s="3">
        <f>'Prices by Case'!AJ18*$C$1-'NG Alphas'!$C21*'Demand by Case'!AJ18-'NG Alphas'!$C$2*'Demand by Case'!AJ$21</f>
        <v>0.11544439881387847</v>
      </c>
      <c r="AL21" s="3">
        <f>'Prices by Case'!AK18*$C$1-'NG Alphas'!$C21*'Demand by Case'!AK18-'NG Alphas'!$C$2*'Demand by Case'!AK$21</f>
        <v>6.3592425897604166E-2</v>
      </c>
      <c r="AM21" s="3">
        <f>'Prices by Case'!AL18*$C$1-'NG Alphas'!$C21*'Demand by Case'!AL18-'NG Alphas'!$C$2*'Demand by Case'!AL$21</f>
        <v>2.7198505507691095E-2</v>
      </c>
      <c r="AN21" s="3">
        <f>'Prices by Case'!AM18*$C$1-'NG Alphas'!$C21*'Demand by Case'!AM18-'NG Alphas'!$C$2*'Demand by Case'!AM$21</f>
        <v>-1.4789894124065395E-3</v>
      </c>
      <c r="AO21" s="3">
        <f>'Prices by Case'!AN18*$C$1-'NG Alphas'!$C21*'Demand by Case'!AN18-'NG Alphas'!$C$2*'Demand by Case'!AN$21</f>
        <v>8.6252107539893208E-2</v>
      </c>
      <c r="AP21" s="3">
        <f>'Prices by Case'!AO18*$C$1-'NG Alphas'!$C21*'Demand by Case'!AO18-'NG Alphas'!$C$2*'Demand by Case'!AO$21</f>
        <v>0.10755239100887448</v>
      </c>
      <c r="AQ21" s="3">
        <f>'Prices by Case'!AP18*$C$1-'NG Alphas'!$C21*'Demand by Case'!AP18-'NG Alphas'!$C$2*'Demand by Case'!AP$21</f>
        <v>4.2285075515811732E-2</v>
      </c>
      <c r="AR21" s="3">
        <f>'Prices by Case'!AQ18*$C$1-'NG Alphas'!$C21*'Demand by Case'!AQ18-'NG Alphas'!$C$2*'Demand by Case'!AQ$21</f>
        <v>8.9009140762268402E-3</v>
      </c>
      <c r="AS21" s="3"/>
      <c r="AT21" s="11">
        <f>(AH21+'Demand by Case'!AG18*'NG Alphas'!C21+'Demand by Case'!$AG$21*'NG Alphas'!$C$2)/'NG Alphas'!$C$1</f>
        <v>3.8260420000000006</v>
      </c>
      <c r="AU21" s="11">
        <v>3.4382000000000001</v>
      </c>
    </row>
    <row r="22" spans="1:47" x14ac:dyDescent="0.25">
      <c r="A22" t="s">
        <v>11</v>
      </c>
      <c r="B22" t="s">
        <v>4</v>
      </c>
      <c r="C22" s="14">
        <v>0.57865435636938944</v>
      </c>
      <c r="D22" s="3">
        <f>'Prices by Case'!C19*$C$1</f>
        <v>4.6620897633904246</v>
      </c>
      <c r="E22" s="3">
        <f>'Prices by Case'!D19*$C$1-'NG Alphas'!$C22*'Demand by Case'!D19-'NG Alphas'!$C$2*'Demand by Case'!D$11</f>
        <v>3.2157740009384215</v>
      </c>
      <c r="F22" s="3">
        <f>'Prices by Case'!E19*$C$1-'NG Alphas'!$C22*'Demand by Case'!E19-'NG Alphas'!$C$2*'Demand by Case'!E$11</f>
        <v>1.5577101284621062</v>
      </c>
      <c r="G22" s="3">
        <f>'Prices by Case'!F19*$C$1-'NG Alphas'!$C22*'Demand by Case'!F19-'NG Alphas'!$C$2*'Demand by Case'!F$11</f>
        <v>2.5365061400214408</v>
      </c>
      <c r="H22" s="3">
        <f>'Prices by Case'!G19*$C$1-'NG Alphas'!$C22*'Demand by Case'!G19-'NG Alphas'!$C$2*'Demand by Case'!G$11</f>
        <v>3.2640843651417013</v>
      </c>
      <c r="I22" s="3">
        <f>'Prices by Case'!H19*$C$1-'NG Alphas'!$C22*'Demand by Case'!H19-'NG Alphas'!$C$2*'Demand by Case'!H$11</f>
        <v>1.2361316887098204</v>
      </c>
      <c r="J22" s="3">
        <f>'Prices by Case'!I19*$C$1-'NG Alphas'!$C22*'Demand by Case'!I19-'NG Alphas'!$C$2*'Demand by Case'!I$21</f>
        <v>0.6050647239644309</v>
      </c>
      <c r="K22" s="3">
        <f>'Prices by Case'!J19*$C$1-'NG Alphas'!$C22*'Demand by Case'!J19-'NG Alphas'!$C$2*'Demand by Case'!J$21</f>
        <v>1.305792929810448</v>
      </c>
      <c r="L22" s="3">
        <f>'Prices by Case'!K19*$C$1-'NG Alphas'!$C22*'Demand by Case'!K19-'NG Alphas'!$C$2*'Demand by Case'!K$21</f>
        <v>1.0502648074212475</v>
      </c>
      <c r="M22" s="3">
        <f>'Prices by Case'!L19*$C$1-'NG Alphas'!$C22*'Demand by Case'!L19-'NG Alphas'!$C$2*'Demand by Case'!L$21</f>
        <v>0.29672411396428777</v>
      </c>
      <c r="N22" s="3">
        <f>'Prices by Case'!M19*$C$1-'NG Alphas'!$C22*'Demand by Case'!M19-'NG Alphas'!$C$2*'Demand by Case'!M$21</f>
        <v>-6.0481249181205232E-2</v>
      </c>
      <c r="O22" s="3">
        <f>'Prices by Case'!N19*$C$1-'NG Alphas'!$C22*'Demand by Case'!N19-'NG Alphas'!$C$2*'Demand by Case'!N$21</f>
        <v>1.7796630691441733</v>
      </c>
      <c r="P22" s="3">
        <f>'Prices by Case'!O19*$C$1-'NG Alphas'!$C22*'Demand by Case'!O19-'NG Alphas'!$C$2*'Demand by Case'!O$21</f>
        <v>2.7993290573174727</v>
      </c>
      <c r="Q22" s="3">
        <f>'Prices by Case'!P19*$C$1-'NG Alphas'!$C22*'Demand by Case'!P19-'NG Alphas'!$C$2*'Demand by Case'!P$21</f>
        <v>-6.4037546633059828E-2</v>
      </c>
      <c r="R22" s="3">
        <f>'Prices by Case'!Q19*$C$1-'NG Alphas'!$C22*'Demand by Case'!Q19-'NG Alphas'!$C$2*'Demand by Case'!Q$21</f>
        <v>-0.4926604568034596</v>
      </c>
      <c r="S22" s="3">
        <f>'Prices by Case'!R19*$C$1-'NG Alphas'!$C22*'Demand by Case'!R19-'NG Alphas'!$C$2*'Demand by Case'!R$21</f>
        <v>-0.30875326452596896</v>
      </c>
      <c r="T22" s="3">
        <f>'Prices by Case'!S19*$C$1-'NG Alphas'!$C22*'Demand by Case'!S19-'NG Alphas'!$C$2*'Demand by Case'!S$21</f>
        <v>-0.46324679897064103</v>
      </c>
      <c r="U22" s="3">
        <f>'Prices by Case'!T19*$C$1-'NG Alphas'!$C22*'Demand by Case'!T19-'NG Alphas'!$C$2*'Demand by Case'!T$21</f>
        <v>-0.51416782752640144</v>
      </c>
      <c r="V22" s="3">
        <f>'Prices by Case'!U19*$C$1-'NG Alphas'!$C22*'Demand by Case'!U19-'NG Alphas'!$C$2*'Demand by Case'!U$21</f>
        <v>-0.41994142929505851</v>
      </c>
      <c r="W22" s="3">
        <f>'Prices by Case'!V19*$C$1-'NG Alphas'!$C22*'Demand by Case'!V19-'NG Alphas'!$C$2*'Demand by Case'!V$21</f>
        <v>-0.39456214050105309</v>
      </c>
      <c r="X22" s="3">
        <f>'Prices by Case'!W19*$C$1-'NG Alphas'!$C22*'Demand by Case'!W19-'NG Alphas'!$C$2*'Demand by Case'!W$21</f>
        <v>-0.34374331491276888</v>
      </c>
      <c r="Y22" s="3">
        <f>'Prices by Case'!X19*$C$1-'NG Alphas'!$C22*'Demand by Case'!X19-'NG Alphas'!$C$2*'Demand by Case'!X$21</f>
        <v>-0.36500358125519128</v>
      </c>
      <c r="Z22" s="3">
        <f>'Prices by Case'!Y19*$C$1-'NG Alphas'!$C22*'Demand by Case'!Y19-'NG Alphas'!$C$2*'Demand by Case'!Y$21</f>
        <v>-0.35950479923480172</v>
      </c>
      <c r="AA22" s="3">
        <f>'Prices by Case'!Z19*$C$1-'NG Alphas'!$C22*'Demand by Case'!Z19-'NG Alphas'!$C$2*'Demand by Case'!Z$21</f>
        <v>-0.26935918485389765</v>
      </c>
      <c r="AB22" s="3">
        <f>'Prices by Case'!AA19*$C$1-'NG Alphas'!$C22*'Demand by Case'!AA19-'NG Alphas'!$C$2*'Demand by Case'!AA$21</f>
        <v>-0.21452196892082975</v>
      </c>
      <c r="AC22" s="3">
        <f>'Prices by Case'!AB19*$C$1-'NG Alphas'!$C22*'Demand by Case'!AB19-'NG Alphas'!$C$2*'Demand by Case'!AB$21</f>
        <v>-0.13180845990370638</v>
      </c>
      <c r="AD22" s="3">
        <f>'Prices by Case'!AC19*$C$1-'NG Alphas'!$C22*'Demand by Case'!AC19-'NG Alphas'!$C$2*'Demand by Case'!AC$21</f>
        <v>1.6158380309392983E-2</v>
      </c>
      <c r="AE22" s="3">
        <f>'Prices by Case'!AD19*$C$1-'NG Alphas'!$C22*'Demand by Case'!AD19-'NG Alphas'!$C$2*'Demand by Case'!AD$21</f>
        <v>3.5912095884543582E-2</v>
      </c>
      <c r="AF22" s="3">
        <f>'Prices by Case'!AE19*$C$1-'NG Alphas'!$C22*'Demand by Case'!AE19-'NG Alphas'!$C$2*'Demand by Case'!AE$21</f>
        <v>0.14887380358822666</v>
      </c>
      <c r="AG22" s="3">
        <f>'Prices by Case'!AF19*$C$1-'NG Alphas'!$C22*'Demand by Case'!AF19-'NG Alphas'!$C$2*'Demand by Case'!AF$21</f>
        <v>0.22315311047592079</v>
      </c>
      <c r="AH22" s="3">
        <f>'Prices by Case'!AG19*$C$1-'NG Alphas'!$C22*'Demand by Case'!AG19-'NG Alphas'!$C$2*'Demand by Case'!AG$21</f>
        <v>0.26177147588123217</v>
      </c>
      <c r="AI22" s="3">
        <f>'Prices by Case'!AH19*$C$1-'NG Alphas'!$C22*'Demand by Case'!AH19-'NG Alphas'!$C$2*'Demand by Case'!AH$21</f>
        <v>0.28724077891872635</v>
      </c>
      <c r="AJ22" s="3">
        <f>'Prices by Case'!AI19*$C$1-'NG Alphas'!$C22*'Demand by Case'!AI19-'NG Alphas'!$C$2*'Demand by Case'!AI$21</f>
        <v>0.27121258388929737</v>
      </c>
      <c r="AK22" s="3">
        <f>'Prices by Case'!AJ19*$C$1-'NG Alphas'!$C22*'Demand by Case'!AJ19-'NG Alphas'!$C$2*'Demand by Case'!AJ$21</f>
        <v>0.18488237834340904</v>
      </c>
      <c r="AL22" s="3">
        <f>'Prices by Case'!AK19*$C$1-'NG Alphas'!$C22*'Demand by Case'!AK19-'NG Alphas'!$C$2*'Demand by Case'!AK$21</f>
        <v>0.11334409269484791</v>
      </c>
      <c r="AM22" s="3">
        <f>'Prices by Case'!AL19*$C$1-'NG Alphas'!$C22*'Demand by Case'!AL19-'NG Alphas'!$C$2*'Demand by Case'!AL$21</f>
        <v>6.9326836741588682E-2</v>
      </c>
      <c r="AN22" s="3">
        <f>'Prices by Case'!AM19*$C$1-'NG Alphas'!$C22*'Demand by Case'!AM19-'NG Alphas'!$C$2*'Demand by Case'!AM$21</f>
        <v>6.427723077693126E-2</v>
      </c>
      <c r="AO22" s="3">
        <f>'Prices by Case'!AN19*$C$1-'NG Alphas'!$C22*'Demand by Case'!AN19-'NG Alphas'!$C$2*'Demand by Case'!AN$21</f>
        <v>4.3628080978423078E-2</v>
      </c>
      <c r="AP22" s="3">
        <f>'Prices by Case'!AO19*$C$1-'NG Alphas'!$C22*'Demand by Case'!AO19-'NG Alphas'!$C$2*'Demand by Case'!AO$21</f>
        <v>5.331344400528315E-2</v>
      </c>
      <c r="AQ22" s="3">
        <f>'Prices by Case'!AP19*$C$1-'NG Alphas'!$C22*'Demand by Case'!AP19-'NG Alphas'!$C$2*'Demand by Case'!AP$21</f>
        <v>3.351451054454202E-2</v>
      </c>
      <c r="AR22" s="3">
        <f>'Prices by Case'!AQ19*$C$1-'NG Alphas'!$C22*'Demand by Case'!AQ19-'NG Alphas'!$C$2*'Demand by Case'!AQ$21</f>
        <v>2.3620292317610314E-2</v>
      </c>
      <c r="AS22" s="3"/>
      <c r="AT22" s="11">
        <f>(AH22+'Demand by Case'!AG19*'NG Alphas'!C22+'Demand by Case'!$AG$21*'NG Alphas'!$C$2)/'NG Alphas'!$C$1</f>
        <v>3.599415</v>
      </c>
      <c r="AU22" s="11">
        <v>3.6323940000000001</v>
      </c>
    </row>
    <row r="23" spans="1:47" x14ac:dyDescent="0.25">
      <c r="A23" t="s">
        <v>11</v>
      </c>
      <c r="B23" t="s">
        <v>7</v>
      </c>
      <c r="C23" s="14">
        <v>8.4871961789308781E-2</v>
      </c>
      <c r="D23" s="3">
        <f>'Prices by Case'!C20*$C$1</f>
        <v>3.9867079797492209</v>
      </c>
      <c r="E23" s="3">
        <f>'Prices by Case'!D20*$C$1-'NG Alphas'!$C23*'Demand by Case'!D20-'NG Alphas'!$C$2*'Demand by Case'!D$11</f>
        <v>2.3949954225043468</v>
      </c>
      <c r="F23" s="3">
        <f>'Prices by Case'!E20*$C$1-'NG Alphas'!$C23*'Demand by Case'!E20-'NG Alphas'!$C$2*'Demand by Case'!E$11</f>
        <v>1.005572996037204</v>
      </c>
      <c r="G23" s="3">
        <f>'Prices by Case'!F20*$C$1-'NG Alphas'!$C23*'Demand by Case'!F20-'NG Alphas'!$C$2*'Demand by Case'!F$11</f>
        <v>1.895342333321627</v>
      </c>
      <c r="H23" s="3">
        <f>'Prices by Case'!G20*$C$1-'NG Alphas'!$C23*'Demand by Case'!G20-'NG Alphas'!$C$2*'Demand by Case'!G$11</f>
        <v>2.3971762347797565</v>
      </c>
      <c r="I23" s="3">
        <f>'Prices by Case'!H20*$C$1-'NG Alphas'!$C23*'Demand by Case'!H20-'NG Alphas'!$C$2*'Demand by Case'!H$11</f>
        <v>0.68153450714485886</v>
      </c>
      <c r="J23" s="3">
        <f>'Prices by Case'!I20*$C$1-'NG Alphas'!$C23*'Demand by Case'!I20-'NG Alphas'!$C$2*'Demand by Case'!I$21</f>
        <v>0.27363172501221689</v>
      </c>
      <c r="K23" s="3">
        <f>'Prices by Case'!J20*$C$1-'NG Alphas'!$C23*'Demand by Case'!J20-'NG Alphas'!$C$2*'Demand by Case'!J$21</f>
        <v>0.83540980960703282</v>
      </c>
      <c r="L23" s="3">
        <f>'Prices by Case'!K20*$C$1-'NG Alphas'!$C23*'Demand by Case'!K20-'NG Alphas'!$C$2*'Demand by Case'!K$21</f>
        <v>0.602674725525012</v>
      </c>
      <c r="M23" s="3">
        <f>'Prices by Case'!L20*$C$1-'NG Alphas'!$C23*'Demand by Case'!L20-'NG Alphas'!$C$2*'Demand by Case'!L$21</f>
        <v>-0.12211052062966887</v>
      </c>
      <c r="N23" s="3">
        <f>'Prices by Case'!M20*$C$1-'NG Alphas'!$C23*'Demand by Case'!M20-'NG Alphas'!$C$2*'Demand by Case'!M$21</f>
        <v>-0.4569989584133991</v>
      </c>
      <c r="O23" s="3">
        <f>'Prices by Case'!N20*$C$1-'NG Alphas'!$C23*'Demand by Case'!N20-'NG Alphas'!$C$2*'Demand by Case'!N$21</f>
        <v>1.5298491349842749</v>
      </c>
      <c r="P23" s="3">
        <f>'Prices by Case'!O20*$C$1-'NG Alphas'!$C23*'Demand by Case'!O20-'NG Alphas'!$C$2*'Demand by Case'!O$21</f>
        <v>2.5497180183886758</v>
      </c>
      <c r="Q23" s="3">
        <f>'Prices by Case'!P20*$C$1-'NG Alphas'!$C23*'Demand by Case'!P20-'NG Alphas'!$C$2*'Demand by Case'!P$21</f>
        <v>-0.48387049716810693</v>
      </c>
      <c r="R23" s="3">
        <f>'Prices by Case'!Q20*$C$1-'NG Alphas'!$C23*'Demand by Case'!Q20-'NG Alphas'!$C$2*'Demand by Case'!Q$21</f>
        <v>-0.82906483347089566</v>
      </c>
      <c r="S23" s="3">
        <f>'Prices by Case'!R20*$C$1-'NG Alphas'!$C23*'Demand by Case'!R20-'NG Alphas'!$C$2*'Demand by Case'!R$21</f>
        <v>-0.68613741944545192</v>
      </c>
      <c r="T23" s="3">
        <f>'Prices by Case'!S20*$C$1-'NG Alphas'!$C23*'Demand by Case'!S20-'NG Alphas'!$C$2*'Demand by Case'!S$21</f>
        <v>-0.91809864546569675</v>
      </c>
      <c r="U23" s="3">
        <f>'Prices by Case'!T20*$C$1-'NG Alphas'!$C23*'Demand by Case'!T20-'NG Alphas'!$C$2*'Demand by Case'!T$21</f>
        <v>-0.97982875999607466</v>
      </c>
      <c r="V23" s="3">
        <f>'Prices by Case'!U20*$C$1-'NG Alphas'!$C23*'Demand by Case'!U20-'NG Alphas'!$C$2*'Demand by Case'!U$21</f>
        <v>-0.86988834952900329</v>
      </c>
      <c r="W23" s="3">
        <f>'Prices by Case'!V20*$C$1-'NG Alphas'!$C23*'Demand by Case'!V20-'NG Alphas'!$C$2*'Demand by Case'!V$21</f>
        <v>-0.81170155304106206</v>
      </c>
      <c r="X23" s="3">
        <f>'Prices by Case'!W20*$C$1-'NG Alphas'!$C23*'Demand by Case'!W20-'NG Alphas'!$C$2*'Demand by Case'!W$21</f>
        <v>-0.75744480560007044</v>
      </c>
      <c r="Y23" s="3">
        <f>'Prices by Case'!X20*$C$1-'NG Alphas'!$C23*'Demand by Case'!X20-'NG Alphas'!$C$2*'Demand by Case'!X$21</f>
        <v>-0.7051438755088979</v>
      </c>
      <c r="Z23" s="3">
        <f>'Prices by Case'!Y20*$C$1-'NG Alphas'!$C23*'Demand by Case'!Y20-'NG Alphas'!$C$2*'Demand by Case'!Y$21</f>
        <v>-0.69954722671689185</v>
      </c>
      <c r="AA23" s="3">
        <f>'Prices by Case'!Z20*$C$1-'NG Alphas'!$C23*'Demand by Case'!Z20-'NG Alphas'!$C$2*'Demand by Case'!Z$21</f>
        <v>-0.62685026344164463</v>
      </c>
      <c r="AB23" s="3">
        <f>'Prices by Case'!AA20*$C$1-'NG Alphas'!$C23*'Demand by Case'!AA20-'NG Alphas'!$C$2*'Demand by Case'!AA$21</f>
        <v>-0.58845338905786337</v>
      </c>
      <c r="AC23" s="3">
        <f>'Prices by Case'!AB20*$C$1-'NG Alphas'!$C23*'Demand by Case'!AB20-'NG Alphas'!$C$2*'Demand by Case'!AB$21</f>
        <v>-0.51964969557886187</v>
      </c>
      <c r="AD23" s="3">
        <f>'Prices by Case'!AC20*$C$1-'NG Alphas'!$C23*'Demand by Case'!AC20-'NG Alphas'!$C$2*'Demand by Case'!AC$21</f>
        <v>-0.38521306228576035</v>
      </c>
      <c r="AE23" s="3">
        <f>'Prices by Case'!AD20*$C$1-'NG Alphas'!$C23*'Demand by Case'!AD20-'NG Alphas'!$C$2*'Demand by Case'!AD$21</f>
        <v>-0.3178459396899207</v>
      </c>
      <c r="AF23" s="3">
        <f>'Prices by Case'!AE20*$C$1-'NG Alphas'!$C23*'Demand by Case'!AE20-'NG Alphas'!$C$2*'Demand by Case'!AE$21</f>
        <v>-0.23847861293199069</v>
      </c>
      <c r="AG23" s="3">
        <f>'Prices by Case'!AF20*$C$1-'NG Alphas'!$C23*'Demand by Case'!AF20-'NG Alphas'!$C$2*'Demand by Case'!AF$21</f>
        <v>-0.14212209762022843</v>
      </c>
      <c r="AH23" s="3">
        <f>'Prices by Case'!AG20*$C$1-'NG Alphas'!$C23*'Demand by Case'!AG20-'NG Alphas'!$C$2*'Demand by Case'!AG$21</f>
        <v>-0.11725935991764946</v>
      </c>
      <c r="AI23" s="3">
        <f>'Prices by Case'!AH20*$C$1-'NG Alphas'!$C23*'Demand by Case'!AH20-'NG Alphas'!$C$2*'Demand by Case'!AH$21</f>
        <v>-0.12008711956815854</v>
      </c>
      <c r="AJ23" s="3">
        <f>'Prices by Case'!AI20*$C$1-'NG Alphas'!$C23*'Demand by Case'!AI20-'NG Alphas'!$C$2*'Demand by Case'!AI$21</f>
        <v>-0.11387810574697421</v>
      </c>
      <c r="AK23" s="3">
        <f>'Prices by Case'!AJ20*$C$1-'NG Alphas'!$C23*'Demand by Case'!AJ20-'NG Alphas'!$C$2*'Demand by Case'!AJ$21</f>
        <v>-0.18160535242113607</v>
      </c>
      <c r="AL23" s="3">
        <f>'Prices by Case'!AK20*$C$1-'NG Alphas'!$C23*'Demand by Case'!AK20-'NG Alphas'!$C$2*'Demand by Case'!AK$21</f>
        <v>-0.22720869301490398</v>
      </c>
      <c r="AM23" s="3">
        <f>'Prices by Case'!AL20*$C$1-'NG Alphas'!$C23*'Demand by Case'!AL20-'NG Alphas'!$C$2*'Demand by Case'!AL$21</f>
        <v>-0.25346150453100602</v>
      </c>
      <c r="AN23" s="3">
        <f>'Prices by Case'!AM20*$C$1-'NG Alphas'!$C23*'Demand by Case'!AM20-'NG Alphas'!$C$2*'Demand by Case'!AM$21</f>
        <v>-0.26383132836735301</v>
      </c>
      <c r="AO23" s="3">
        <f>'Prices by Case'!AN20*$C$1-'NG Alphas'!$C23*'Demand by Case'!AN20-'NG Alphas'!$C$2*'Demand by Case'!AN$21</f>
        <v>-0.29594093338350436</v>
      </c>
      <c r="AP23" s="3">
        <f>'Prices by Case'!AO20*$C$1-'NG Alphas'!$C23*'Demand by Case'!AO20-'NG Alphas'!$C$2*'Demand by Case'!AO$21</f>
        <v>-0.26991532693923248</v>
      </c>
      <c r="AQ23" s="3">
        <f>'Prices by Case'!AP20*$C$1-'NG Alphas'!$C23*'Demand by Case'!AP20-'NG Alphas'!$C$2*'Demand by Case'!AP$21</f>
        <v>-0.31743164456393669</v>
      </c>
      <c r="AR23" s="3">
        <f>'Prices by Case'!AQ20*$C$1-'NG Alphas'!$C23*'Demand by Case'!AQ20-'NG Alphas'!$C$2*'Demand by Case'!AQ$21</f>
        <v>-0.3316120092967958</v>
      </c>
      <c r="AS23" s="3"/>
      <c r="AT23" s="11">
        <f>(AH23+'Demand by Case'!AG20*'NG Alphas'!C23+'Demand by Case'!$AG$21*'NG Alphas'!$C$2)/'NG Alphas'!$C$1</f>
        <v>2.9543159999999999</v>
      </c>
      <c r="AU23" s="11">
        <v>3.6849729999999998</v>
      </c>
    </row>
    <row r="24" spans="1:47" s="4" customFormat="1" x14ac:dyDescent="0.25">
      <c r="A24" s="4" t="s">
        <v>11</v>
      </c>
      <c r="B24" s="4" t="s">
        <v>10</v>
      </c>
      <c r="C24" s="15">
        <v>0.1616781091618244</v>
      </c>
      <c r="D24" s="5">
        <f>'Prices by Case'!C21*$C$1</f>
        <v>4.4779156485186569</v>
      </c>
      <c r="E24" s="5">
        <f>'Prices by Case'!D21*'NG Alphas'!$C$1-'NG Alphas'!$C24*'Demand by Case'!D21</f>
        <v>2.7862634122664289</v>
      </c>
      <c r="F24" s="5">
        <f>'Prices by Case'!E21*'NG Alphas'!$C$1-'NG Alphas'!$C24*'Demand by Case'!E21</f>
        <v>1.383384010839094</v>
      </c>
      <c r="G24" s="5">
        <f>'Prices by Case'!F21*'NG Alphas'!$C$1-'NG Alphas'!$C24*'Demand by Case'!F21</f>
        <v>2.2634442200335387</v>
      </c>
      <c r="H24" s="5">
        <f>'Prices by Case'!G21*'NG Alphas'!$C$1-'NG Alphas'!$C24*'Demand by Case'!G21</f>
        <v>2.7045386743592612</v>
      </c>
      <c r="I24" s="5">
        <f>'Prices by Case'!H21*'NG Alphas'!$C$1-'NG Alphas'!$C24*'Demand by Case'!H21</f>
        <v>0.97271046456208343</v>
      </c>
      <c r="J24" s="5">
        <f>'Prices by Case'!I21*'NG Alphas'!$C$1-'NG Alphas'!$C24*'Demand by Case'!I21</f>
        <v>0.59270812290279373</v>
      </c>
      <c r="K24" s="5">
        <f>'Prices by Case'!J21*'NG Alphas'!$C$1-'NG Alphas'!$C24*'Demand by Case'!J21</f>
        <v>1.0665052949654925</v>
      </c>
      <c r="L24" s="5">
        <f>'Prices by Case'!K21*'NG Alphas'!$C$1-'NG Alphas'!$C24*'Demand by Case'!K21</f>
        <v>0.83735634449237262</v>
      </c>
      <c r="M24" s="5">
        <f>'Prices by Case'!L21*'NG Alphas'!$C$1-'NG Alphas'!$C24*'Demand by Case'!L21</f>
        <v>0.20859262575591786</v>
      </c>
      <c r="N24" s="5">
        <f>'Prices by Case'!M21*'NG Alphas'!$C$1-'NG Alphas'!$C24*'Demand by Case'!M21</f>
        <v>-0.17144334465971744</v>
      </c>
      <c r="O24" s="5">
        <f>'Prices by Case'!N21*'NG Alphas'!$C$1-'NG Alphas'!$C24*'Demand by Case'!N21</f>
        <v>1.7755978764325249</v>
      </c>
      <c r="P24" s="5">
        <f>'Prices by Case'!O21*'NG Alphas'!$C$1-'NG Alphas'!$C24*'Demand by Case'!O21</f>
        <v>2.5601703557872182</v>
      </c>
      <c r="Q24" s="5">
        <f>'Prices by Case'!P21*'NG Alphas'!$C$1-'NG Alphas'!$C24*'Demand by Case'!P21</f>
        <v>-0.18152421332570912</v>
      </c>
      <c r="R24" s="5">
        <f>'Prices by Case'!Q21*'NG Alphas'!$C$1-'NG Alphas'!$C24*'Demand by Case'!Q21</f>
        <v>-0.61326650123272852</v>
      </c>
      <c r="S24" s="5">
        <f>'Prices by Case'!R21*'NG Alphas'!$C$1-'NG Alphas'!$C24*'Demand by Case'!R21</f>
        <v>-0.48527288179979156</v>
      </c>
      <c r="T24" s="5">
        <f>'Prices by Case'!S21*'NG Alphas'!$C$1-'NG Alphas'!$C24*'Demand by Case'!S21</f>
        <v>-0.70364018541125239</v>
      </c>
      <c r="U24" s="5">
        <f>'Prices by Case'!T21*'NG Alphas'!$C$1-'NG Alphas'!$C24*'Demand by Case'!T21</f>
        <v>-0.75234073432293114</v>
      </c>
      <c r="V24" s="5">
        <f>'Prices by Case'!U21*'NG Alphas'!$C$1-'NG Alphas'!$C24*'Demand by Case'!U21</f>
        <v>-0.67506731673300213</v>
      </c>
      <c r="W24" s="5">
        <f>'Prices by Case'!V21*'NG Alphas'!$C$1-'NG Alphas'!$C24*'Demand by Case'!V21</f>
        <v>-0.64310559606673556</v>
      </c>
      <c r="X24" s="5">
        <f>'Prices by Case'!W21*'NG Alphas'!$C$1-'NG Alphas'!$C24*'Demand by Case'!W21</f>
        <v>-0.61378562567083805</v>
      </c>
      <c r="Y24" s="5">
        <f>'Prices by Case'!X21*'NG Alphas'!$C$1-'NG Alphas'!$C24*'Demand by Case'!X21</f>
        <v>-0.60695998132471951</v>
      </c>
      <c r="Z24" s="5">
        <f>'Prices by Case'!Y21*'NG Alphas'!$C$1-'NG Alphas'!$C24*'Demand by Case'!Y21</f>
        <v>-0.60102480158230387</v>
      </c>
      <c r="AA24" s="5">
        <f>'Prices by Case'!Z21*'NG Alphas'!$C$1-'NG Alphas'!$C24*'Demand by Case'!Z21</f>
        <v>-0.54643177570717216</v>
      </c>
      <c r="AB24" s="5">
        <f>'Prices by Case'!AA21*'NG Alphas'!$C$1-'NG Alphas'!$C24*'Demand by Case'!AA21</f>
        <v>-0.49648630135354321</v>
      </c>
      <c r="AC24" s="5">
        <f>'Prices by Case'!AB21*'NG Alphas'!$C$1-'NG Alphas'!$C24*'Demand by Case'!AB21</f>
        <v>-0.42654652436333773</v>
      </c>
      <c r="AD24" s="5">
        <f>'Prices by Case'!AC21*'NG Alphas'!$C$1-'NG Alphas'!$C24*'Demand by Case'!AC21</f>
        <v>-0.30885709140321316</v>
      </c>
      <c r="AE24" s="5">
        <f>'Prices by Case'!AD21*'NG Alphas'!$C$1-'NG Alphas'!$C24*'Demand by Case'!AD21</f>
        <v>-0.25695730663722371</v>
      </c>
      <c r="AF24" s="5">
        <f>'Prices by Case'!AE21*'NG Alphas'!$C$1-'NG Alphas'!$C24*'Demand by Case'!AE21</f>
        <v>-0.14649184520064584</v>
      </c>
      <c r="AG24" s="5">
        <f>'Prices by Case'!AF21*'NG Alphas'!$C$1-'NG Alphas'!$C24*'Demand by Case'!AF21</f>
        <v>-4.5180985768414006E-2</v>
      </c>
      <c r="AH24" s="5">
        <f>'Prices by Case'!AG21*'NG Alphas'!$C$1-'NG Alphas'!$C24*'Demand by Case'!AG21</f>
        <v>-3.0766720054175689E-2</v>
      </c>
      <c r="AI24" s="5">
        <f>'Prices by Case'!AH21*'NG Alphas'!$C$1-'NG Alphas'!$C24*'Demand by Case'!AH21</f>
        <v>-3.8010393672220033E-2</v>
      </c>
      <c r="AJ24" s="5">
        <f>'Prices by Case'!AI21*'NG Alphas'!$C$1-'NG Alphas'!$C24*'Demand by Case'!AI21</f>
        <v>-4.6943927524812246E-2</v>
      </c>
      <c r="AK24" s="5">
        <f>'Prices by Case'!AJ21*'NG Alphas'!$C$1-'NG Alphas'!$C24*'Demand by Case'!AJ21</f>
        <v>-0.13836096824361643</v>
      </c>
      <c r="AL24" s="5">
        <f>'Prices by Case'!AK21*'NG Alphas'!$C$1-'NG Alphas'!$C24*'Demand by Case'!AK21</f>
        <v>-0.2157323519201706</v>
      </c>
      <c r="AM24" s="5">
        <f>'Prices by Case'!AL21*'NG Alphas'!$C$1-'NG Alphas'!$C24*'Demand by Case'!AL21</f>
        <v>-0.26065683939453987</v>
      </c>
      <c r="AN24" s="5">
        <f>'Prices by Case'!AM21*'NG Alphas'!$C$1-'NG Alphas'!$C24*'Demand by Case'!AM21</f>
        <v>-0.29269814073587308</v>
      </c>
      <c r="AO24" s="5">
        <f>'Prices by Case'!AN21*'NG Alphas'!$C$1-'NG Alphas'!$C24*'Demand by Case'!AN21</f>
        <v>-0.30107499958272044</v>
      </c>
      <c r="AP24" s="5">
        <f>'Prices by Case'!AO21*'NG Alphas'!$C$1-'NG Alphas'!$C24*'Demand by Case'!AO21</f>
        <v>-0.28074076127436509</v>
      </c>
      <c r="AQ24" s="5">
        <f>'Prices by Case'!AP21*'NG Alphas'!$C$1-'NG Alphas'!$C24*'Demand by Case'!AP21</f>
        <v>-0.33500149386036715</v>
      </c>
      <c r="AR24" s="5">
        <f>'Prices by Case'!AQ21*'NG Alphas'!$C$1-'NG Alphas'!$C24*'Demand by Case'!AQ21</f>
        <v>-0.35053628194744246</v>
      </c>
      <c r="AS24" s="5"/>
      <c r="AT24" s="12">
        <f>(AH24+'Demand by Case'!AG21*'NG Alphas'!C24)/'NG Alphas'!$C$1</f>
        <v>3.3216079999999999</v>
      </c>
      <c r="AU24" s="12">
        <v>3.9545849999999998</v>
      </c>
    </row>
    <row r="25" spans="1:47" x14ac:dyDescent="0.25">
      <c r="A25" s="6" t="s">
        <v>16</v>
      </c>
      <c r="B25" t="s">
        <v>3</v>
      </c>
      <c r="C25" s="14">
        <v>0.26295633632281001</v>
      </c>
      <c r="D25" s="3">
        <f>'Prices by Case'!C22*$C$1</f>
        <v>4.2743238519535147</v>
      </c>
      <c r="E25" s="3">
        <f>'Prices by Case'!D22*$C$1-'NG Alphas'!$C25*'Demand by Case'!D22-'NG Alphas'!$C$2*'Demand by Case'!D$11</f>
        <v>2.7139078541738337</v>
      </c>
      <c r="F25" s="3">
        <f>'Prices by Case'!E22*$C$1-'NG Alphas'!$C25*'Demand by Case'!E22-'NG Alphas'!$C$2*'Demand by Case'!E$11</f>
        <v>1.1714833211159859</v>
      </c>
      <c r="G25" s="3">
        <f>'Prices by Case'!F22*$C$1-'NG Alphas'!$C25*'Demand by Case'!F22-'NG Alphas'!$C$2*'Demand by Case'!F$11</f>
        <v>2.147141335664466</v>
      </c>
      <c r="H25" s="3">
        <f>'Prices by Case'!G22*$C$1-'NG Alphas'!$C25*'Demand by Case'!G22-'NG Alphas'!$C$2*'Demand by Case'!G$11</f>
        <v>2.9000407173122955</v>
      </c>
      <c r="I25" s="3">
        <f>'Prices by Case'!H22*$C$1-'NG Alphas'!$C25*'Demand by Case'!H22-'NG Alphas'!$C$2*'Demand by Case'!H$11</f>
        <v>0.71192198947373542</v>
      </c>
      <c r="J25" s="3">
        <f>'Prices by Case'!I22*$C$1-'NG Alphas'!$C25*'Demand by Case'!I22-'NG Alphas'!$C$2*'Demand by Case'!I$31</f>
        <v>0.53890977944135243</v>
      </c>
      <c r="K25" s="3">
        <f>'Prices by Case'!J22*$C$1-'NG Alphas'!$C25*'Demand by Case'!J22-'NG Alphas'!$C$2*'Demand by Case'!J$31</f>
        <v>1.060862281646441</v>
      </c>
      <c r="L25" s="3">
        <f>'Prices by Case'!K22*$C$1-'NG Alphas'!$C25*'Demand by Case'!K22-'NG Alphas'!$C$2*'Demand by Case'!K$31</f>
        <v>0.74484404516559932</v>
      </c>
      <c r="M25" s="3">
        <f>'Prices by Case'!L22*$C$1-'NG Alphas'!$C25*'Demand by Case'!L22-'NG Alphas'!$C$2*'Demand by Case'!L$31</f>
        <v>-5.0799310081162119E-2</v>
      </c>
      <c r="N25" s="3">
        <f>'Prices by Case'!M22*$C$1-'NG Alphas'!$C25*'Demand by Case'!M22-'NG Alphas'!$C$2*'Demand by Case'!M$31</f>
        <v>-0.50293648591643425</v>
      </c>
      <c r="O25" s="3">
        <f>'Prices by Case'!N22*$C$1-'NG Alphas'!$C25*'Demand by Case'!N22-'NG Alphas'!$C$2*'Demand by Case'!N$31</f>
        <v>1.3390132680244284</v>
      </c>
      <c r="P25" s="3">
        <f>'Prices by Case'!O22*$C$1-'NG Alphas'!$C25*'Demand by Case'!O22-'NG Alphas'!$C$2*'Demand by Case'!O$31</f>
        <v>2.0225775118174214</v>
      </c>
      <c r="Q25" s="3">
        <f>'Prices by Case'!P22*$C$1-'NG Alphas'!$C25*'Demand by Case'!P22-'NG Alphas'!$C$2*'Demand by Case'!P$31</f>
        <v>-0.53250915128832044</v>
      </c>
      <c r="R25" s="3">
        <f>'Prices by Case'!Q22*$C$1-'NG Alphas'!$C25*'Demand by Case'!Q22-'NG Alphas'!$C$2*'Demand by Case'!Q$31</f>
        <v>-0.96786604507590046</v>
      </c>
      <c r="S25" s="3">
        <f>'Prices by Case'!R22*$C$1-'NG Alphas'!$C25*'Demand by Case'!R22-'NG Alphas'!$C$2*'Demand by Case'!R$31</f>
        <v>5.2912347021163431E-2</v>
      </c>
      <c r="T25" s="3">
        <f>'Prices by Case'!S22*$C$1-'NG Alphas'!$C25*'Demand by Case'!S22-'NG Alphas'!$C$2*'Demand by Case'!S$31</f>
        <v>0.5560129682268522</v>
      </c>
      <c r="U25" s="3">
        <f>'Prices by Case'!T22*$C$1-'NG Alphas'!$C25*'Demand by Case'!T22-'NG Alphas'!$C$2*'Demand by Case'!T$31</f>
        <v>0.59566862896032702</v>
      </c>
      <c r="V25" s="3">
        <f>'Prices by Case'!U22*$C$1-'NG Alphas'!$C25*'Demand by Case'!U22-'NG Alphas'!$C$2*'Demand by Case'!U$31</f>
        <v>0.79641287597042099</v>
      </c>
      <c r="W25" s="3">
        <f>'Prices by Case'!V22*$C$1-'NG Alphas'!$C25*'Demand by Case'!V22-'NG Alphas'!$C$2*'Demand by Case'!V$31</f>
        <v>1.111198574895699</v>
      </c>
      <c r="X25" s="3">
        <f>'Prices by Case'!W22*$C$1-'NG Alphas'!$C25*'Demand by Case'!W22-'NG Alphas'!$C$2*'Demand by Case'!W$31</f>
        <v>1.624631314758622</v>
      </c>
      <c r="Y25" s="3">
        <f>'Prices by Case'!X22*$C$1-'NG Alphas'!$C25*'Demand by Case'!X22-'NG Alphas'!$C$2*'Demand by Case'!X$31</f>
        <v>2.1440153753788653</v>
      </c>
      <c r="Z25" s="3">
        <f>'Prices by Case'!Y22*$C$1-'NG Alphas'!$C25*'Demand by Case'!Y22-'NG Alphas'!$C$2*'Demand by Case'!Y$31</f>
        <v>2.5182516463247406</v>
      </c>
      <c r="AA25" s="3">
        <f>'Prices by Case'!Z22*$C$1-'NG Alphas'!$C25*'Demand by Case'!Z22-'NG Alphas'!$C$2*'Demand by Case'!Z$31</f>
        <v>2.900049856036417</v>
      </c>
      <c r="AB25" s="3">
        <f>'Prices by Case'!AA22*$C$1-'NG Alphas'!$C25*'Demand by Case'!AA22-'NG Alphas'!$C$2*'Demand by Case'!AA$31</f>
        <v>3.1303357400289142</v>
      </c>
      <c r="AC25" s="3">
        <f>'Prices by Case'!AB22*$C$1-'NG Alphas'!$C25*'Demand by Case'!AB22-'NG Alphas'!$C$2*'Demand by Case'!AB$31</f>
        <v>3.2892317301890834</v>
      </c>
      <c r="AD25" s="3">
        <f>'Prices by Case'!AC22*$C$1-'NG Alphas'!$C25*'Demand by Case'!AC22-'NG Alphas'!$C$2*'Demand by Case'!AC$31</f>
        <v>3.5020060595435192</v>
      </c>
      <c r="AE25" s="3">
        <f>'Prices by Case'!AD22*$C$1-'NG Alphas'!$C25*'Demand by Case'!AD22-'NG Alphas'!$C$2*'Demand by Case'!AD$31</f>
        <v>3.5600746799193752</v>
      </c>
      <c r="AF25" s="3">
        <f>'Prices by Case'!AE22*$C$1-'NG Alphas'!$C25*'Demand by Case'!AE22-'NG Alphas'!$C$2*'Demand by Case'!AE$31</f>
        <v>3.5577368224985153</v>
      </c>
      <c r="AG25" s="3">
        <f>'Prices by Case'!AF22*$C$1-'NG Alphas'!$C25*'Demand by Case'!AF22-'NG Alphas'!$C$2*'Demand by Case'!AF$31</f>
        <v>3.5108283976007639</v>
      </c>
      <c r="AH25" s="3">
        <f>'Prices by Case'!AG22*$C$1-'NG Alphas'!$C25*'Demand by Case'!AG22-'NG Alphas'!$C$2*'Demand by Case'!AG$31</f>
        <v>3.5995413896013675</v>
      </c>
      <c r="AI25" s="3">
        <f>'Prices by Case'!AH22*$C$1-'NG Alphas'!$C25*'Demand by Case'!AH22-'NG Alphas'!$C$2*'Demand by Case'!AH$31</f>
        <v>3.6160170283362327</v>
      </c>
      <c r="AJ25" s="3">
        <f>'Prices by Case'!AI22*$C$1-'NG Alphas'!$C25*'Demand by Case'!AI22-'NG Alphas'!$C$2*'Demand by Case'!AI$31</f>
        <v>3.5770428941827679</v>
      </c>
      <c r="AK25" s="3">
        <f>'Prices by Case'!AJ22*$C$1-'NG Alphas'!$C25*'Demand by Case'!AJ22-'NG Alphas'!$C$2*'Demand by Case'!AJ$31</f>
        <v>3.512391369198081</v>
      </c>
      <c r="AL25" s="3">
        <f>'Prices by Case'!AK22*$C$1-'NG Alphas'!$C25*'Demand by Case'!AK22-'NG Alphas'!$C$2*'Demand by Case'!AK$31</f>
        <v>3.5300995866978457</v>
      </c>
      <c r="AM25" s="3">
        <f>'Prices by Case'!AL22*$C$1-'NG Alphas'!$C25*'Demand by Case'!AL22-'NG Alphas'!$C$2*'Demand by Case'!AL$31</f>
        <v>3.5581461037281885</v>
      </c>
      <c r="AN25" s="3">
        <f>'Prices by Case'!AM22*$C$1-'NG Alphas'!$C25*'Demand by Case'!AM22-'NG Alphas'!$C$2*'Demand by Case'!AM$31</f>
        <v>3.6769423753591406</v>
      </c>
      <c r="AO25" s="3">
        <f>'Prices by Case'!AN22*$C$1-'NG Alphas'!$C25*'Demand by Case'!AN22-'NG Alphas'!$C$2*'Demand by Case'!AN$31</f>
        <v>3.8026002958545413</v>
      </c>
      <c r="AP25" s="3">
        <f>'Prices by Case'!AO22*$C$1-'NG Alphas'!$C25*'Demand by Case'!AO22-'NG Alphas'!$C$2*'Demand by Case'!AO$31</f>
        <v>3.9391091349525262</v>
      </c>
      <c r="AQ25" s="3">
        <f>'Prices by Case'!AP22*$C$1-'NG Alphas'!$C25*'Demand by Case'!AP22-'NG Alphas'!$C$2*'Demand by Case'!AP$31</f>
        <v>4.0907284371075097</v>
      </c>
      <c r="AR25" s="3">
        <f>'Prices by Case'!AQ22*$C$1-'NG Alphas'!$C25*'Demand by Case'!AQ22-'NG Alphas'!$C$2*'Demand by Case'!AQ$31</f>
        <v>4.2510181201939368</v>
      </c>
      <c r="AS25" s="3"/>
      <c r="AT25" s="11">
        <f>(AH25+'Demand by Case'!AG22*'NG Alphas'!C25+'Demand by Case'!$AG$31*'NG Alphas'!$C$2)/'NG Alphas'!$C$1</f>
        <v>7.3823619999999996</v>
      </c>
      <c r="AU25" s="11">
        <v>9.628088</v>
      </c>
    </row>
    <row r="26" spans="1:47" x14ac:dyDescent="0.25">
      <c r="A26" t="s">
        <v>16</v>
      </c>
      <c r="B26" t="s">
        <v>6</v>
      </c>
      <c r="C26" s="14">
        <v>0.60841226768421552</v>
      </c>
      <c r="D26" s="3">
        <f>'Prices by Case'!C23*$C$1</f>
        <v>4.1378736160508724</v>
      </c>
      <c r="E26" s="3">
        <f>'Prices by Case'!D23*$C$1-'NG Alphas'!$C26*'Demand by Case'!D23-'NG Alphas'!$C$2*'Demand by Case'!D$11</f>
        <v>2.2002797607657691</v>
      </c>
      <c r="F26" s="3">
        <f>'Prices by Case'!E23*$C$1-'NG Alphas'!$C26*'Demand by Case'!E23-'NG Alphas'!$C$2*'Demand by Case'!E$11</f>
        <v>0.77014557245315651</v>
      </c>
      <c r="G26" s="3">
        <f>'Prices by Case'!F23*$C$1-'NG Alphas'!$C26*'Demand by Case'!F23-'NG Alphas'!$C$2*'Demand by Case'!F$11</f>
        <v>1.7575023406675929</v>
      </c>
      <c r="H26" s="3">
        <f>'Prices by Case'!G23*$C$1-'NG Alphas'!$C26*'Demand by Case'!G23-'NG Alphas'!$C$2*'Demand by Case'!G$11</f>
        <v>2.1929869272357809</v>
      </c>
      <c r="I26" s="3">
        <f>'Prices by Case'!H23*$C$1-'NG Alphas'!$C26*'Demand by Case'!H23-'NG Alphas'!$C$2*'Demand by Case'!H$11</f>
        <v>0.4291959952206621</v>
      </c>
      <c r="J26" s="3">
        <f>'Prices by Case'!I23*$C$1-'NG Alphas'!$C26*'Demand by Case'!I23-'NG Alphas'!$C$2*'Demand by Case'!I$31</f>
        <v>3.9588120605686283E-2</v>
      </c>
      <c r="K26" s="3">
        <f>'Prices by Case'!J23*$C$1-'NG Alphas'!$C26*'Demand by Case'!J23-'NG Alphas'!$C$2*'Demand by Case'!J$31</f>
        <v>0.60453658178901515</v>
      </c>
      <c r="L26" s="3">
        <f>'Prices by Case'!K23*$C$1-'NG Alphas'!$C26*'Demand by Case'!K23-'NG Alphas'!$C$2*'Demand by Case'!K$31</f>
        <v>0.36894389655221893</v>
      </c>
      <c r="M26" s="3">
        <f>'Prices by Case'!L23*$C$1-'NG Alphas'!$C26*'Demand by Case'!L23-'NG Alphas'!$C$2*'Demand by Case'!L$31</f>
        <v>-0.23416557106321068</v>
      </c>
      <c r="N26" s="3">
        <f>'Prices by Case'!M23*$C$1-'NG Alphas'!$C26*'Demand by Case'!M23-'NG Alphas'!$C$2*'Demand by Case'!M$31</f>
        <v>-0.60444315668918436</v>
      </c>
      <c r="O26" s="3">
        <f>'Prices by Case'!N23*$C$1-'NG Alphas'!$C26*'Demand by Case'!N23-'NG Alphas'!$C$2*'Demand by Case'!N$31</f>
        <v>1.506878451882486</v>
      </c>
      <c r="P26" s="3">
        <f>'Prices by Case'!O23*$C$1-'NG Alphas'!$C26*'Demand by Case'!O23-'NG Alphas'!$C$2*'Demand by Case'!O$31</f>
        <v>2.5710224733060318</v>
      </c>
      <c r="Q26" s="3">
        <f>'Prices by Case'!P23*$C$1-'NG Alphas'!$C26*'Demand by Case'!P23-'NG Alphas'!$C$2*'Demand by Case'!P$31</f>
        <v>-0.63998441430250841</v>
      </c>
      <c r="R26" s="3">
        <f>'Prices by Case'!Q23*$C$1-'NG Alphas'!$C26*'Demand by Case'!Q23-'NG Alphas'!$C$2*'Demand by Case'!Q$31</f>
        <v>-0.95574628778308379</v>
      </c>
      <c r="S26" s="3">
        <f>'Prices by Case'!R23*$C$1-'NG Alphas'!$C26*'Demand by Case'!R23-'NG Alphas'!$C$2*'Demand by Case'!R$31</f>
        <v>0.11315908134403285</v>
      </c>
      <c r="T26" s="3">
        <f>'Prices by Case'!S23*$C$1-'NG Alphas'!$C26*'Demand by Case'!S23-'NG Alphas'!$C$2*'Demand by Case'!S$31</f>
        <v>0.62486690556720781</v>
      </c>
      <c r="U26" s="3">
        <f>'Prices by Case'!T23*$C$1-'NG Alphas'!$C26*'Demand by Case'!T23-'NG Alphas'!$C$2*'Demand by Case'!T$31</f>
        <v>0.66875288705698588</v>
      </c>
      <c r="V26" s="3">
        <f>'Prices by Case'!U23*$C$1-'NG Alphas'!$C26*'Demand by Case'!U23-'NG Alphas'!$C$2*'Demand by Case'!U$31</f>
        <v>0.9539331392853978</v>
      </c>
      <c r="W26" s="3">
        <f>'Prices by Case'!V23*$C$1-'NG Alphas'!$C26*'Demand by Case'!V23-'NG Alphas'!$C$2*'Demand by Case'!V$31</f>
        <v>1.2933188332897485</v>
      </c>
      <c r="X26" s="3">
        <f>'Prices by Case'!W23*$C$1-'NG Alphas'!$C26*'Demand by Case'!W23-'NG Alphas'!$C$2*'Demand by Case'!W$31</f>
        <v>1.9140389173532764</v>
      </c>
      <c r="Y26" s="3">
        <f>'Prices by Case'!X23*$C$1-'NG Alphas'!$C26*'Demand by Case'!X23-'NG Alphas'!$C$2*'Demand by Case'!X$31</f>
        <v>2.4575458524002087</v>
      </c>
      <c r="Z26" s="3">
        <f>'Prices by Case'!Y23*$C$1-'NG Alphas'!$C26*'Demand by Case'!Y23-'NG Alphas'!$C$2*'Demand by Case'!Y$31</f>
        <v>2.7791027492809004</v>
      </c>
      <c r="AA26" s="3">
        <f>'Prices by Case'!Z23*$C$1-'NG Alphas'!$C26*'Demand by Case'!Z23-'NG Alphas'!$C$2*'Demand by Case'!Z$31</f>
        <v>3.1222040036266048</v>
      </c>
      <c r="AB26" s="3">
        <f>'Prices by Case'!AA23*$C$1-'NG Alphas'!$C26*'Demand by Case'!AA23-'NG Alphas'!$C$2*'Demand by Case'!AA$31</f>
        <v>3.3364843663290387</v>
      </c>
      <c r="AC26" s="3">
        <f>'Prices by Case'!AB23*$C$1-'NG Alphas'!$C26*'Demand by Case'!AB23-'NG Alphas'!$C$2*'Demand by Case'!AB$31</f>
        <v>3.4966375159330747</v>
      </c>
      <c r="AD26" s="3">
        <f>'Prices by Case'!AC23*$C$1-'NG Alphas'!$C26*'Demand by Case'!AC23-'NG Alphas'!$C$2*'Demand by Case'!AC$31</f>
        <v>3.7550103813939639</v>
      </c>
      <c r="AE26" s="3">
        <f>'Prices by Case'!AD23*$C$1-'NG Alphas'!$C26*'Demand by Case'!AD23-'NG Alphas'!$C$2*'Demand by Case'!AD$31</f>
        <v>3.8789317779676988</v>
      </c>
      <c r="AF26" s="3">
        <f>'Prices by Case'!AE23*$C$1-'NG Alphas'!$C26*'Demand by Case'!AE23-'NG Alphas'!$C$2*'Demand by Case'!AE$31</f>
        <v>3.7907834982140129</v>
      </c>
      <c r="AG26" s="3">
        <f>'Prices by Case'!AF23*$C$1-'NG Alphas'!$C26*'Demand by Case'!AF23-'NG Alphas'!$C$2*'Demand by Case'!AF$31</f>
        <v>3.9718306044407283</v>
      </c>
      <c r="AH26" s="3">
        <f>'Prices by Case'!AG23*$C$1-'NG Alphas'!$C26*'Demand by Case'!AG23-'NG Alphas'!$C$2*'Demand by Case'!AG$31</f>
        <v>4.0185415814542118</v>
      </c>
      <c r="AI26" s="3">
        <f>'Prices by Case'!AH23*$C$1-'NG Alphas'!$C26*'Demand by Case'!AH23-'NG Alphas'!$C$2*'Demand by Case'!AH$31</f>
        <v>4.2549866748642939</v>
      </c>
      <c r="AJ26" s="3">
        <f>'Prices by Case'!AI23*$C$1-'NG Alphas'!$C26*'Demand by Case'!AI23-'NG Alphas'!$C$2*'Demand by Case'!AI$31</f>
        <v>4.1621007104458521</v>
      </c>
      <c r="AK26" s="3">
        <f>'Prices by Case'!AJ23*$C$1-'NG Alphas'!$C26*'Demand by Case'!AJ23-'NG Alphas'!$C$2*'Demand by Case'!AJ$31</f>
        <v>4.0508808027160548</v>
      </c>
      <c r="AL26" s="3">
        <f>'Prices by Case'!AK23*$C$1-'NG Alphas'!$C26*'Demand by Case'!AK23-'NG Alphas'!$C$2*'Demand by Case'!AK$31</f>
        <v>4.1904789505622881</v>
      </c>
      <c r="AM26" s="3">
        <f>'Prices by Case'!AL23*$C$1-'NG Alphas'!$C26*'Demand by Case'!AL23-'NG Alphas'!$C$2*'Demand by Case'!AL$31</f>
        <v>4.1816462478873779</v>
      </c>
      <c r="AN26" s="3">
        <f>'Prices by Case'!AM23*$C$1-'NG Alphas'!$C26*'Demand by Case'!AM23-'NG Alphas'!$C$2*'Demand by Case'!AM$31</f>
        <v>4.2182960721422349</v>
      </c>
      <c r="AO26" s="3">
        <f>'Prices by Case'!AN23*$C$1-'NG Alphas'!$C26*'Demand by Case'!AN23-'NG Alphas'!$C$2*'Demand by Case'!AN$31</f>
        <v>4.4344050455127233</v>
      </c>
      <c r="AP26" s="3">
        <f>'Prices by Case'!AO23*$C$1-'NG Alphas'!$C26*'Demand by Case'!AO23-'NG Alphas'!$C$2*'Demand by Case'!AO$31</f>
        <v>4.5478808783663158</v>
      </c>
      <c r="AQ26" s="3">
        <f>'Prices by Case'!AP23*$C$1-'NG Alphas'!$C26*'Demand by Case'!AP23-'NG Alphas'!$C$2*'Demand by Case'!AP$31</f>
        <v>4.6942767422752079</v>
      </c>
      <c r="AR26" s="3">
        <f>'Prices by Case'!AQ23*$C$1-'NG Alphas'!$C26*'Demand by Case'!AQ23-'NG Alphas'!$C$2*'Demand by Case'!AQ$31</f>
        <v>4.8700252119474836</v>
      </c>
      <c r="AS26" s="3"/>
      <c r="AT26" s="11">
        <f>(AH26+'Demand by Case'!AG23*'NG Alphas'!C26+'Demand by Case'!$AG$31*'NG Alphas'!$C$2)/'NG Alphas'!$C$1</f>
        <v>8.0719259999999995</v>
      </c>
      <c r="AU26" s="11">
        <v>8.7762349999999998</v>
      </c>
    </row>
    <row r="27" spans="1:47" x14ac:dyDescent="0.25">
      <c r="A27" t="s">
        <v>16</v>
      </c>
      <c r="B27" t="s">
        <v>2</v>
      </c>
      <c r="C27" s="14">
        <v>0.14497774722731144</v>
      </c>
      <c r="D27" s="3">
        <f>'Prices by Case'!C24*$C$1</f>
        <v>4.7115638256984873</v>
      </c>
      <c r="E27" s="3">
        <f>'Prices by Case'!D24*$C$1-'NG Alphas'!$C27*'Demand by Case'!D24-'NG Alphas'!$C$2*'Demand by Case'!D$11</f>
        <v>3.1398234404486107</v>
      </c>
      <c r="F27" s="3">
        <f>'Prices by Case'!E24*$C$1-'NG Alphas'!$C27*'Demand by Case'!E24-'NG Alphas'!$C$2*'Demand by Case'!E$11</f>
        <v>1.539767229517955</v>
      </c>
      <c r="G27" s="3">
        <f>'Prices by Case'!F24*$C$1-'NG Alphas'!$C27*'Demand by Case'!F24-'NG Alphas'!$C$2*'Demand by Case'!F$11</f>
        <v>2.4654549888554165</v>
      </c>
      <c r="H27" s="3">
        <f>'Prices by Case'!G24*$C$1-'NG Alphas'!$C27*'Demand by Case'!G24-'NG Alphas'!$C$2*'Demand by Case'!G$11</f>
        <v>2.7714771522384121</v>
      </c>
      <c r="I27" s="3">
        <f>'Prices by Case'!H24*$C$1-'NG Alphas'!$C27*'Demand by Case'!H24-'NG Alphas'!$C$2*'Demand by Case'!H$11</f>
        <v>0.79368306044094683</v>
      </c>
      <c r="J27" s="3">
        <f>'Prices by Case'!I24*$C$1-'NG Alphas'!$C27*'Demand by Case'!I24-'NG Alphas'!$C$2*'Demand by Case'!I$31</f>
        <v>0.61804107849298906</v>
      </c>
      <c r="K27" s="3">
        <f>'Prices by Case'!J24*$C$1-'NG Alphas'!$C27*'Demand by Case'!J24-'NG Alphas'!$C$2*'Demand by Case'!J$31</f>
        <v>1.0452689305943794</v>
      </c>
      <c r="L27" s="3">
        <f>'Prices by Case'!K24*$C$1-'NG Alphas'!$C27*'Demand by Case'!K24-'NG Alphas'!$C$2*'Demand by Case'!K$31</f>
        <v>0.90758109133231368</v>
      </c>
      <c r="M27" s="3">
        <f>'Prices by Case'!L24*$C$1-'NG Alphas'!$C27*'Demand by Case'!L24-'NG Alphas'!$C$2*'Demand by Case'!L$31</f>
        <v>0.34902581566072555</v>
      </c>
      <c r="N27" s="3">
        <f>'Prices by Case'!M24*$C$1-'NG Alphas'!$C27*'Demand by Case'!M24-'NG Alphas'!$C$2*'Demand by Case'!M$31</f>
        <v>-0.12049962503760425</v>
      </c>
      <c r="O27" s="3">
        <f>'Prices by Case'!N24*$C$1-'NG Alphas'!$C27*'Demand by Case'!N24-'NG Alphas'!$C$2*'Demand by Case'!N$31</f>
        <v>1.4511304972005803</v>
      </c>
      <c r="P27" s="3">
        <f>'Prices by Case'!O24*$C$1-'NG Alphas'!$C27*'Demand by Case'!O24-'NG Alphas'!$C$2*'Demand by Case'!O$31</f>
        <v>1.7828926433910903</v>
      </c>
      <c r="Q27" s="3">
        <f>'Prices by Case'!P24*$C$1-'NG Alphas'!$C27*'Demand by Case'!P24-'NG Alphas'!$C$2*'Demand by Case'!P$31</f>
        <v>-0.12758500298981512</v>
      </c>
      <c r="R27" s="3">
        <f>'Prices by Case'!Q24*$C$1-'NG Alphas'!$C27*'Demand by Case'!Q24-'NG Alphas'!$C$2*'Demand by Case'!Q$31</f>
        <v>-0.78580264146243106</v>
      </c>
      <c r="S27" s="3">
        <f>'Prices by Case'!R24*$C$1-'NG Alphas'!$C27*'Demand by Case'!R24-'NG Alphas'!$C$2*'Demand by Case'!R$31</f>
        <v>0.18583229285714786</v>
      </c>
      <c r="T27" s="3">
        <f>'Prices by Case'!S24*$C$1-'NG Alphas'!$C27*'Demand by Case'!S24-'NG Alphas'!$C$2*'Demand by Case'!S$31</f>
        <v>0.72971683657938691</v>
      </c>
      <c r="U27" s="3">
        <f>'Prices by Case'!T24*$C$1-'NG Alphas'!$C27*'Demand by Case'!T24-'NG Alphas'!$C$2*'Demand by Case'!T$31</f>
        <v>0.71946214718814638</v>
      </c>
      <c r="V27" s="3">
        <f>'Prices by Case'!U24*$C$1-'NG Alphas'!$C27*'Demand by Case'!U24-'NG Alphas'!$C$2*'Demand by Case'!U$31</f>
        <v>0.89683003475078205</v>
      </c>
      <c r="W27" s="3">
        <f>'Prices by Case'!V24*$C$1-'NG Alphas'!$C27*'Demand by Case'!V24-'NG Alphas'!$C$2*'Demand by Case'!V$31</f>
        <v>1.169328707839187</v>
      </c>
      <c r="X27" s="3">
        <f>'Prices by Case'!W24*$C$1-'NG Alphas'!$C27*'Demand by Case'!W24-'NG Alphas'!$C$2*'Demand by Case'!W$31</f>
        <v>1.6077569407013812</v>
      </c>
      <c r="Y27" s="3">
        <f>'Prices by Case'!X24*$C$1-'NG Alphas'!$C27*'Demand by Case'!X24-'NG Alphas'!$C$2*'Demand by Case'!X$31</f>
        <v>2.0883338918630572</v>
      </c>
      <c r="Z27" s="3">
        <f>'Prices by Case'!Y24*$C$1-'NG Alphas'!$C27*'Demand by Case'!Y24-'NG Alphas'!$C$2*'Demand by Case'!Y$31</f>
        <v>2.497367692778921</v>
      </c>
      <c r="AA27" s="3">
        <f>'Prices by Case'!Z24*$C$1-'NG Alphas'!$C27*'Demand by Case'!Z24-'NG Alphas'!$C$2*'Demand by Case'!Z$31</f>
        <v>2.839648332222251</v>
      </c>
      <c r="AB27" s="3">
        <f>'Prices by Case'!AA24*$C$1-'NG Alphas'!$C27*'Demand by Case'!AA24-'NG Alphas'!$C$2*'Demand by Case'!AA$31</f>
        <v>3.0539555011947304</v>
      </c>
      <c r="AC27" s="3">
        <f>'Prices by Case'!AB24*$C$1-'NG Alphas'!$C27*'Demand by Case'!AB24-'NG Alphas'!$C$2*'Demand by Case'!AB$31</f>
        <v>3.2175685821670656</v>
      </c>
      <c r="AD27" s="3">
        <f>'Prices by Case'!AC24*$C$1-'NG Alphas'!$C27*'Demand by Case'!AC24-'NG Alphas'!$C$2*'Demand by Case'!AC$31</f>
        <v>3.3022810953892128</v>
      </c>
      <c r="AE27" s="3">
        <f>'Prices by Case'!AD24*$C$1-'NG Alphas'!$C27*'Demand by Case'!AD24-'NG Alphas'!$C$2*'Demand by Case'!AD$31</f>
        <v>3.326596686218882</v>
      </c>
      <c r="AF27" s="3">
        <f>'Prices by Case'!AE24*$C$1-'NG Alphas'!$C27*'Demand by Case'!AE24-'NG Alphas'!$C$2*'Demand by Case'!AE$31</f>
        <v>3.2949016049554936</v>
      </c>
      <c r="AG27" s="3">
        <f>'Prices by Case'!AF24*$C$1-'NG Alphas'!$C27*'Demand by Case'!AF24-'NG Alphas'!$C$2*'Demand by Case'!AF$31</f>
        <v>3.2929199559288751</v>
      </c>
      <c r="AH27" s="3">
        <f>'Prices by Case'!AG24*$C$1-'NG Alphas'!$C27*'Demand by Case'!AG24-'NG Alphas'!$C$2*'Demand by Case'!AG$31</f>
        <v>3.2823320614226885</v>
      </c>
      <c r="AI27" s="3">
        <f>'Prices by Case'!AH24*$C$1-'NG Alphas'!$C27*'Demand by Case'!AH24-'NG Alphas'!$C$2*'Demand by Case'!AH$31</f>
        <v>3.3109991105564376</v>
      </c>
      <c r="AJ27" s="3">
        <f>'Prices by Case'!AI24*$C$1-'NG Alphas'!$C27*'Demand by Case'!AI24-'NG Alphas'!$C$2*'Demand by Case'!AI$31</f>
        <v>3.218622837551592</v>
      </c>
      <c r="AK27" s="3">
        <f>'Prices by Case'!AJ24*$C$1-'NG Alphas'!$C27*'Demand by Case'!AJ24-'NG Alphas'!$C$2*'Demand by Case'!AJ$31</f>
        <v>3.1515575167454255</v>
      </c>
      <c r="AL27" s="3">
        <f>'Prices by Case'!AK24*$C$1-'NG Alphas'!$C27*'Demand by Case'!AK24-'NG Alphas'!$C$2*'Demand by Case'!AK$31</f>
        <v>3.166424339693497</v>
      </c>
      <c r="AM27" s="3">
        <f>'Prices by Case'!AL24*$C$1-'NG Alphas'!$C27*'Demand by Case'!AL24-'NG Alphas'!$C$2*'Demand by Case'!AL$31</f>
        <v>3.1931024260293808</v>
      </c>
      <c r="AN27" s="3">
        <f>'Prices by Case'!AM24*$C$1-'NG Alphas'!$C27*'Demand by Case'!AM24-'NG Alphas'!$C$2*'Demand by Case'!AM$31</f>
        <v>3.2444016569787109</v>
      </c>
      <c r="AO27" s="3">
        <f>'Prices by Case'!AN24*$C$1-'NG Alphas'!$C27*'Demand by Case'!AN24-'NG Alphas'!$C$2*'Demand by Case'!AN$31</f>
        <v>3.3739344762455854</v>
      </c>
      <c r="AP27" s="3">
        <f>'Prices by Case'!AO24*$C$1-'NG Alphas'!$C27*'Demand by Case'!AO24-'NG Alphas'!$C$2*'Demand by Case'!AO$31</f>
        <v>3.4982635793423769</v>
      </c>
      <c r="AQ27" s="3">
        <f>'Prices by Case'!AP24*$C$1-'NG Alphas'!$C27*'Demand by Case'!AP24-'NG Alphas'!$C$2*'Demand by Case'!AP$31</f>
        <v>3.6849322968929794</v>
      </c>
      <c r="AR27" s="3">
        <f>'Prices by Case'!AQ24*$C$1-'NG Alphas'!$C27*'Demand by Case'!AQ24-'NG Alphas'!$C$2*'Demand by Case'!AQ$31</f>
        <v>3.8692444549404015</v>
      </c>
      <c r="AS27" s="3"/>
      <c r="AT27" s="11">
        <f>(AH27+'Demand by Case'!AG24*'NG Alphas'!C27+'Demand by Case'!$AG$31*'NG Alphas'!$C$2)/'NG Alphas'!$C$1</f>
        <v>6.6783539999999997</v>
      </c>
      <c r="AU27" s="11">
        <v>9.6345749999999999</v>
      </c>
    </row>
    <row r="28" spans="1:47" x14ac:dyDescent="0.25">
      <c r="A28" t="s">
        <v>16</v>
      </c>
      <c r="B28" t="s">
        <v>8</v>
      </c>
      <c r="C28" s="14">
        <v>0.54532052123182084</v>
      </c>
      <c r="D28" s="3">
        <f>'Prices by Case'!C25*$C$1</f>
        <v>4.3488509548252035</v>
      </c>
      <c r="E28" s="3">
        <f>'Prices by Case'!D25*$C$1-'NG Alphas'!$C28*'Demand by Case'!D25-'NG Alphas'!$C$2*'Demand by Case'!D$11</f>
        <v>2.7158125260700716</v>
      </c>
      <c r="F28" s="3">
        <f>'Prices by Case'!E25*$C$1-'NG Alphas'!$C28*'Demand by Case'!E25-'NG Alphas'!$C$2*'Demand by Case'!E$11</f>
        <v>1.2803753647941767</v>
      </c>
      <c r="G28" s="3">
        <f>'Prices by Case'!F25*$C$1-'NG Alphas'!$C28*'Demand by Case'!F25-'NG Alphas'!$C$2*'Demand by Case'!F$11</f>
        <v>2.1476220613774211</v>
      </c>
      <c r="H28" s="3">
        <f>'Prices by Case'!G25*$C$1-'NG Alphas'!$C28*'Demand by Case'!G25-'NG Alphas'!$C$2*'Demand by Case'!G$11</f>
        <v>2.4511278725373762</v>
      </c>
      <c r="I28" s="3">
        <f>'Prices by Case'!H25*$C$1-'NG Alphas'!$C28*'Demand by Case'!H25-'NG Alphas'!$C$2*'Demand by Case'!H$11</f>
        <v>0.82455362756734485</v>
      </c>
      <c r="J28" s="3">
        <f>'Prices by Case'!I25*$C$1-'NG Alphas'!$C28*'Demand by Case'!I25-'NG Alphas'!$C$2*'Demand by Case'!I$31</f>
        <v>0.32504394420439797</v>
      </c>
      <c r="K28" s="3">
        <f>'Prices by Case'!J25*$C$1-'NG Alphas'!$C28*'Demand by Case'!J25-'NG Alphas'!$C$2*'Demand by Case'!J$31</f>
        <v>0.86366943488649728</v>
      </c>
      <c r="L28" s="3">
        <f>'Prices by Case'!K25*$C$1-'NG Alphas'!$C28*'Demand by Case'!K25-'NG Alphas'!$C$2*'Demand by Case'!K$31</f>
        <v>0.73171208529155507</v>
      </c>
      <c r="M28" s="3">
        <f>'Prices by Case'!L25*$C$1-'NG Alphas'!$C28*'Demand by Case'!L25-'NG Alphas'!$C$2*'Demand by Case'!L$31</f>
        <v>1.2359993180262263E-2</v>
      </c>
      <c r="N28" s="3">
        <f>'Prices by Case'!M25*$C$1-'NG Alphas'!$C28*'Demand by Case'!M25-'NG Alphas'!$C$2*'Demand by Case'!M$31</f>
        <v>-0.2795846806996658</v>
      </c>
      <c r="O28" s="3">
        <f>'Prices by Case'!N25*$C$1-'NG Alphas'!$C28*'Demand by Case'!N25-'NG Alphas'!$C$2*'Demand by Case'!N$31</f>
        <v>1.760392044953575</v>
      </c>
      <c r="P28" s="3">
        <f>'Prices by Case'!O25*$C$1-'NG Alphas'!$C28*'Demand by Case'!O25-'NG Alphas'!$C$2*'Demand by Case'!O$31</f>
        <v>2.5451020982319301</v>
      </c>
      <c r="Q28" s="3">
        <f>'Prices by Case'!P25*$C$1-'NG Alphas'!$C28*'Demand by Case'!P25-'NG Alphas'!$C$2*'Demand by Case'!P$31</f>
        <v>-0.29602425992480619</v>
      </c>
      <c r="R28" s="3">
        <f>'Prices by Case'!Q25*$C$1-'NG Alphas'!$C28*'Demand by Case'!Q25-'NG Alphas'!$C$2*'Demand by Case'!Q$31</f>
        <v>-0.81035316124751899</v>
      </c>
      <c r="S28" s="3">
        <f>'Prices by Case'!R25*$C$1-'NG Alphas'!$C28*'Demand by Case'!R25-'NG Alphas'!$C$2*'Demand by Case'!R$31</f>
        <v>0.16182346898987277</v>
      </c>
      <c r="T28" s="3">
        <f>'Prices by Case'!S25*$C$1-'NG Alphas'!$C28*'Demand by Case'!S25-'NG Alphas'!$C$2*'Demand by Case'!S$31</f>
        <v>0.66323504521871568</v>
      </c>
      <c r="U28" s="3">
        <f>'Prices by Case'!T25*$C$1-'NG Alphas'!$C28*'Demand by Case'!T25-'NG Alphas'!$C$2*'Demand by Case'!T$31</f>
        <v>0.75268823319437783</v>
      </c>
      <c r="V28" s="3">
        <f>'Prices by Case'!U25*$C$1-'NG Alphas'!$C28*'Demand by Case'!U25-'NG Alphas'!$C$2*'Demand by Case'!U$31</f>
        <v>1.0569704761421088</v>
      </c>
      <c r="W28" s="3">
        <f>'Prices by Case'!V25*$C$1-'NG Alphas'!$C28*'Demand by Case'!V25-'NG Alphas'!$C$2*'Demand by Case'!V$31</f>
        <v>1.4349812925419876</v>
      </c>
      <c r="X28" s="3">
        <f>'Prices by Case'!W25*$C$1-'NG Alphas'!$C28*'Demand by Case'!W25-'NG Alphas'!$C$2*'Demand by Case'!W$31</f>
        <v>2.0514243676489521</v>
      </c>
      <c r="Y28" s="3">
        <f>'Prices by Case'!X25*$C$1-'NG Alphas'!$C28*'Demand by Case'!X25-'NG Alphas'!$C$2*'Demand by Case'!X$31</f>
        <v>2.6076349704721085</v>
      </c>
      <c r="Z28" s="3">
        <f>'Prices by Case'!Y25*$C$1-'NG Alphas'!$C28*'Demand by Case'!Y25-'NG Alphas'!$C$2*'Demand by Case'!Y$31</f>
        <v>3.0240422152669915</v>
      </c>
      <c r="AA28" s="3">
        <f>'Prices by Case'!Z25*$C$1-'NG Alphas'!$C28*'Demand by Case'!Z25-'NG Alphas'!$C$2*'Demand by Case'!Z$31</f>
        <v>3.2773572153691006</v>
      </c>
      <c r="AB28" s="3">
        <f>'Prices by Case'!AA25*$C$1-'NG Alphas'!$C28*'Demand by Case'!AA25-'NG Alphas'!$C$2*'Demand by Case'!AA$31</f>
        <v>3.5285335189197573</v>
      </c>
      <c r="AC28" s="3">
        <f>'Prices by Case'!AB25*$C$1-'NG Alphas'!$C28*'Demand by Case'!AB25-'NG Alphas'!$C$2*'Demand by Case'!AB$31</f>
        <v>3.7255066208813501</v>
      </c>
      <c r="AD28" s="3">
        <f>'Prices by Case'!AC25*$C$1-'NG Alphas'!$C28*'Demand by Case'!AC25-'NG Alphas'!$C$2*'Demand by Case'!AC$31</f>
        <v>4.0343037931736871</v>
      </c>
      <c r="AE28" s="3">
        <f>'Prices by Case'!AD25*$C$1-'NG Alphas'!$C28*'Demand by Case'!AD25-'NG Alphas'!$C$2*'Demand by Case'!AD$31</f>
        <v>4.1489208694163064</v>
      </c>
      <c r="AF28" s="3">
        <f>'Prices by Case'!AE25*$C$1-'NG Alphas'!$C28*'Demand by Case'!AE25-'NG Alphas'!$C$2*'Demand by Case'!AE$31</f>
        <v>4.2347111448359644</v>
      </c>
      <c r="AG28" s="3">
        <f>'Prices by Case'!AF25*$C$1-'NG Alphas'!$C28*'Demand by Case'!AF25-'NG Alphas'!$C$2*'Demand by Case'!AF$31</f>
        <v>4.4422887125163069</v>
      </c>
      <c r="AH28" s="3">
        <f>'Prices by Case'!AG25*$C$1-'NG Alphas'!$C28*'Demand by Case'!AG25-'NG Alphas'!$C$2*'Demand by Case'!AG$31</f>
        <v>4.4967057935183172</v>
      </c>
      <c r="AI28" s="3">
        <f>'Prices by Case'!AH25*$C$1-'NG Alphas'!$C28*'Demand by Case'!AH25-'NG Alphas'!$C$2*'Demand by Case'!AH$31</f>
        <v>4.3657447938288048</v>
      </c>
      <c r="AJ28" s="3">
        <f>'Prices by Case'!AI25*$C$1-'NG Alphas'!$C28*'Demand by Case'!AI25-'NG Alphas'!$C$2*'Demand by Case'!AI$31</f>
        <v>4.2844164129515097</v>
      </c>
      <c r="AK28" s="3">
        <f>'Prices by Case'!AJ25*$C$1-'NG Alphas'!$C28*'Demand by Case'!AJ25-'NG Alphas'!$C$2*'Demand by Case'!AJ$31</f>
        <v>4.1607620488773378</v>
      </c>
      <c r="AL28" s="3">
        <f>'Prices by Case'!AK25*$C$1-'NG Alphas'!$C28*'Demand by Case'!AK25-'NG Alphas'!$C$2*'Demand by Case'!AK$31</f>
        <v>4.3232431324744063</v>
      </c>
      <c r="AM28" s="3">
        <f>'Prices by Case'!AL25*$C$1-'NG Alphas'!$C28*'Demand by Case'!AL25-'NG Alphas'!$C$2*'Demand by Case'!AL$31</f>
        <v>4.4254194333225829</v>
      </c>
      <c r="AN28" s="3">
        <f>'Prices by Case'!AM25*$C$1-'NG Alphas'!$C28*'Demand by Case'!AM25-'NG Alphas'!$C$2*'Demand by Case'!AM$31</f>
        <v>4.470433846037154</v>
      </c>
      <c r="AO28" s="3">
        <f>'Prices by Case'!AN25*$C$1-'NG Alphas'!$C28*'Demand by Case'!AN25-'NG Alphas'!$C$2*'Demand by Case'!AN$31</f>
        <v>4.678081991322089</v>
      </c>
      <c r="AP28" s="3">
        <f>'Prices by Case'!AO25*$C$1-'NG Alphas'!$C28*'Demand by Case'!AO25-'NG Alphas'!$C$2*'Demand by Case'!AO$31</f>
        <v>4.9039680067832787</v>
      </c>
      <c r="AQ28" s="3">
        <f>'Prices by Case'!AP25*$C$1-'NG Alphas'!$C28*'Demand by Case'!AP25-'NG Alphas'!$C$2*'Demand by Case'!AP$31</f>
        <v>5.0614721410661305</v>
      </c>
      <c r="AR28" s="3">
        <f>'Prices by Case'!AQ25*$C$1-'NG Alphas'!$C28*'Demand by Case'!AQ25-'NG Alphas'!$C$2*'Demand by Case'!AQ$31</f>
        <v>5.2546104223082306</v>
      </c>
      <c r="AS28" s="3"/>
      <c r="AT28" s="11">
        <f>(AH28+'Demand by Case'!AG25*'NG Alphas'!C28+'Demand by Case'!$AG$31*'NG Alphas'!$C$2)/'NG Alphas'!$C$1</f>
        <v>9.0266760000000001</v>
      </c>
      <c r="AU28" s="11">
        <v>10.296882999999999</v>
      </c>
    </row>
    <row r="29" spans="1:47" x14ac:dyDescent="0.25">
      <c r="A29" t="s">
        <v>16</v>
      </c>
      <c r="B29" t="s">
        <v>1</v>
      </c>
      <c r="C29" s="14">
        <v>0.50217579747531205</v>
      </c>
      <c r="D29" s="3">
        <f>'Prices by Case'!C26*$C$1</f>
        <v>4.6838750171663719</v>
      </c>
      <c r="E29" s="3">
        <f>'Prices by Case'!D26*$C$1-'NG Alphas'!$C29*'Demand by Case'!D26-'NG Alphas'!$C$2*'Demand by Case'!D$11</f>
        <v>2.9271620518635126</v>
      </c>
      <c r="F29" s="3">
        <f>'Prices by Case'!E26*$C$1-'NG Alphas'!$C29*'Demand by Case'!E26-'NG Alphas'!$C$2*'Demand by Case'!E$11</f>
        <v>1.6056841390394616</v>
      </c>
      <c r="G29" s="3">
        <f>'Prices by Case'!F26*$C$1-'NG Alphas'!$C29*'Demand by Case'!F26-'NG Alphas'!$C$2*'Demand by Case'!F$11</f>
        <v>3.5464152474947772</v>
      </c>
      <c r="H29" s="3">
        <f>'Prices by Case'!G26*$C$1-'NG Alphas'!$C29*'Demand by Case'!G26-'NG Alphas'!$C$2*'Demand by Case'!G$11</f>
        <v>3.9811655937527926</v>
      </c>
      <c r="I29" s="3">
        <f>'Prices by Case'!H26*$C$1-'NG Alphas'!$C29*'Demand by Case'!H26-'NG Alphas'!$C$2*'Demand by Case'!H$11</f>
        <v>1.8666083947473033</v>
      </c>
      <c r="J29" s="3">
        <f>'Prices by Case'!I26*$C$1-'NG Alphas'!$C29*'Demand by Case'!I26-'NG Alphas'!$C$2*'Demand by Case'!I$31</f>
        <v>1.5119945901028327</v>
      </c>
      <c r="K29" s="3">
        <f>'Prices by Case'!J26*$C$1-'NG Alphas'!$C29*'Demand by Case'!J26-'NG Alphas'!$C$2*'Demand by Case'!J$31</f>
        <v>1.7528551153717022</v>
      </c>
      <c r="L29" s="3">
        <f>'Prices by Case'!K26*$C$1-'NG Alphas'!$C29*'Demand by Case'!K26-'NG Alphas'!$C$2*'Demand by Case'!K$31</f>
        <v>1.8913199589272245</v>
      </c>
      <c r="M29" s="3">
        <f>'Prices by Case'!L26*$C$1-'NG Alphas'!$C29*'Demand by Case'!L26-'NG Alphas'!$C$2*'Demand by Case'!L$31</f>
        <v>1.5389975703791314</v>
      </c>
      <c r="N29" s="3">
        <f>'Prices by Case'!M26*$C$1-'NG Alphas'!$C29*'Demand by Case'!M26-'NG Alphas'!$C$2*'Demand by Case'!M$31</f>
        <v>1.131327219086131</v>
      </c>
      <c r="O29" s="3">
        <f>'Prices by Case'!N26*$C$1-'NG Alphas'!$C29*'Demand by Case'!N26-'NG Alphas'!$C$2*'Demand by Case'!N$31</f>
        <v>3.0996412489691707</v>
      </c>
      <c r="P29" s="3">
        <f>'Prices by Case'!O26*$C$1-'NG Alphas'!$C29*'Demand by Case'!O26-'NG Alphas'!$C$2*'Demand by Case'!O$31</f>
        <v>3.5483196541215358</v>
      </c>
      <c r="Q29" s="3">
        <f>'Prices by Case'!P26*$C$1-'NG Alphas'!$C29*'Demand by Case'!P26-'NG Alphas'!$C$2*'Demand by Case'!P$31</f>
        <v>1.1978492595683954</v>
      </c>
      <c r="R29" s="3">
        <f>'Prices by Case'!Q26*$C$1-'NG Alphas'!$C29*'Demand by Case'!Q26-'NG Alphas'!$C$2*'Demand by Case'!Q$31</f>
        <v>0.27112363807981499</v>
      </c>
      <c r="S29" s="3">
        <f>'Prices by Case'!R26*$C$1-'NG Alphas'!$C29*'Demand by Case'!R26-'NG Alphas'!$C$2*'Demand by Case'!R$31</f>
        <v>0.95539989201417264</v>
      </c>
      <c r="T29" s="3">
        <f>'Prices by Case'!S26*$C$1-'NG Alphas'!$C29*'Demand by Case'!S26-'NG Alphas'!$C$2*'Demand by Case'!S$31</f>
        <v>1.2842860386738715</v>
      </c>
      <c r="U29" s="3">
        <f>'Prices by Case'!T26*$C$1-'NG Alphas'!$C29*'Demand by Case'!T26-'NG Alphas'!$C$2*'Demand by Case'!T$31</f>
        <v>1.1323833631208695</v>
      </c>
      <c r="V29" s="3">
        <f>'Prices by Case'!U26*$C$1-'NG Alphas'!$C29*'Demand by Case'!U26-'NG Alphas'!$C$2*'Demand by Case'!U$31</f>
        <v>1.232606419020599</v>
      </c>
      <c r="W29" s="3">
        <f>'Prices by Case'!V26*$C$1-'NG Alphas'!$C29*'Demand by Case'!V26-'NG Alphas'!$C$2*'Demand by Case'!V$31</f>
        <v>1.5067672320436145</v>
      </c>
      <c r="X29" s="3">
        <f>'Prices by Case'!W26*$C$1-'NG Alphas'!$C29*'Demand by Case'!W26-'NG Alphas'!$C$2*'Demand by Case'!W$31</f>
        <v>1.9080476963548534</v>
      </c>
      <c r="Y29" s="3">
        <f>'Prices by Case'!X26*$C$1-'NG Alphas'!$C29*'Demand by Case'!X26-'NG Alphas'!$C$2*'Demand by Case'!X$31</f>
        <v>2.4237137153204573</v>
      </c>
      <c r="Z29" s="3">
        <f>'Prices by Case'!Y26*$C$1-'NG Alphas'!$C29*'Demand by Case'!Y26-'NG Alphas'!$C$2*'Demand by Case'!Y$31</f>
        <v>2.7620365086069762</v>
      </c>
      <c r="AA29" s="3">
        <f>'Prices by Case'!Z26*$C$1-'NG Alphas'!$C29*'Demand by Case'!Z26-'NG Alphas'!$C$2*'Demand by Case'!Z$31</f>
        <v>3.1648979673117692</v>
      </c>
      <c r="AB29" s="3">
        <f>'Prices by Case'!AA26*$C$1-'NG Alphas'!$C29*'Demand by Case'!AA26-'NG Alphas'!$C$2*'Demand by Case'!AA$31</f>
        <v>3.4489658823814739</v>
      </c>
      <c r="AC29" s="3">
        <f>'Prices by Case'!AB26*$C$1-'NG Alphas'!$C29*'Demand by Case'!AB26-'NG Alphas'!$C$2*'Demand by Case'!AB$31</f>
        <v>3.569688021348183</v>
      </c>
      <c r="AD29" s="3">
        <f>'Prices by Case'!AC26*$C$1-'NG Alphas'!$C29*'Demand by Case'!AC26-'NG Alphas'!$C$2*'Demand by Case'!AC$31</f>
        <v>3.6792931868312584</v>
      </c>
      <c r="AE29" s="3">
        <f>'Prices by Case'!AD26*$C$1-'NG Alphas'!$C29*'Demand by Case'!AD26-'NG Alphas'!$C$2*'Demand by Case'!AD$31</f>
        <v>3.709662046002447</v>
      </c>
      <c r="AF29" s="3">
        <f>'Prices by Case'!AE26*$C$1-'NG Alphas'!$C29*'Demand by Case'!AE26-'NG Alphas'!$C$2*'Demand by Case'!AE$31</f>
        <v>3.6545169980158412</v>
      </c>
      <c r="AG29" s="3">
        <f>'Prices by Case'!AF26*$C$1-'NG Alphas'!$C29*'Demand by Case'!AF26-'NG Alphas'!$C$2*'Demand by Case'!AF$31</f>
        <v>3.6145364070318049</v>
      </c>
      <c r="AH29" s="3">
        <f>'Prices by Case'!AG26*$C$1-'NG Alphas'!$C29*'Demand by Case'!AG26-'NG Alphas'!$C$2*'Demand by Case'!AG$31</f>
        <v>3.615921260411862</v>
      </c>
      <c r="AI29" s="3">
        <f>'Prices by Case'!AH26*$C$1-'NG Alphas'!$C29*'Demand by Case'!AH26-'NG Alphas'!$C$2*'Demand by Case'!AH$31</f>
        <v>3.5664875285830955</v>
      </c>
      <c r="AJ29" s="3">
        <f>'Prices by Case'!AI26*$C$1-'NG Alphas'!$C29*'Demand by Case'!AI26-'NG Alphas'!$C$2*'Demand by Case'!AI$31</f>
        <v>3.5285344385765138</v>
      </c>
      <c r="AK29" s="3">
        <f>'Prices by Case'!AJ26*$C$1-'NG Alphas'!$C29*'Demand by Case'!AJ26-'NG Alphas'!$C$2*'Demand by Case'!AJ$31</f>
        <v>3.4361180537629537</v>
      </c>
      <c r="AL29" s="3">
        <f>'Prices by Case'!AK26*$C$1-'NG Alphas'!$C29*'Demand by Case'!AK26-'NG Alphas'!$C$2*'Demand by Case'!AK$31</f>
        <v>3.2789306478592852</v>
      </c>
      <c r="AM29" s="3">
        <f>'Prices by Case'!AL26*$C$1-'NG Alphas'!$C29*'Demand by Case'!AL26-'NG Alphas'!$C$2*'Demand by Case'!AL$31</f>
        <v>3.2121865674564773</v>
      </c>
      <c r="AN29" s="3">
        <f>'Prices by Case'!AM26*$C$1-'NG Alphas'!$C29*'Demand by Case'!AM26-'NG Alphas'!$C$2*'Demand by Case'!AM$31</f>
        <v>3.3116963661875243</v>
      </c>
      <c r="AO29" s="3">
        <f>'Prices by Case'!AN26*$C$1-'NG Alphas'!$C29*'Demand by Case'!AN26-'NG Alphas'!$C$2*'Demand by Case'!AN$31</f>
        <v>3.4093483284010113</v>
      </c>
      <c r="AP29" s="3">
        <f>'Prices by Case'!AO26*$C$1-'NG Alphas'!$C29*'Demand by Case'!AO26-'NG Alphas'!$C$2*'Demand by Case'!AO$31</f>
        <v>3.5216629831585204</v>
      </c>
      <c r="AQ29" s="3">
        <f>'Prices by Case'!AP26*$C$1-'NG Alphas'!$C29*'Demand by Case'!AP26-'NG Alphas'!$C$2*'Demand by Case'!AP$31</f>
        <v>3.6966248597365974</v>
      </c>
      <c r="AR29" s="3">
        <f>'Prices by Case'!AQ26*$C$1-'NG Alphas'!$C29*'Demand by Case'!AQ26-'NG Alphas'!$C$2*'Demand by Case'!AQ$31</f>
        <v>3.8722212325666967</v>
      </c>
      <c r="AS29" s="3"/>
      <c r="AT29" s="11">
        <f>(AH29+'Demand by Case'!AG26*'NG Alphas'!C29+'Demand by Case'!$AG$31*'NG Alphas'!$C$2)/'NG Alphas'!$C$1</f>
        <v>7.2187059999999992</v>
      </c>
      <c r="AU29" s="11">
        <v>10.885576</v>
      </c>
    </row>
    <row r="30" spans="1:47" x14ac:dyDescent="0.25">
      <c r="A30" t="s">
        <v>16</v>
      </c>
      <c r="B30" t="s">
        <v>9</v>
      </c>
      <c r="C30" s="14">
        <v>0.19684249743097632</v>
      </c>
      <c r="D30" s="3">
        <f>'Prices by Case'!C27*$C$1</f>
        <v>4.1725022280508384</v>
      </c>
      <c r="E30" s="3">
        <f>'Prices by Case'!D27*$C$1-'NG Alphas'!$C30*'Demand by Case'!D27-'NG Alphas'!$C$2*'Demand by Case'!D$11</f>
        <v>2.7320029116764442</v>
      </c>
      <c r="F30" s="3">
        <f>'Prices by Case'!E27*$C$1-'NG Alphas'!$C30*'Demand by Case'!E27-'NG Alphas'!$C$2*'Demand by Case'!E$11</f>
        <v>1.5382517211981239</v>
      </c>
      <c r="G30" s="3">
        <f>'Prices by Case'!F27*$C$1-'NG Alphas'!$C30*'Demand by Case'!F27-'NG Alphas'!$C$2*'Demand by Case'!F$11</f>
        <v>2.2558133414695516</v>
      </c>
      <c r="H30" s="3">
        <f>'Prices by Case'!G27*$C$1-'NG Alphas'!$C30*'Demand by Case'!G27-'NG Alphas'!$C$2*'Demand by Case'!G$11</f>
        <v>2.6657390427129046</v>
      </c>
      <c r="I30" s="3">
        <f>'Prices by Case'!H27*$C$1-'NG Alphas'!$C30*'Demand by Case'!H27-'NG Alphas'!$C$2*'Demand by Case'!H$11</f>
        <v>1.0415252015151502</v>
      </c>
      <c r="J30" s="3">
        <f>'Prices by Case'!I27*$C$1-'NG Alphas'!$C30*'Demand by Case'!I27-'NG Alphas'!$C$2*'Demand by Case'!I$31</f>
        <v>0.63590778482911126</v>
      </c>
      <c r="K30" s="3">
        <f>'Prices by Case'!J27*$C$1-'NG Alphas'!$C30*'Demand by Case'!J27-'NG Alphas'!$C$2*'Demand by Case'!J$31</f>
        <v>1.070923523340499</v>
      </c>
      <c r="L30" s="3">
        <f>'Prices by Case'!K27*$C$1-'NG Alphas'!$C30*'Demand by Case'!K27-'NG Alphas'!$C$2*'Demand by Case'!K$31</f>
        <v>0.97809026960587975</v>
      </c>
      <c r="M30" s="3">
        <f>'Prices by Case'!L27*$C$1-'NG Alphas'!$C30*'Demand by Case'!L27-'NG Alphas'!$C$2*'Demand by Case'!L$31</f>
        <v>0.50351143876793425</v>
      </c>
      <c r="N30" s="3">
        <f>'Prices by Case'!M27*$C$1-'NG Alphas'!$C30*'Demand by Case'!M27-'NG Alphas'!$C$2*'Demand by Case'!M$31</f>
        <v>0.18755021019053597</v>
      </c>
      <c r="O30" s="3">
        <f>'Prices by Case'!N27*$C$1-'NG Alphas'!$C30*'Demand by Case'!N27-'NG Alphas'!$C$2*'Demand by Case'!N$31</f>
        <v>2.3535620239931276</v>
      </c>
      <c r="P30" s="3">
        <f>'Prices by Case'!O27*$C$1-'NG Alphas'!$C30*'Demand by Case'!O27-'NG Alphas'!$C$2*'Demand by Case'!O$31</f>
        <v>3.029575429038144</v>
      </c>
      <c r="Q30" s="3">
        <f>'Prices by Case'!P27*$C$1-'NG Alphas'!$C30*'Demand by Case'!P27-'NG Alphas'!$C$2*'Demand by Case'!P$31</f>
        <v>0.19857816254973937</v>
      </c>
      <c r="R30" s="3">
        <f>'Prices by Case'!Q27*$C$1-'NG Alphas'!$C30*'Demand by Case'!Q27-'NG Alphas'!$C$2*'Demand by Case'!Q$31</f>
        <v>-0.1467680800854978</v>
      </c>
      <c r="S30" s="3">
        <f>'Prices by Case'!R27*$C$1-'NG Alphas'!$C30*'Demand by Case'!R27-'NG Alphas'!$C$2*'Demand by Case'!R$31</f>
        <v>0.65319114213523211</v>
      </c>
      <c r="T30" s="3">
        <f>'Prices by Case'!S27*$C$1-'NG Alphas'!$C30*'Demand by Case'!S27-'NG Alphas'!$C$2*'Demand by Case'!S$31</f>
        <v>0.98186284285666403</v>
      </c>
      <c r="U30" s="3">
        <f>'Prices by Case'!T27*$C$1-'NG Alphas'!$C30*'Demand by Case'!T27-'NG Alphas'!$C$2*'Demand by Case'!T$31</f>
        <v>1.0368366934595945</v>
      </c>
      <c r="V30" s="3">
        <f>'Prices by Case'!U27*$C$1-'NG Alphas'!$C30*'Demand by Case'!U27-'NG Alphas'!$C$2*'Demand by Case'!U$31</f>
        <v>1.3716765994873483</v>
      </c>
      <c r="W30" s="3">
        <f>'Prices by Case'!V27*$C$1-'NG Alphas'!$C30*'Demand by Case'!V27-'NG Alphas'!$C$2*'Demand by Case'!V$31</f>
        <v>1.7143828628983369</v>
      </c>
      <c r="X30" s="3">
        <f>'Prices by Case'!W27*$C$1-'NG Alphas'!$C30*'Demand by Case'!W27-'NG Alphas'!$C$2*'Demand by Case'!W$31</f>
        <v>2.3129611682045264</v>
      </c>
      <c r="Y30" s="3">
        <f>'Prices by Case'!X27*$C$1-'NG Alphas'!$C30*'Demand by Case'!X27-'NG Alphas'!$C$2*'Demand by Case'!X$31</f>
        <v>2.8680333371946829</v>
      </c>
      <c r="Z30" s="3">
        <f>'Prices by Case'!Y27*$C$1-'NG Alphas'!$C30*'Demand by Case'!Y27-'NG Alphas'!$C$2*'Demand by Case'!Y$31</f>
        <v>3.3083413029687643</v>
      </c>
      <c r="AA30" s="3">
        <f>'Prices by Case'!Z27*$C$1-'NG Alphas'!$C30*'Demand by Case'!Z27-'NG Alphas'!$C$2*'Demand by Case'!Z$31</f>
        <v>3.5564344821787097</v>
      </c>
      <c r="AB30" s="3">
        <f>'Prices by Case'!AA27*$C$1-'NG Alphas'!$C30*'Demand by Case'!AA27-'NG Alphas'!$C$2*'Demand by Case'!AA$31</f>
        <v>3.7567166088104171</v>
      </c>
      <c r="AC30" s="3">
        <f>'Prices by Case'!AB27*$C$1-'NG Alphas'!$C30*'Demand by Case'!AB27-'NG Alphas'!$C$2*'Demand by Case'!AB$31</f>
        <v>3.883580826650781</v>
      </c>
      <c r="AD30" s="3">
        <f>'Prices by Case'!AC27*$C$1-'NG Alphas'!$C30*'Demand by Case'!AC27-'NG Alphas'!$C$2*'Demand by Case'!AC$31</f>
        <v>4.1084592040067545</v>
      </c>
      <c r="AE30" s="3">
        <f>'Prices by Case'!AD27*$C$1-'NG Alphas'!$C30*'Demand by Case'!AD27-'NG Alphas'!$C$2*'Demand by Case'!AD$31</f>
        <v>4.1811991307736038</v>
      </c>
      <c r="AF30" s="3">
        <f>'Prices by Case'!AE27*$C$1-'NG Alphas'!$C30*'Demand by Case'!AE27-'NG Alphas'!$C$2*'Demand by Case'!AE$31</f>
        <v>4.2137654788315642</v>
      </c>
      <c r="AG30" s="3">
        <f>'Prices by Case'!AF27*$C$1-'NG Alphas'!$C30*'Demand by Case'!AF27-'NG Alphas'!$C$2*'Demand by Case'!AF$31</f>
        <v>4.4007526569479207</v>
      </c>
      <c r="AH30" s="3">
        <f>'Prices by Case'!AG27*$C$1-'NG Alphas'!$C30*'Demand by Case'!AG27-'NG Alphas'!$C$2*'Demand by Case'!AG$31</f>
        <v>4.4625428699084742</v>
      </c>
      <c r="AI30" s="3">
        <f>'Prices by Case'!AH27*$C$1-'NG Alphas'!$C30*'Demand by Case'!AH27-'NG Alphas'!$C$2*'Demand by Case'!AH$31</f>
        <v>4.4991105557222584</v>
      </c>
      <c r="AJ30" s="3">
        <f>'Prices by Case'!AI27*$C$1-'NG Alphas'!$C30*'Demand by Case'!AI27-'NG Alphas'!$C$2*'Demand by Case'!AI$31</f>
        <v>4.3652288167058213</v>
      </c>
      <c r="AK30" s="3">
        <f>'Prices by Case'!AJ27*$C$1-'NG Alphas'!$C30*'Demand by Case'!AJ27-'NG Alphas'!$C$2*'Demand by Case'!AJ$31</f>
        <v>4.2907861681299444</v>
      </c>
      <c r="AL30" s="3">
        <f>'Prices by Case'!AK27*$C$1-'NG Alphas'!$C30*'Demand by Case'!AK27-'NG Alphas'!$C$2*'Demand by Case'!AK$31</f>
        <v>4.4151720241280561</v>
      </c>
      <c r="AM30" s="3">
        <f>'Prices by Case'!AL27*$C$1-'NG Alphas'!$C30*'Demand by Case'!AL27-'NG Alphas'!$C$2*'Demand by Case'!AL$31</f>
        <v>4.5107031607183874</v>
      </c>
      <c r="AN30" s="3">
        <f>'Prices by Case'!AM27*$C$1-'NG Alphas'!$C30*'Demand by Case'!AM27-'NG Alphas'!$C$2*'Demand by Case'!AM$31</f>
        <v>4.550329026910525</v>
      </c>
      <c r="AO30" s="3">
        <f>'Prices by Case'!AN27*$C$1-'NG Alphas'!$C30*'Demand by Case'!AN27-'NG Alphas'!$C$2*'Demand by Case'!AN$31</f>
        <v>4.7393342114955166</v>
      </c>
      <c r="AP30" s="3">
        <f>'Prices by Case'!AO27*$C$1-'NG Alphas'!$C30*'Demand by Case'!AO27-'NG Alphas'!$C$2*'Demand by Case'!AO$31</f>
        <v>4.9048637703561377</v>
      </c>
      <c r="AQ30" s="3">
        <f>'Prices by Case'!AP27*$C$1-'NG Alphas'!$C30*'Demand by Case'!AP27-'NG Alphas'!$C$2*'Demand by Case'!AP$31</f>
        <v>5.0319857772239489</v>
      </c>
      <c r="AR30" s="3">
        <f>'Prices by Case'!AQ27*$C$1-'NG Alphas'!$C30*'Demand by Case'!AQ27-'NG Alphas'!$C$2*'Demand by Case'!AQ$31</f>
        <v>5.1916180808946066</v>
      </c>
      <c r="AS30" s="3"/>
      <c r="AT30" s="11">
        <f>(AH30+'Demand by Case'!AG27*'NG Alphas'!C30+'Demand by Case'!$AG$31*'NG Alphas'!$C$2)/'NG Alphas'!$C$1</f>
        <v>8.6618899999999996</v>
      </c>
      <c r="AU30" s="11">
        <v>9.4772770000000008</v>
      </c>
    </row>
    <row r="31" spans="1:47" x14ac:dyDescent="0.25">
      <c r="A31" t="s">
        <v>16</v>
      </c>
      <c r="B31" t="s">
        <v>5</v>
      </c>
      <c r="C31" s="14">
        <v>0.16186348632922257</v>
      </c>
      <c r="D31" s="3">
        <f>'Prices by Case'!C28*$C$1</f>
        <v>5.2114045111850569</v>
      </c>
      <c r="E31" s="3">
        <f>'Prices by Case'!D28*$C$1-'NG Alphas'!$C31*'Demand by Case'!D28-'NG Alphas'!$C$2*'Demand by Case'!D$11</f>
        <v>3.2690962585265515</v>
      </c>
      <c r="F31" s="3">
        <f>'Prices by Case'!E28*$C$1-'NG Alphas'!$C31*'Demand by Case'!E28-'NG Alphas'!$C$2*'Demand by Case'!E$11</f>
        <v>1.8726286314874494</v>
      </c>
      <c r="G31" s="3">
        <f>'Prices by Case'!F28*$C$1-'NG Alphas'!$C31*'Demand by Case'!F28-'NG Alphas'!$C$2*'Demand by Case'!F$11</f>
        <v>2.4758234711478653</v>
      </c>
      <c r="H31" s="3">
        <f>'Prices by Case'!G28*$C$1-'NG Alphas'!$C31*'Demand by Case'!G28-'NG Alphas'!$C$2*'Demand by Case'!G$11</f>
        <v>2.9106209974847381</v>
      </c>
      <c r="I31" s="3">
        <f>'Prices by Case'!H28*$C$1-'NG Alphas'!$C31*'Demand by Case'!H28-'NG Alphas'!$C$2*'Demand by Case'!H$11</f>
        <v>1.4151552712560773</v>
      </c>
      <c r="J31" s="3">
        <f>'Prices by Case'!I28*$C$1-'NG Alphas'!$C31*'Demand by Case'!I28-'NG Alphas'!$C$2*'Demand by Case'!I$31</f>
        <v>0.92748951727880535</v>
      </c>
      <c r="K31" s="3">
        <f>'Prices by Case'!J28*$C$1-'NG Alphas'!$C31*'Demand by Case'!J28-'NG Alphas'!$C$2*'Demand by Case'!J$31</f>
        <v>1.2476410150242159</v>
      </c>
      <c r="L31" s="3">
        <f>'Prices by Case'!K28*$C$1-'NG Alphas'!$C31*'Demand by Case'!K28-'NG Alphas'!$C$2*'Demand by Case'!K$31</f>
        <v>0.96583999720442071</v>
      </c>
      <c r="M31" s="3">
        <f>'Prices by Case'!L28*$C$1-'NG Alphas'!$C31*'Demand by Case'!L28-'NG Alphas'!$C$2*'Demand by Case'!L$31</f>
        <v>0.42709666125089574</v>
      </c>
      <c r="N31" s="3">
        <f>'Prices by Case'!M28*$C$1-'NG Alphas'!$C31*'Demand by Case'!M28-'NG Alphas'!$C$2*'Demand by Case'!M$31</f>
        <v>4.5345631160517597E-2</v>
      </c>
      <c r="O31" s="3">
        <f>'Prices by Case'!N28*$C$1-'NG Alphas'!$C31*'Demand by Case'!N28-'NG Alphas'!$C$2*'Demand by Case'!N$31</f>
        <v>2.0804123361789082</v>
      </c>
      <c r="P31" s="3">
        <f>'Prices by Case'!O28*$C$1-'NG Alphas'!$C31*'Demand by Case'!O28-'NG Alphas'!$C$2*'Demand by Case'!O$31</f>
        <v>3.0785933912196182</v>
      </c>
      <c r="Q31" s="3">
        <f>'Prices by Case'!P28*$C$1-'NG Alphas'!$C31*'Demand by Case'!P28-'NG Alphas'!$C$2*'Demand by Case'!P$31</f>
        <v>4.8011954272756174E-2</v>
      </c>
      <c r="R31" s="3">
        <f>'Prices by Case'!Q28*$C$1-'NG Alphas'!$C31*'Demand by Case'!Q28-'NG Alphas'!$C$2*'Demand by Case'!Q$31</f>
        <v>-0.24090966715535012</v>
      </c>
      <c r="S31" s="3">
        <f>'Prices by Case'!R28*$C$1-'NG Alphas'!$C31*'Demand by Case'!R28-'NG Alphas'!$C$2*'Demand by Case'!R$31</f>
        <v>0.6920913922398908</v>
      </c>
      <c r="T31" s="3">
        <f>'Prices by Case'!S28*$C$1-'NG Alphas'!$C31*'Demand by Case'!S28-'NG Alphas'!$C$2*'Demand by Case'!S$31</f>
        <v>1.1488329424754276</v>
      </c>
      <c r="U31" s="3">
        <f>'Prices by Case'!T28*$C$1-'NG Alphas'!$C31*'Demand by Case'!T28-'NG Alphas'!$C$2*'Demand by Case'!T$31</f>
        <v>1.2249174858639231</v>
      </c>
      <c r="V31" s="3">
        <f>'Prices by Case'!U28*$C$1-'NG Alphas'!$C31*'Demand by Case'!U28-'NG Alphas'!$C$2*'Demand by Case'!U$31</f>
        <v>1.4793299089872456</v>
      </c>
      <c r="W31" s="3">
        <f>'Prices by Case'!V28*$C$1-'NG Alphas'!$C31*'Demand by Case'!V28-'NG Alphas'!$C$2*'Demand by Case'!V$31</f>
        <v>1.7998209660277116</v>
      </c>
      <c r="X31" s="3">
        <f>'Prices by Case'!W28*$C$1-'NG Alphas'!$C31*'Demand by Case'!W28-'NG Alphas'!$C$2*'Demand by Case'!W$31</f>
        <v>2.3579713652355938</v>
      </c>
      <c r="Y31" s="3">
        <f>'Prices by Case'!X28*$C$1-'NG Alphas'!$C31*'Demand by Case'!X28-'NG Alphas'!$C$2*'Demand by Case'!X$31</f>
        <v>2.8991540077030677</v>
      </c>
      <c r="Z31" s="3">
        <f>'Prices by Case'!Y28*$C$1-'NG Alphas'!$C31*'Demand by Case'!Y28-'NG Alphas'!$C$2*'Demand by Case'!Y$31</f>
        <v>3.216629878181231</v>
      </c>
      <c r="AA31" s="3">
        <f>'Prices by Case'!Z28*$C$1-'NG Alphas'!$C31*'Demand by Case'!Z28-'NG Alphas'!$C$2*'Demand by Case'!Z$31</f>
        <v>3.5464884376837738</v>
      </c>
      <c r="AB31" s="3">
        <f>'Prices by Case'!AA28*$C$1-'NG Alphas'!$C31*'Demand by Case'!AA28-'NG Alphas'!$C$2*'Demand by Case'!AA$31</f>
        <v>3.764636038241628</v>
      </c>
      <c r="AC31" s="3">
        <f>'Prices by Case'!AB28*$C$1-'NG Alphas'!$C31*'Demand by Case'!AB28-'NG Alphas'!$C$2*'Demand by Case'!AB$31</f>
        <v>3.9252582110231033</v>
      </c>
      <c r="AD31" s="3">
        <f>'Prices by Case'!AC28*$C$1-'NG Alphas'!$C31*'Demand by Case'!AC28-'NG Alphas'!$C$2*'Demand by Case'!AC$31</f>
        <v>4.1729989109415859</v>
      </c>
      <c r="AE31" s="3">
        <f>'Prices by Case'!AD28*$C$1-'NG Alphas'!$C31*'Demand by Case'!AD28-'NG Alphas'!$C$2*'Demand by Case'!AD$31</f>
        <v>4.374773066478415</v>
      </c>
      <c r="AF31" s="3">
        <f>'Prices by Case'!AE28*$C$1-'NG Alphas'!$C31*'Demand by Case'!AE28-'NG Alphas'!$C$2*'Demand by Case'!AE$31</f>
        <v>4.390260917505648</v>
      </c>
      <c r="AG31" s="3">
        <f>'Prices by Case'!AF28*$C$1-'NG Alphas'!$C31*'Demand by Case'!AF28-'NG Alphas'!$C$2*'Demand by Case'!AF$31</f>
        <v>4.521430316600676</v>
      </c>
      <c r="AH31" s="3">
        <f>'Prices by Case'!AG28*$C$1-'NG Alphas'!$C31*'Demand by Case'!AG28-'NG Alphas'!$C$2*'Demand by Case'!AG$31</f>
        <v>4.5020098854194144</v>
      </c>
      <c r="AI31" s="3">
        <f>'Prices by Case'!AH28*$C$1-'NG Alphas'!$C31*'Demand by Case'!AH28-'NG Alphas'!$C$2*'Demand by Case'!AH$31</f>
        <v>4.5611212669257739</v>
      </c>
      <c r="AJ31" s="3">
        <f>'Prices by Case'!AI28*$C$1-'NG Alphas'!$C31*'Demand by Case'!AI28-'NG Alphas'!$C$2*'Demand by Case'!AI$31</f>
        <v>4.5181315902085828</v>
      </c>
      <c r="AK31" s="3">
        <f>'Prices by Case'!AJ28*$C$1-'NG Alphas'!$C31*'Demand by Case'!AJ28-'NG Alphas'!$C$2*'Demand by Case'!AJ$31</f>
        <v>4.4434013532796373</v>
      </c>
      <c r="AL31" s="3">
        <f>'Prices by Case'!AK28*$C$1-'NG Alphas'!$C31*'Demand by Case'!AK28-'NG Alphas'!$C$2*'Demand by Case'!AK$31</f>
        <v>4.4476224426581465</v>
      </c>
      <c r="AM31" s="3">
        <f>'Prices by Case'!AL28*$C$1-'NG Alphas'!$C31*'Demand by Case'!AL28-'NG Alphas'!$C$2*'Demand by Case'!AL$31</f>
        <v>4.3613762616441827</v>
      </c>
      <c r="AN31" s="3">
        <f>'Prices by Case'!AM28*$C$1-'NG Alphas'!$C31*'Demand by Case'!AM28-'NG Alphas'!$C$2*'Demand by Case'!AM$31</f>
        <v>4.4029711672647105</v>
      </c>
      <c r="AO31" s="3">
        <f>'Prices by Case'!AN28*$C$1-'NG Alphas'!$C31*'Demand by Case'!AN28-'NG Alphas'!$C$2*'Demand by Case'!AN$31</f>
        <v>4.5479754779629245</v>
      </c>
      <c r="AP31" s="3">
        <f>'Prices by Case'!AO28*$C$1-'NG Alphas'!$C31*'Demand by Case'!AO28-'NG Alphas'!$C$2*'Demand by Case'!AO$31</f>
        <v>4.7201250740184149</v>
      </c>
      <c r="AQ31" s="3">
        <f>'Prices by Case'!AP28*$C$1-'NG Alphas'!$C31*'Demand by Case'!AP28-'NG Alphas'!$C$2*'Demand by Case'!AP$31</f>
        <v>4.8663167786469161</v>
      </c>
      <c r="AR31" s="3">
        <f>'Prices by Case'!AQ28*$C$1-'NG Alphas'!$C31*'Demand by Case'!AQ28-'NG Alphas'!$C$2*'Demand by Case'!AQ$31</f>
        <v>5.0573617249463556</v>
      </c>
      <c r="AS31" s="3"/>
      <c r="AT31" s="11">
        <f>(AH31+'Demand by Case'!AG28*'NG Alphas'!C31+'Demand by Case'!$AG$31*'NG Alphas'!$C$2)/'NG Alphas'!$C$1</f>
        <v>8.8365340000000003</v>
      </c>
      <c r="AU31" s="11">
        <v>9.43323</v>
      </c>
    </row>
    <row r="32" spans="1:47" x14ac:dyDescent="0.25">
      <c r="A32" t="s">
        <v>16</v>
      </c>
      <c r="B32" t="s">
        <v>4</v>
      </c>
      <c r="C32" s="14">
        <v>0.57865435636938944</v>
      </c>
      <c r="D32" s="3">
        <f>'Prices by Case'!C29*$C$1</f>
        <v>4.6620897633904246</v>
      </c>
      <c r="E32" s="3">
        <f>'Prices by Case'!D29*$C$1-'NG Alphas'!$C32*'Demand by Case'!D29-'NG Alphas'!$C$2*'Demand by Case'!D$11</f>
        <v>3.2157740009384215</v>
      </c>
      <c r="F32" s="3">
        <f>'Prices by Case'!E29*$C$1-'NG Alphas'!$C32*'Demand by Case'!E29-'NG Alphas'!$C$2*'Demand by Case'!E$11</f>
        <v>1.5577101284621062</v>
      </c>
      <c r="G32" s="3">
        <f>'Prices by Case'!F29*$C$1-'NG Alphas'!$C32*'Demand by Case'!F29-'NG Alphas'!$C$2*'Demand by Case'!F$11</f>
        <v>2.5365061400214408</v>
      </c>
      <c r="H32" s="3">
        <f>'Prices by Case'!G29*$C$1-'NG Alphas'!$C32*'Demand by Case'!G29-'NG Alphas'!$C$2*'Demand by Case'!G$11</f>
        <v>3.2640843651417013</v>
      </c>
      <c r="I32" s="3">
        <f>'Prices by Case'!H29*$C$1-'NG Alphas'!$C32*'Demand by Case'!H29-'NG Alphas'!$C$2*'Demand by Case'!H$11</f>
        <v>1.2361316887098204</v>
      </c>
      <c r="J32" s="3">
        <f>'Prices by Case'!I29*$C$1-'NG Alphas'!$C32*'Demand by Case'!I29-'NG Alphas'!$C$2*'Demand by Case'!I$31</f>
        <v>0.6050647239644309</v>
      </c>
      <c r="K32" s="3">
        <f>'Prices by Case'!J29*$C$1-'NG Alphas'!$C32*'Demand by Case'!J29-'NG Alphas'!$C$2*'Demand by Case'!J$31</f>
        <v>1.305792929810448</v>
      </c>
      <c r="L32" s="3">
        <f>'Prices by Case'!K29*$C$1-'NG Alphas'!$C32*'Demand by Case'!K29-'NG Alphas'!$C$2*'Demand by Case'!K$31</f>
        <v>1.0502648074212475</v>
      </c>
      <c r="M32" s="3">
        <f>'Prices by Case'!L29*$C$1-'NG Alphas'!$C32*'Demand by Case'!L29-'NG Alphas'!$C$2*'Demand by Case'!L$31</f>
        <v>0.29672411396428777</v>
      </c>
      <c r="N32" s="3">
        <f>'Prices by Case'!M29*$C$1-'NG Alphas'!$C32*'Demand by Case'!M29-'NG Alphas'!$C$2*'Demand by Case'!M$31</f>
        <v>-6.0481249181205232E-2</v>
      </c>
      <c r="O32" s="3">
        <f>'Prices by Case'!N29*$C$1-'NG Alphas'!$C32*'Demand by Case'!N29-'NG Alphas'!$C$2*'Demand by Case'!N$31</f>
        <v>1.7796630691441733</v>
      </c>
      <c r="P32" s="3">
        <f>'Prices by Case'!O29*$C$1-'NG Alphas'!$C32*'Demand by Case'!O29-'NG Alphas'!$C$2*'Demand by Case'!O$31</f>
        <v>2.7993290573174727</v>
      </c>
      <c r="Q32" s="3">
        <f>'Prices by Case'!P29*$C$1-'NG Alphas'!$C32*'Demand by Case'!P29-'NG Alphas'!$C$2*'Demand by Case'!P$31</f>
        <v>-6.4037546633059828E-2</v>
      </c>
      <c r="R32" s="3">
        <f>'Prices by Case'!Q29*$C$1-'NG Alphas'!$C32*'Demand by Case'!Q29-'NG Alphas'!$C$2*'Demand by Case'!Q$31</f>
        <v>-0.48993084549100896</v>
      </c>
      <c r="S32" s="3">
        <f>'Prices by Case'!R29*$C$1-'NG Alphas'!$C32*'Demand by Case'!R29-'NG Alphas'!$C$2*'Demand by Case'!R$31</f>
        <v>0.49809945947094647</v>
      </c>
      <c r="T32" s="3">
        <f>'Prices by Case'!S29*$C$1-'NG Alphas'!$C32*'Demand by Case'!S29-'NG Alphas'!$C$2*'Demand by Case'!S$31</f>
        <v>0.93033232830813839</v>
      </c>
      <c r="U32" s="3">
        <f>'Prices by Case'!T29*$C$1-'NG Alphas'!$C32*'Demand by Case'!T29-'NG Alphas'!$C$2*'Demand by Case'!T$31</f>
        <v>1.0142200486816335</v>
      </c>
      <c r="V32" s="3">
        <f>'Prices by Case'!U29*$C$1-'NG Alphas'!$C32*'Demand by Case'!U29-'NG Alphas'!$C$2*'Demand by Case'!U$31</f>
        <v>1.2592028036054581</v>
      </c>
      <c r="W32" s="3">
        <f>'Prices by Case'!V29*$C$1-'NG Alphas'!$C32*'Demand by Case'!V29-'NG Alphas'!$C$2*'Demand by Case'!V$31</f>
        <v>1.6306245060280276</v>
      </c>
      <c r="X32" s="3">
        <f>'Prices by Case'!W29*$C$1-'NG Alphas'!$C32*'Demand by Case'!W29-'NG Alphas'!$C$2*'Demand by Case'!W$31</f>
        <v>2.1975222162413655</v>
      </c>
      <c r="Y32" s="3">
        <f>'Prices by Case'!X29*$C$1-'NG Alphas'!$C32*'Demand by Case'!X29-'NG Alphas'!$C$2*'Demand by Case'!X$31</f>
        <v>2.6839177728465557</v>
      </c>
      <c r="Z32" s="3">
        <f>'Prices by Case'!Y29*$C$1-'NG Alphas'!$C32*'Demand by Case'!Y29-'NG Alphas'!$C$2*'Demand by Case'!Y$31</f>
        <v>3.1049661079048132</v>
      </c>
      <c r="AA32" s="3">
        <f>'Prices by Case'!Z29*$C$1-'NG Alphas'!$C32*'Demand by Case'!Z29-'NG Alphas'!$C$2*'Demand by Case'!Z$31</f>
        <v>3.3864698398473658</v>
      </c>
      <c r="AB32" s="3">
        <f>'Prices by Case'!AA29*$C$1-'NG Alphas'!$C32*'Demand by Case'!AA29-'NG Alphas'!$C$2*'Demand by Case'!AA$31</f>
        <v>3.5321695957094219</v>
      </c>
      <c r="AC32" s="3">
        <f>'Prices by Case'!AB29*$C$1-'NG Alphas'!$C32*'Demand by Case'!AB29-'NG Alphas'!$C$2*'Demand by Case'!AB$31</f>
        <v>3.6347506795812263</v>
      </c>
      <c r="AD32" s="3">
        <f>'Prices by Case'!AC29*$C$1-'NG Alphas'!$C32*'Demand by Case'!AC29-'NG Alphas'!$C$2*'Demand by Case'!AC$31</f>
        <v>3.8171560670805036</v>
      </c>
      <c r="AE32" s="3">
        <f>'Prices by Case'!AD29*$C$1-'NG Alphas'!$C32*'Demand by Case'!AD29-'NG Alphas'!$C$2*'Demand by Case'!AD$31</f>
        <v>3.8772424105809051</v>
      </c>
      <c r="AF32" s="3">
        <f>'Prices by Case'!AE29*$C$1-'NG Alphas'!$C32*'Demand by Case'!AE29-'NG Alphas'!$C$2*'Demand by Case'!AE$31</f>
        <v>3.8698859115683315</v>
      </c>
      <c r="AG32" s="3">
        <f>'Prices by Case'!AF29*$C$1-'NG Alphas'!$C32*'Demand by Case'!AF29-'NG Alphas'!$C$2*'Demand by Case'!AF$31</f>
        <v>3.7652125072500997</v>
      </c>
      <c r="AH32" s="3">
        <f>'Prices by Case'!AG29*$C$1-'NG Alphas'!$C32*'Demand by Case'!AG29-'NG Alphas'!$C$2*'Demand by Case'!AG$31</f>
        <v>3.8915632360110362</v>
      </c>
      <c r="AI32" s="3">
        <f>'Prices by Case'!AH29*$C$1-'NG Alphas'!$C32*'Demand by Case'!AH29-'NG Alphas'!$C$2*'Demand by Case'!AH$31</f>
        <v>3.907281182332023</v>
      </c>
      <c r="AJ32" s="3">
        <f>'Prices by Case'!AI29*$C$1-'NG Alphas'!$C32*'Demand by Case'!AI29-'NG Alphas'!$C$2*'Demand by Case'!AI$31</f>
        <v>3.8679289740449705</v>
      </c>
      <c r="AK32" s="3">
        <f>'Prices by Case'!AJ29*$C$1-'NG Alphas'!$C32*'Demand by Case'!AJ29-'NG Alphas'!$C$2*'Demand by Case'!AJ$31</f>
        <v>3.8234882975159605</v>
      </c>
      <c r="AL32" s="3">
        <f>'Prices by Case'!AK29*$C$1-'NG Alphas'!$C32*'Demand by Case'!AK29-'NG Alphas'!$C$2*'Demand by Case'!AK$31</f>
        <v>3.8262561323321673</v>
      </c>
      <c r="AM32" s="3">
        <f>'Prices by Case'!AL29*$C$1-'NG Alphas'!$C32*'Demand by Case'!AL29-'NG Alphas'!$C$2*'Demand by Case'!AL$31</f>
        <v>3.88056429430282</v>
      </c>
      <c r="AN32" s="3">
        <f>'Prices by Case'!AM29*$C$1-'NG Alphas'!$C32*'Demand by Case'!AM29-'NG Alphas'!$C$2*'Demand by Case'!AM$31</f>
        <v>4.0187281752108737</v>
      </c>
      <c r="AO32" s="3">
        <f>'Prices by Case'!AN29*$C$1-'NG Alphas'!$C32*'Demand by Case'!AN29-'NG Alphas'!$C$2*'Demand by Case'!AN$31</f>
        <v>4.1253999708184956</v>
      </c>
      <c r="AP32" s="3">
        <f>'Prices by Case'!AO29*$C$1-'NG Alphas'!$C32*'Demand by Case'!AO29-'NG Alphas'!$C$2*'Demand by Case'!AO$31</f>
        <v>4.2716485325350471</v>
      </c>
      <c r="AQ32" s="3">
        <f>'Prices by Case'!AP29*$C$1-'NG Alphas'!$C32*'Demand by Case'!AP29-'NG Alphas'!$C$2*'Demand by Case'!AP$31</f>
        <v>4.4299642903373142</v>
      </c>
      <c r="AR32" s="3">
        <f>'Prices by Case'!AQ29*$C$1-'NG Alphas'!$C32*'Demand by Case'!AQ29-'NG Alphas'!$C$2*'Demand by Case'!AQ$31</f>
        <v>4.5836991169327153</v>
      </c>
      <c r="AS32" s="3"/>
      <c r="AT32" s="11">
        <f>(AH32+'Demand by Case'!AG29*'NG Alphas'!C32+'Demand by Case'!$AG$31*'NG Alphas'!$C$2)/'NG Alphas'!$C$1</f>
        <v>7.8223190000000002</v>
      </c>
      <c r="AU32" s="11">
        <v>9.1653040000000008</v>
      </c>
    </row>
    <row r="33" spans="1:47" x14ac:dyDescent="0.25">
      <c r="A33" t="s">
        <v>16</v>
      </c>
      <c r="B33" t="s">
        <v>7</v>
      </c>
      <c r="C33" s="14">
        <v>8.4871961789308781E-2</v>
      </c>
      <c r="D33" s="3">
        <f>'Prices by Case'!C30*$C$1</f>
        <v>3.9867079797492209</v>
      </c>
      <c r="E33" s="3">
        <f>'Prices by Case'!D30*$C$1-'NG Alphas'!$C33*'Demand by Case'!D30-'NG Alphas'!$C$2*'Demand by Case'!D$11</f>
        <v>2.3949954225043468</v>
      </c>
      <c r="F33" s="3">
        <f>'Prices by Case'!E30*$C$1-'NG Alphas'!$C33*'Demand by Case'!E30-'NG Alphas'!$C$2*'Demand by Case'!E$11</f>
        <v>1.005572996037204</v>
      </c>
      <c r="G33" s="3">
        <f>'Prices by Case'!F30*$C$1-'NG Alphas'!$C33*'Demand by Case'!F30-'NG Alphas'!$C$2*'Demand by Case'!F$11</f>
        <v>1.895342333321627</v>
      </c>
      <c r="H33" s="3">
        <f>'Prices by Case'!G30*$C$1-'NG Alphas'!$C33*'Demand by Case'!G30-'NG Alphas'!$C$2*'Demand by Case'!G$11</f>
        <v>2.3971762347797565</v>
      </c>
      <c r="I33" s="3">
        <f>'Prices by Case'!H30*$C$1-'NG Alphas'!$C33*'Demand by Case'!H30-'NG Alphas'!$C$2*'Demand by Case'!H$11</f>
        <v>0.68153450714485886</v>
      </c>
      <c r="J33" s="3">
        <f>'Prices by Case'!I30*$C$1-'NG Alphas'!$C33*'Demand by Case'!I30-'NG Alphas'!$C$2*'Demand by Case'!I$31</f>
        <v>0.27363172501221689</v>
      </c>
      <c r="K33" s="3">
        <f>'Prices by Case'!J30*$C$1-'NG Alphas'!$C33*'Demand by Case'!J30-'NG Alphas'!$C$2*'Demand by Case'!J$31</f>
        <v>0.83540980960703282</v>
      </c>
      <c r="L33" s="3">
        <f>'Prices by Case'!K30*$C$1-'NG Alphas'!$C33*'Demand by Case'!K30-'NG Alphas'!$C$2*'Demand by Case'!K$31</f>
        <v>0.602674725525012</v>
      </c>
      <c r="M33" s="3">
        <f>'Prices by Case'!L30*$C$1-'NG Alphas'!$C33*'Demand by Case'!L30-'NG Alphas'!$C$2*'Demand by Case'!L$31</f>
        <v>-0.12211052062966887</v>
      </c>
      <c r="N33" s="3">
        <f>'Prices by Case'!M30*$C$1-'NG Alphas'!$C33*'Demand by Case'!M30-'NG Alphas'!$C$2*'Demand by Case'!M$31</f>
        <v>-0.4569989584133991</v>
      </c>
      <c r="O33" s="3">
        <f>'Prices by Case'!N30*$C$1-'NG Alphas'!$C33*'Demand by Case'!N30-'NG Alphas'!$C$2*'Demand by Case'!N$31</f>
        <v>1.5298491349842749</v>
      </c>
      <c r="P33" s="3">
        <f>'Prices by Case'!O30*$C$1-'NG Alphas'!$C33*'Demand by Case'!O30-'NG Alphas'!$C$2*'Demand by Case'!O$31</f>
        <v>2.5497180183886758</v>
      </c>
      <c r="Q33" s="3">
        <f>'Prices by Case'!P30*$C$1-'NG Alphas'!$C33*'Demand by Case'!P30-'NG Alphas'!$C$2*'Demand by Case'!P$31</f>
        <v>-0.48387049716810693</v>
      </c>
      <c r="R33" s="3">
        <f>'Prices by Case'!Q30*$C$1-'NG Alphas'!$C33*'Demand by Case'!Q30-'NG Alphas'!$C$2*'Demand by Case'!Q$31</f>
        <v>-0.82603585665792112</v>
      </c>
      <c r="S33" s="3">
        <f>'Prices by Case'!R30*$C$1-'NG Alphas'!$C33*'Demand by Case'!R30-'NG Alphas'!$C$2*'Demand by Case'!R$31</f>
        <v>0.21078623559843801</v>
      </c>
      <c r="T33" s="3">
        <f>'Prices by Case'!S30*$C$1-'NG Alphas'!$C33*'Demand by Case'!S30-'NG Alphas'!$C$2*'Demand by Case'!S$31</f>
        <v>0.66964706599995472</v>
      </c>
      <c r="U33" s="3">
        <f>'Prices by Case'!T30*$C$1-'NG Alphas'!$C33*'Demand by Case'!T30-'NG Alphas'!$C$2*'Demand by Case'!T$31</f>
        <v>0.73499099330033535</v>
      </c>
      <c r="V33" s="3">
        <f>'Prices by Case'!U30*$C$1-'NG Alphas'!$C33*'Demand by Case'!U30-'NG Alphas'!$C$2*'Demand by Case'!U$31</f>
        <v>1.0289051202798294</v>
      </c>
      <c r="W33" s="3">
        <f>'Prices by Case'!V30*$C$1-'NG Alphas'!$C33*'Demand by Case'!V30-'NG Alphas'!$C$2*'Demand by Case'!V$31</f>
        <v>1.4050775196571674</v>
      </c>
      <c r="X33" s="3">
        <f>'Prices by Case'!W30*$C$1-'NG Alphas'!$C33*'Demand by Case'!W30-'NG Alphas'!$C$2*'Demand by Case'!W$31</f>
        <v>2.0253843488788608</v>
      </c>
      <c r="Y33" s="3">
        <f>'Prices by Case'!X30*$C$1-'NG Alphas'!$C33*'Demand by Case'!X30-'NG Alphas'!$C$2*'Demand by Case'!X$31</f>
        <v>2.5443680515244256</v>
      </c>
      <c r="Z33" s="3">
        <f>'Prices by Case'!Y30*$C$1-'NG Alphas'!$C33*'Demand by Case'!Y30-'NG Alphas'!$C$2*'Demand by Case'!Y$31</f>
        <v>2.9117786664679111</v>
      </c>
      <c r="AA33" s="3">
        <f>'Prices by Case'!Z30*$C$1-'NG Alphas'!$C33*'Demand by Case'!Z30-'NG Alphas'!$C$2*'Demand by Case'!Z$31</f>
        <v>3.2165437318807495</v>
      </c>
      <c r="AB33" s="3">
        <f>'Prices by Case'!AA30*$C$1-'NG Alphas'!$C33*'Demand by Case'!AA30-'NG Alphas'!$C$2*'Demand by Case'!AA$31</f>
        <v>3.423182164533217</v>
      </c>
      <c r="AC33" s="3">
        <f>'Prices by Case'!AB30*$C$1-'NG Alphas'!$C33*'Demand by Case'!AB30-'NG Alphas'!$C$2*'Demand by Case'!AB$31</f>
        <v>3.5287517323573789</v>
      </c>
      <c r="AD33" s="3">
        <f>'Prices by Case'!AC30*$C$1-'NG Alphas'!$C33*'Demand by Case'!AC30-'NG Alphas'!$C$2*'Demand by Case'!AC$31</f>
        <v>3.805995797331418</v>
      </c>
      <c r="AE33" s="3">
        <f>'Prices by Case'!AD30*$C$1-'NG Alphas'!$C33*'Demand by Case'!AD30-'NG Alphas'!$C$2*'Demand by Case'!AD$31</f>
        <v>3.9785593087183564</v>
      </c>
      <c r="AF33" s="3">
        <f>'Prices by Case'!AE30*$C$1-'NG Alphas'!$C33*'Demand by Case'!AE30-'NG Alphas'!$C$2*'Demand by Case'!AE$31</f>
        <v>4.0044049733880724</v>
      </c>
      <c r="AG33" s="3">
        <f>'Prices by Case'!AF30*$C$1-'NG Alphas'!$C33*'Demand by Case'!AF30-'NG Alphas'!$C$2*'Demand by Case'!AF$31</f>
        <v>4.1835930941262136</v>
      </c>
      <c r="AH33" s="3">
        <f>'Prices by Case'!AG30*$C$1-'NG Alphas'!$C33*'Demand by Case'!AG30-'NG Alphas'!$C$2*'Demand by Case'!AG$31</f>
        <v>4.2064101356085484</v>
      </c>
      <c r="AI33" s="3">
        <f>'Prices by Case'!AH30*$C$1-'NG Alphas'!$C33*'Demand by Case'!AH30-'NG Alphas'!$C$2*'Demand by Case'!AH$31</f>
        <v>4.2285926325581267</v>
      </c>
      <c r="AJ33" s="3">
        <f>'Prices by Case'!AI30*$C$1-'NG Alphas'!$C33*'Demand by Case'!AI30-'NG Alphas'!$C$2*'Demand by Case'!AI$31</f>
        <v>4.1893588224563025</v>
      </c>
      <c r="AK33" s="3">
        <f>'Prices by Case'!AJ30*$C$1-'NG Alphas'!$C33*'Demand by Case'!AJ30-'NG Alphas'!$C$2*'Demand by Case'!AJ$31</f>
        <v>4.1054075478603895</v>
      </c>
      <c r="AL33" s="3">
        <f>'Prices by Case'!AK30*$C$1-'NG Alphas'!$C33*'Demand by Case'!AK30-'NG Alphas'!$C$2*'Demand by Case'!AK$31</f>
        <v>4.2584493602650779</v>
      </c>
      <c r="AM33" s="3">
        <f>'Prices by Case'!AL30*$C$1-'NG Alphas'!$C33*'Demand by Case'!AL30-'NG Alphas'!$C$2*'Demand by Case'!AL$31</f>
        <v>4.3125381432056411</v>
      </c>
      <c r="AN33" s="3">
        <f>'Prices by Case'!AM30*$C$1-'NG Alphas'!$C33*'Demand by Case'!AM30-'NG Alphas'!$C$2*'Demand by Case'!AM$31</f>
        <v>4.363276132999494</v>
      </c>
      <c r="AO33" s="3">
        <f>'Prices by Case'!AN30*$C$1-'NG Alphas'!$C33*'Demand by Case'!AN30-'NG Alphas'!$C$2*'Demand by Case'!AN$31</f>
        <v>4.5367869945198933</v>
      </c>
      <c r="AP33" s="3">
        <f>'Prices by Case'!AO30*$C$1-'NG Alphas'!$C33*'Demand by Case'!AO30-'NG Alphas'!$C$2*'Demand by Case'!AO$31</f>
        <v>4.7549472447106558</v>
      </c>
      <c r="AQ33" s="3">
        <f>'Prices by Case'!AP30*$C$1-'NG Alphas'!$C33*'Demand by Case'!AP30-'NG Alphas'!$C$2*'Demand by Case'!AP$31</f>
        <v>4.945171269217612</v>
      </c>
      <c r="AR33" s="3">
        <f>'Prices by Case'!AQ30*$C$1-'NG Alphas'!$C33*'Demand by Case'!AQ30-'NG Alphas'!$C$2*'Demand by Case'!AQ$31</f>
        <v>5.1218673584557433</v>
      </c>
      <c r="AS33" s="3"/>
      <c r="AT33" s="11">
        <f>(AH33+'Demand by Case'!AG30*'NG Alphas'!C33+'Demand by Case'!$AG$31*'NG Alphas'!$C$2)/'NG Alphas'!$C$1</f>
        <v>8.2321729999999995</v>
      </c>
      <c r="AU33" s="11">
        <v>9.0795809999999992</v>
      </c>
    </row>
    <row r="34" spans="1:47" s="4" customFormat="1" x14ac:dyDescent="0.25">
      <c r="A34" s="4" t="s">
        <v>16</v>
      </c>
      <c r="B34" s="4" t="s">
        <v>10</v>
      </c>
      <c r="C34" s="15">
        <v>0.1616781091618244</v>
      </c>
      <c r="D34" s="5">
        <f>'Prices by Case'!C31*$C$1</f>
        <v>4.4779156485186569</v>
      </c>
      <c r="E34" s="5">
        <f>'Prices by Case'!D31*'NG Alphas'!$C$1-'NG Alphas'!$C34*'Demand by Case'!D31</f>
        <v>2.7862634122664289</v>
      </c>
      <c r="F34" s="5">
        <f>'Prices by Case'!E31*'NG Alphas'!$C$1-'NG Alphas'!$C34*'Demand by Case'!E31</f>
        <v>1.383384010839094</v>
      </c>
      <c r="G34" s="5">
        <f>'Prices by Case'!F31*'NG Alphas'!$C$1-'NG Alphas'!$C34*'Demand by Case'!F31</f>
        <v>2.2634442200335387</v>
      </c>
      <c r="H34" s="5">
        <f>'Prices by Case'!G31*'NG Alphas'!$C$1-'NG Alphas'!$C34*'Demand by Case'!G31</f>
        <v>2.7045386743592612</v>
      </c>
      <c r="I34" s="5">
        <f>'Prices by Case'!H31*'NG Alphas'!$C$1-'NG Alphas'!$C34*'Demand by Case'!H31</f>
        <v>0.97271046456208343</v>
      </c>
      <c r="J34" s="5">
        <f>'Prices by Case'!I31*'NG Alphas'!$C$1-'NG Alphas'!$C34*'Demand by Case'!I31</f>
        <v>0.59270812290279373</v>
      </c>
      <c r="K34" s="5">
        <f>'Prices by Case'!J31*'NG Alphas'!$C$1-'NG Alphas'!$C34*'Demand by Case'!J31</f>
        <v>1.0665052949654925</v>
      </c>
      <c r="L34" s="5">
        <f>'Prices by Case'!K31*'NG Alphas'!$C$1-'NG Alphas'!$C34*'Demand by Case'!K31</f>
        <v>0.83735634449237262</v>
      </c>
      <c r="M34" s="5">
        <f>'Prices by Case'!L31*'NG Alphas'!$C$1-'NG Alphas'!$C34*'Demand by Case'!L31</f>
        <v>0.20859262575591786</v>
      </c>
      <c r="N34" s="5">
        <f>'Prices by Case'!M31*'NG Alphas'!$C$1-'NG Alphas'!$C34*'Demand by Case'!M31</f>
        <v>-0.17144334465971744</v>
      </c>
      <c r="O34" s="5">
        <f>'Prices by Case'!N31*'NG Alphas'!$C$1-'NG Alphas'!$C34*'Demand by Case'!N31</f>
        <v>1.7755978764325249</v>
      </c>
      <c r="P34" s="5">
        <f>'Prices by Case'!O31*'NG Alphas'!$C$1-'NG Alphas'!$C34*'Demand by Case'!O31</f>
        <v>2.5601703557872182</v>
      </c>
      <c r="Q34" s="5">
        <f>'Prices by Case'!P31*'NG Alphas'!$C$1-'NG Alphas'!$C34*'Demand by Case'!P31</f>
        <v>-0.18152421332570912</v>
      </c>
      <c r="R34" s="5">
        <f>'Prices by Case'!Q31*'NG Alphas'!$C$1-'NG Alphas'!$C34*'Demand by Case'!Q31</f>
        <v>-0.61280320573605396</v>
      </c>
      <c r="S34" s="5">
        <f>'Prices by Case'!R31*'NG Alphas'!$C$1-'NG Alphas'!$C34*'Demand by Case'!R31</f>
        <v>0.36221818173953935</v>
      </c>
      <c r="T34" s="5">
        <f>'Prices by Case'!S31*'NG Alphas'!$C$1-'NG Alphas'!$C34*'Demand by Case'!S31</f>
        <v>0.8435739580791799</v>
      </c>
      <c r="U34" s="5">
        <f>'Prices by Case'!T31*'NG Alphas'!$C$1-'NG Alphas'!$C34*'Demand by Case'!T31</f>
        <v>0.88723744762753953</v>
      </c>
      <c r="V34" s="5">
        <f>'Prices by Case'!U31*'NG Alphas'!$C$1-'NG Alphas'!$C34*'Demand by Case'!U31</f>
        <v>1.1340419602230771</v>
      </c>
      <c r="W34" s="5">
        <f>'Prices by Case'!V31*'NG Alphas'!$C$1-'NG Alphas'!$C34*'Demand by Case'!V31</f>
        <v>1.4583015944928841</v>
      </c>
      <c r="X34" s="5">
        <f>'Prices by Case'!W31*'NG Alphas'!$C$1-'NG Alphas'!$C34*'Demand by Case'!W31</f>
        <v>2.0101994251326385</v>
      </c>
      <c r="Y34" s="5">
        <f>'Prices by Case'!X31*'NG Alphas'!$C$1-'NG Alphas'!$C34*'Demand by Case'!X31</f>
        <v>2.5287549520627279</v>
      </c>
      <c r="Z34" s="5">
        <f>'Prices by Case'!Y31*'NG Alphas'!$C$1-'NG Alphas'!$C34*'Demand by Case'!Y31</f>
        <v>2.9208021723091759</v>
      </c>
      <c r="AA34" s="5">
        <f>'Prices by Case'!Z31*'NG Alphas'!$C$1-'NG Alphas'!$C34*'Demand by Case'!Z31</f>
        <v>3.2419417630792919</v>
      </c>
      <c r="AB34" s="5">
        <f>'Prices by Case'!AA31*'NG Alphas'!$C$1-'NG Alphas'!$C34*'Demand by Case'!AA31</f>
        <v>3.4599527968341564</v>
      </c>
      <c r="AC34" s="5">
        <f>'Prices by Case'!AB31*'NG Alphas'!$C$1-'NG Alphas'!$C34*'Demand by Case'!AB31</f>
        <v>3.6127626731590015</v>
      </c>
      <c r="AD34" s="5">
        <f>'Prices by Case'!AC31*'NG Alphas'!$C$1-'NG Alphas'!$C34*'Demand by Case'!AC31</f>
        <v>3.8367574773856767</v>
      </c>
      <c r="AE34" s="5">
        <f>'Prices by Case'!AD31*'NG Alphas'!$C$1-'NG Alphas'!$C34*'Demand by Case'!AD31</f>
        <v>3.9705538219025591</v>
      </c>
      <c r="AF34" s="5">
        <f>'Prices by Case'!AE31*'NG Alphas'!$C$1-'NG Alphas'!$C34*'Demand by Case'!AE31</f>
        <v>3.9781326339335616</v>
      </c>
      <c r="AG34" s="5">
        <f>'Prices by Case'!AF31*'NG Alphas'!$C$1-'NG Alphas'!$C34*'Demand by Case'!AF31</f>
        <v>4.0664067038803999</v>
      </c>
      <c r="AH34" s="5">
        <f>'Prices by Case'!AG31*'NG Alphas'!$C$1-'NG Alphas'!$C34*'Demand by Case'!AG31</f>
        <v>4.10179888588649</v>
      </c>
      <c r="AI34" s="5">
        <f>'Prices by Case'!AH31*'NG Alphas'!$C$1-'NG Alphas'!$C34*'Demand by Case'!AH31</f>
        <v>4.1281618675872451</v>
      </c>
      <c r="AJ34" s="5">
        <f>'Prices by Case'!AI31*'NG Alphas'!$C$1-'NG Alphas'!$C34*'Demand by Case'!AI31</f>
        <v>4.0723781017138085</v>
      </c>
      <c r="AK34" s="5">
        <f>'Prices by Case'!AJ31*'NG Alphas'!$C$1-'NG Alphas'!$C34*'Demand by Case'!AJ31</f>
        <v>3.9840190120724284</v>
      </c>
      <c r="AL34" s="5">
        <f>'Prices by Case'!AK31*'NG Alphas'!$C$1-'NG Alphas'!$C34*'Demand by Case'!AK31</f>
        <v>4.0569145545166876</v>
      </c>
      <c r="AM34" s="5">
        <f>'Prices by Case'!AL31*'NG Alphas'!$C$1-'NG Alphas'!$C34*'Demand by Case'!AL31</f>
        <v>4.0806011289311126</v>
      </c>
      <c r="AN34" s="5">
        <f>'Prices by Case'!AM31*'NG Alphas'!$C$1-'NG Alphas'!$C34*'Demand by Case'!AM31</f>
        <v>4.1261040011907397</v>
      </c>
      <c r="AO34" s="5">
        <f>'Prices by Case'!AN31*'NG Alphas'!$C$1-'NG Alphas'!$C34*'Demand by Case'!AN31</f>
        <v>4.2839591326636928</v>
      </c>
      <c r="AP34" s="5">
        <f>'Prices by Case'!AO31*'NG Alphas'!$C$1-'NG Alphas'!$C34*'Demand by Case'!AO31</f>
        <v>4.4553929518368367</v>
      </c>
      <c r="AQ34" s="5">
        <f>'Prices by Case'!AP31*'NG Alphas'!$C$1-'NG Alphas'!$C34*'Demand by Case'!AP31</f>
        <v>4.6176998741064157</v>
      </c>
      <c r="AR34" s="5">
        <f>'Prices by Case'!AQ31*'NG Alphas'!$C$1-'NG Alphas'!$C34*'Demand by Case'!AQ31</f>
        <v>4.8001887662886773</v>
      </c>
      <c r="AS34" s="5"/>
      <c r="AT34" s="12">
        <f>(AH34+'Demand by Case'!AG31*'NG Alphas'!C34)/'NG Alphas'!$C$1</f>
        <v>8.1274029999999993</v>
      </c>
      <c r="AU34" s="12">
        <v>9.6156880000000005</v>
      </c>
    </row>
    <row r="57" spans="15:24" x14ac:dyDescent="0.25">
      <c r="O57" s="9"/>
      <c r="P57" s="9"/>
      <c r="Q57" s="9"/>
      <c r="R57" s="9"/>
      <c r="S57" s="9"/>
      <c r="T57" s="9"/>
      <c r="U57" s="9"/>
      <c r="V57" s="9"/>
      <c r="W57" s="9"/>
      <c r="X57" s="9"/>
    </row>
    <row r="71" spans="14:14" x14ac:dyDescent="0.25">
      <c r="N71" s="9"/>
    </row>
  </sheetData>
  <sortState xmlns:xlrd2="http://schemas.microsoft.com/office/spreadsheetml/2017/richdata2" ref="B5:C13">
    <sortCondition ref="B5:B13"/>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31"/>
  <sheetViews>
    <sheetView workbookViewId="0"/>
  </sheetViews>
  <sheetFormatPr defaultRowHeight="15" x14ac:dyDescent="0.25"/>
  <cols>
    <col min="1" max="1" width="17" bestFit="1" customWidth="1"/>
    <col min="2" max="2" width="16.85546875" bestFit="1" customWidth="1"/>
  </cols>
  <sheetData>
    <row r="1" spans="1:43" s="1" customFormat="1" x14ac:dyDescent="0.25">
      <c r="A1" s="1" t="s">
        <v>15</v>
      </c>
      <c r="C1" s="1">
        <v>2010</v>
      </c>
      <c r="D1" s="2">
        <v>2011</v>
      </c>
      <c r="E1" s="2">
        <v>2012</v>
      </c>
      <c r="F1" s="2">
        <v>2013</v>
      </c>
      <c r="G1" s="2">
        <v>2014</v>
      </c>
      <c r="H1" s="2">
        <v>2015</v>
      </c>
      <c r="I1" s="2">
        <v>2016</v>
      </c>
      <c r="J1" s="2">
        <v>2017</v>
      </c>
      <c r="K1" s="2">
        <v>2018</v>
      </c>
      <c r="L1" s="2">
        <v>2019</v>
      </c>
      <c r="M1" s="2">
        <v>2020</v>
      </c>
      <c r="N1" s="2">
        <v>2021</v>
      </c>
      <c r="O1" s="2">
        <v>2022</v>
      </c>
      <c r="P1" s="2">
        <v>2023</v>
      </c>
      <c r="Q1" s="2">
        <v>2024</v>
      </c>
      <c r="R1" s="2">
        <v>2025</v>
      </c>
      <c r="S1" s="2">
        <v>2026</v>
      </c>
      <c r="T1" s="2">
        <v>2027</v>
      </c>
      <c r="U1" s="2">
        <v>2028</v>
      </c>
      <c r="V1" s="2">
        <v>2029</v>
      </c>
      <c r="W1" s="2">
        <v>2030</v>
      </c>
      <c r="X1" s="2">
        <v>2031</v>
      </c>
      <c r="Y1" s="2">
        <v>2032</v>
      </c>
      <c r="Z1" s="2">
        <v>2033</v>
      </c>
      <c r="AA1" s="2">
        <v>2034</v>
      </c>
      <c r="AB1" s="2">
        <v>2035</v>
      </c>
      <c r="AC1" s="2">
        <v>2036</v>
      </c>
      <c r="AD1" s="2">
        <v>2037</v>
      </c>
      <c r="AE1" s="2">
        <v>2038</v>
      </c>
      <c r="AF1" s="2">
        <v>2039</v>
      </c>
      <c r="AG1" s="2">
        <v>2040</v>
      </c>
      <c r="AH1" s="2">
        <v>2041</v>
      </c>
      <c r="AI1" s="2">
        <v>2042</v>
      </c>
      <c r="AJ1" s="2">
        <v>2043</v>
      </c>
      <c r="AK1" s="2">
        <v>2044</v>
      </c>
      <c r="AL1" s="2">
        <v>2045</v>
      </c>
      <c r="AM1" s="2">
        <v>2046</v>
      </c>
      <c r="AN1" s="2">
        <v>2047</v>
      </c>
      <c r="AO1" s="2">
        <v>2048</v>
      </c>
      <c r="AP1" s="2">
        <v>2049</v>
      </c>
      <c r="AQ1" s="2">
        <v>2050</v>
      </c>
    </row>
    <row r="2" spans="1:43" x14ac:dyDescent="0.25">
      <c r="A2" t="s">
        <v>0</v>
      </c>
      <c r="B2" t="s">
        <v>1</v>
      </c>
      <c r="C2" s="3" t="e">
        <f>'Prices by Case'!#REF!/'Prices by Case'!#REF!</f>
        <v>#REF!</v>
      </c>
      <c r="D2" s="3" t="e">
        <f>'Prices by Case'!#REF!/'Prices by Case'!#REF!</f>
        <v>#REF!</v>
      </c>
      <c r="E2" s="3" t="e">
        <f>'Prices by Case'!#REF!/'Prices by Case'!#REF!</f>
        <v>#REF!</v>
      </c>
      <c r="F2" s="3" t="e">
        <f>'Prices by Case'!#REF!/'Prices by Case'!#REF!</f>
        <v>#REF!</v>
      </c>
      <c r="G2" s="3" t="e">
        <f>'Prices by Case'!#REF!/'Prices by Case'!#REF!</f>
        <v>#REF!</v>
      </c>
      <c r="H2" s="3" t="e">
        <f>'Prices by Case'!#REF!/'Prices by Case'!#REF!</f>
        <v>#REF!</v>
      </c>
      <c r="I2" s="3">
        <f>'Prices by Case'!I2/'Prices by Case'!I$11</f>
        <v>0.96157475397451975</v>
      </c>
      <c r="J2" s="3">
        <f>'Prices by Case'!J2/'Prices by Case'!J$11</f>
        <v>0.98279300342847609</v>
      </c>
      <c r="K2" s="3">
        <f>'Prices by Case'!K2/'Prices by Case'!K$11</f>
        <v>0.95599994740924821</v>
      </c>
      <c r="L2" s="3">
        <f>'Prices by Case'!L2/'Prices by Case'!L$11</f>
        <v>0.87725611185151764</v>
      </c>
      <c r="M2" s="3">
        <f>'Prices by Case'!M2/'Prices by Case'!M$11</f>
        <v>0.82088996698302652</v>
      </c>
      <c r="N2" s="3">
        <f>'Prices by Case'!N2/'Prices by Case'!N$11</f>
        <v>0.8749061785172545</v>
      </c>
      <c r="O2" s="3">
        <f>'Prices by Case'!O2/'Prices by Case'!O$11</f>
        <v>0.89587483641523913</v>
      </c>
      <c r="P2" s="3">
        <f>'Prices by Case'!P2/'Prices by Case'!P$11</f>
        <v>0.82088996698302652</v>
      </c>
      <c r="Q2" s="3">
        <f>'Prices by Case'!Q2/'Prices by Case'!Q$11</f>
        <v>0.83889548682686499</v>
      </c>
      <c r="R2" s="3">
        <f>'Prices by Case'!R2/'Prices by Case'!R$11</f>
        <v>0.8987459014757696</v>
      </c>
      <c r="S2" s="3">
        <f>'Prices by Case'!S2/'Prices by Case'!S$11</f>
        <v>0.89892809624036674</v>
      </c>
      <c r="T2" s="3">
        <f>'Prices by Case'!T2/'Prices by Case'!T$11</f>
        <v>0.89669513031504577</v>
      </c>
      <c r="U2" s="3">
        <f>'Prices by Case'!U2/'Prices by Case'!U$11</f>
        <v>0.89971030823919851</v>
      </c>
      <c r="V2" s="3">
        <f>'Prices by Case'!V2/'Prices by Case'!V$11</f>
        <v>0.89390271508112595</v>
      </c>
      <c r="W2" s="3">
        <f>'Prices by Case'!W2/'Prices by Case'!W$11</f>
        <v>0.88867933215642225</v>
      </c>
      <c r="X2" s="3">
        <f>'Prices by Case'!X2/'Prices by Case'!X$11</f>
        <v>0.89281985580623668</v>
      </c>
      <c r="Y2" s="3">
        <f>'Prices by Case'!Y2/'Prices by Case'!Y$11</f>
        <v>0.89914084175794451</v>
      </c>
      <c r="Z2" s="3">
        <f>'Prices by Case'!Z2/'Prices by Case'!Z$11</f>
        <v>0.89746685204809395</v>
      </c>
      <c r="AA2" s="3">
        <f>'Prices by Case'!AA2/'Prices by Case'!AA$11</f>
        <v>0.89199376003514563</v>
      </c>
      <c r="AB2" s="3">
        <f>'Prices by Case'!AB2/'Prices by Case'!AB$11</f>
        <v>0.89520977893653464</v>
      </c>
      <c r="AC2" s="3">
        <f>'Prices by Case'!AC2/'Prices by Case'!AC$11</f>
        <v>0.89678558924569518</v>
      </c>
      <c r="AD2" s="3">
        <f>'Prices by Case'!AD2/'Prices by Case'!AD$11</f>
        <v>0.88414899427121252</v>
      </c>
      <c r="AE2" s="3">
        <f>'Prices by Case'!AE2/'Prices by Case'!AE$11</f>
        <v>0.85998829716897451</v>
      </c>
      <c r="AF2" s="3">
        <f>'Prices by Case'!AF2/'Prices by Case'!AF$11</f>
        <v>0.85978130210283199</v>
      </c>
      <c r="AG2" s="3">
        <f>'Prices by Case'!AG2/'Prices by Case'!AG$11</f>
        <v>0.84992193150437956</v>
      </c>
      <c r="AH2" s="3">
        <f>'Prices by Case'!AH2/'Prices by Case'!AH$11</f>
        <v>0.84662060605123635</v>
      </c>
      <c r="AI2" s="3">
        <f>'Prices by Case'!AI2/'Prices by Case'!AI$11</f>
        <v>0.84145118708212774</v>
      </c>
      <c r="AJ2" s="3">
        <f>'Prices by Case'!AJ2/'Prices by Case'!AJ$11</f>
        <v>0.83277567017501009</v>
      </c>
      <c r="AK2" s="3">
        <f>'Prices by Case'!AK2/'Prices by Case'!AK$11</f>
        <v>0.82739397877060594</v>
      </c>
      <c r="AL2" s="3">
        <f>'Prices by Case'!AL2/'Prices by Case'!AL$11</f>
        <v>0.82824988393096444</v>
      </c>
      <c r="AM2" s="3">
        <f>'Prices by Case'!AM2/'Prices by Case'!AM$11</f>
        <v>0.82458147512827362</v>
      </c>
      <c r="AN2" s="3">
        <f>'Prices by Case'!AN2/'Prices by Case'!AN$11</f>
        <v>0.81466909021928857</v>
      </c>
      <c r="AO2" s="3">
        <f>'Prices by Case'!AO2/'Prices by Case'!AO$11</f>
        <v>0.81573160722182636</v>
      </c>
      <c r="AP2" s="3">
        <f>'Prices by Case'!AP2/'Prices by Case'!AP$11</f>
        <v>0.8150808248907575</v>
      </c>
      <c r="AQ2" s="3">
        <f>'Prices by Case'!AQ2/'Prices by Case'!AQ$11</f>
        <v>0.81689427644221446</v>
      </c>
    </row>
    <row r="3" spans="1:43" x14ac:dyDescent="0.25">
      <c r="A3" t="s">
        <v>0</v>
      </c>
      <c r="B3" t="s">
        <v>2</v>
      </c>
      <c r="C3" s="3" t="e">
        <f>'Prices by Case'!#REF!/'Prices by Case'!#REF!</f>
        <v>#REF!</v>
      </c>
      <c r="D3" s="3" t="e">
        <f>'Prices by Case'!#REF!/'Prices by Case'!#REF!</f>
        <v>#REF!</v>
      </c>
      <c r="E3" s="3" t="e">
        <f>'Prices by Case'!#REF!/'Prices by Case'!#REF!</f>
        <v>#REF!</v>
      </c>
      <c r="F3" s="3" t="e">
        <f>'Prices by Case'!#REF!/'Prices by Case'!#REF!</f>
        <v>#REF!</v>
      </c>
      <c r="G3" s="3" t="e">
        <f>'Prices by Case'!#REF!/'Prices by Case'!#REF!</f>
        <v>#REF!</v>
      </c>
      <c r="H3" s="3" t="e">
        <f>'Prices by Case'!#REF!/'Prices by Case'!#REF!</f>
        <v>#REF!</v>
      </c>
      <c r="I3" s="3">
        <f>'Prices by Case'!I3/'Prices by Case'!I$11</f>
        <v>0.89344168408651159</v>
      </c>
      <c r="J3" s="3">
        <f>'Prices by Case'!J3/'Prices by Case'!J$11</f>
        <v>0.93861802279208029</v>
      </c>
      <c r="K3" s="3">
        <f>'Prices by Case'!K3/'Prices by Case'!K$11</f>
        <v>0.94263634517647854</v>
      </c>
      <c r="L3" s="3">
        <f>'Prices by Case'!L3/'Prices by Case'!L$11</f>
        <v>0.93946249986882557</v>
      </c>
      <c r="M3" s="3">
        <f>'Prices by Case'!M3/'Prices by Case'!M$11</f>
        <v>0.93480690116439891</v>
      </c>
      <c r="N3" s="3">
        <f>'Prices by Case'!N3/'Prices by Case'!N$11</f>
        <v>0.99724706165195331</v>
      </c>
      <c r="O3" s="3">
        <f>'Prices by Case'!O3/'Prices by Case'!O$11</f>
        <v>1.0520117987578741</v>
      </c>
      <c r="P3" s="3">
        <f>'Prices by Case'!P3/'Prices by Case'!P$11</f>
        <v>0.9348069011643988</v>
      </c>
      <c r="Q3" s="3">
        <f>'Prices by Case'!Q3/'Prices by Case'!Q$11</f>
        <v>0.97114887946209782</v>
      </c>
      <c r="R3" s="3">
        <f>'Prices by Case'!R3/'Prices by Case'!R$11</f>
        <v>0.99540661193203916</v>
      </c>
      <c r="S3" s="3">
        <f>'Prices by Case'!S3/'Prices by Case'!S$11</f>
        <v>0.99386851530756637</v>
      </c>
      <c r="T3" s="3">
        <f>'Prices by Case'!T3/'Prices by Case'!T$11</f>
        <v>0.99117370431146667</v>
      </c>
      <c r="U3" s="3">
        <f>'Prices by Case'!U3/'Prices by Case'!U$11</f>
        <v>1.0184702516361317</v>
      </c>
      <c r="V3" s="3">
        <f>'Prices by Case'!V3/'Prices by Case'!V$11</f>
        <v>1.0128226373874791</v>
      </c>
      <c r="W3" s="3">
        <f>'Prices by Case'!W3/'Prices by Case'!W$11</f>
        <v>1.0235489054319553</v>
      </c>
      <c r="X3" s="3">
        <f>'Prices by Case'!X3/'Prices by Case'!X$11</f>
        <v>1.0177759552576311</v>
      </c>
      <c r="Y3" s="3">
        <f>'Prices by Case'!Y3/'Prices by Case'!Y$11</f>
        <v>1.0102997099867965</v>
      </c>
      <c r="Z3" s="3">
        <f>'Prices by Case'!Z3/'Prices by Case'!Z$11</f>
        <v>1.0147383321729653</v>
      </c>
      <c r="AA3" s="3">
        <f>'Prices by Case'!AA3/'Prices by Case'!AA$11</f>
        <v>1.0164760930339927</v>
      </c>
      <c r="AB3" s="3">
        <f>'Prices by Case'!AB3/'Prices by Case'!AB$11</f>
        <v>1.0200986098974136</v>
      </c>
      <c r="AC3" s="3">
        <f>'Prices by Case'!AC3/'Prices by Case'!AC$11</f>
        <v>1.0122801358505857</v>
      </c>
      <c r="AD3" s="3">
        <f>'Prices by Case'!AD3/'Prices by Case'!AD$11</f>
        <v>1.0120465730088843</v>
      </c>
      <c r="AE3" s="3">
        <f>'Prices by Case'!AE3/'Prices by Case'!AE$11</f>
        <v>1.0081627246402185</v>
      </c>
      <c r="AF3" s="3">
        <f>'Prices by Case'!AF3/'Prices by Case'!AF$11</f>
        <v>1.0010035506120445</v>
      </c>
      <c r="AG3" s="3">
        <f>'Prices by Case'!AG3/'Prices by Case'!AG$11</f>
        <v>0.99755341293558675</v>
      </c>
      <c r="AH3" s="3">
        <f>'Prices by Case'!AH3/'Prices by Case'!AH$11</f>
        <v>0.99163788162396083</v>
      </c>
      <c r="AI3" s="3">
        <f>'Prices by Case'!AI3/'Prices by Case'!AI$11</f>
        <v>0.97880502725373697</v>
      </c>
      <c r="AJ3" s="3">
        <f>'Prices by Case'!AJ3/'Prices by Case'!AJ$11</f>
        <v>0.98959378883373883</v>
      </c>
      <c r="AK3" s="3">
        <f>'Prices by Case'!AK3/'Prices by Case'!AK$11</f>
        <v>0.99680847102943904</v>
      </c>
      <c r="AL3" s="3">
        <f>'Prices by Case'!AL3/'Prices by Case'!AL$11</f>
        <v>1.0022725324944233</v>
      </c>
      <c r="AM3" s="3">
        <f>'Prices by Case'!AM3/'Prices by Case'!AM$11</f>
        <v>1.009539789806523</v>
      </c>
      <c r="AN3" s="3">
        <f>'Prices by Case'!AN3/'Prices by Case'!AN$11</f>
        <v>1.005248822126203</v>
      </c>
      <c r="AO3" s="3">
        <f>'Prices by Case'!AO3/'Prices by Case'!AO$11</f>
        <v>0.99683506488182405</v>
      </c>
      <c r="AP3" s="3">
        <f>'Prices by Case'!AP3/'Prices by Case'!AP$11</f>
        <v>0.97076661331719571</v>
      </c>
      <c r="AQ3" s="3">
        <f>'Prices by Case'!AQ3/'Prices by Case'!AQ$11</f>
        <v>0.94980923567114661</v>
      </c>
    </row>
    <row r="4" spans="1:43" x14ac:dyDescent="0.25">
      <c r="A4" t="s">
        <v>0</v>
      </c>
      <c r="B4" t="s">
        <v>3</v>
      </c>
      <c r="C4" s="3" t="e">
        <f>'Prices by Case'!#REF!/'Prices by Case'!#REF!</f>
        <v>#REF!</v>
      </c>
      <c r="D4" s="3" t="e">
        <f>'Prices by Case'!#REF!/'Prices by Case'!#REF!</f>
        <v>#REF!</v>
      </c>
      <c r="E4" s="3" t="e">
        <f>'Prices by Case'!#REF!/'Prices by Case'!#REF!</f>
        <v>#REF!</v>
      </c>
      <c r="F4" s="3" t="e">
        <f>'Prices by Case'!#REF!/'Prices by Case'!#REF!</f>
        <v>#REF!</v>
      </c>
      <c r="G4" s="3" t="e">
        <f>'Prices by Case'!#REF!/'Prices by Case'!#REF!</f>
        <v>#REF!</v>
      </c>
      <c r="H4" s="3" t="e">
        <f>'Prices by Case'!#REF!/'Prices by Case'!#REF!</f>
        <v>#REF!</v>
      </c>
      <c r="I4" s="3">
        <f>'Prices by Case'!I4/'Prices by Case'!I$11</f>
        <v>0.97671161054817623</v>
      </c>
      <c r="J4" s="3">
        <f>'Prices by Case'!J4/'Prices by Case'!J$11</f>
        <v>0.96160799410365649</v>
      </c>
      <c r="K4" s="3">
        <f>'Prices by Case'!K4/'Prices by Case'!K$11</f>
        <v>0.99002061265304264</v>
      </c>
      <c r="L4" s="3">
        <f>'Prices by Case'!L4/'Prices by Case'!L$11</f>
        <v>1.0185589007936926</v>
      </c>
      <c r="M4" s="3">
        <f>'Prices by Case'!M4/'Prices by Case'!M$11</f>
        <v>0.98572233464853731</v>
      </c>
      <c r="N4" s="3">
        <f>'Prices by Case'!N4/'Prices by Case'!N$11</f>
        <v>0.89368659342716561</v>
      </c>
      <c r="O4" s="3">
        <f>'Prices by Case'!O4/'Prices by Case'!O$11</f>
        <v>0.82118688142453466</v>
      </c>
      <c r="P4" s="3">
        <f>'Prices by Case'!P4/'Prices by Case'!P$11</f>
        <v>0.98572233464853731</v>
      </c>
      <c r="Q4" s="3">
        <f>'Prices by Case'!Q4/'Prices by Case'!Q$11</f>
        <v>0.83318679180517752</v>
      </c>
      <c r="R4" s="3">
        <f>'Prices by Case'!R4/'Prices by Case'!R$11</f>
        <v>0.86307452590793143</v>
      </c>
      <c r="S4" s="3">
        <f>'Prices by Case'!S4/'Prices by Case'!S$11</f>
        <v>0.90443790928343482</v>
      </c>
      <c r="T4" s="3">
        <f>'Prices by Case'!T4/'Prices by Case'!T$11</f>
        <v>0.87451199015158643</v>
      </c>
      <c r="U4" s="3">
        <f>'Prices by Case'!U4/'Prices by Case'!U$11</f>
        <v>0.83921439632894268</v>
      </c>
      <c r="V4" s="3">
        <f>'Prices by Case'!V4/'Prices by Case'!V$11</f>
        <v>0.80979606489827138</v>
      </c>
      <c r="W4" s="3">
        <f>'Prices by Case'!W4/'Prices by Case'!W$11</f>
        <v>0.80828783925314907</v>
      </c>
      <c r="X4" s="3">
        <f>'Prices by Case'!X4/'Prices by Case'!X$11</f>
        <v>0.80731074040475537</v>
      </c>
      <c r="Y4" s="3">
        <f>'Prices by Case'!Y4/'Prices by Case'!Y$11</f>
        <v>0.79705703494081648</v>
      </c>
      <c r="Z4" s="3">
        <f>'Prices by Case'!Z4/'Prices by Case'!Z$11</f>
        <v>0.8054484658977793</v>
      </c>
      <c r="AA4" s="3">
        <f>'Prices by Case'!AA4/'Prices by Case'!AA$11</f>
        <v>0.80482505684998085</v>
      </c>
      <c r="AB4" s="3">
        <f>'Prices by Case'!AB4/'Prices by Case'!AB$11</f>
        <v>0.803629947119054</v>
      </c>
      <c r="AC4" s="3">
        <f>'Prices by Case'!AC4/'Prices by Case'!AC$11</f>
        <v>0.80215070102385566</v>
      </c>
      <c r="AD4" s="3">
        <f>'Prices by Case'!AD4/'Prices by Case'!AD$11</f>
        <v>0.79760868633726467</v>
      </c>
      <c r="AE4" s="3">
        <f>'Prices by Case'!AE4/'Prices by Case'!AE$11</f>
        <v>0.77793071831884675</v>
      </c>
      <c r="AF4" s="3">
        <f>'Prices by Case'!AF4/'Prices by Case'!AF$11</f>
        <v>0.76064465456909791</v>
      </c>
      <c r="AG4" s="3">
        <f>'Prices by Case'!AG4/'Prices by Case'!AG$11</f>
        <v>0.74611229565463955</v>
      </c>
      <c r="AH4" s="3">
        <f>'Prices by Case'!AH4/'Prices by Case'!AH$11</f>
        <v>0.73945430697977699</v>
      </c>
      <c r="AI4" s="3">
        <f>'Prices by Case'!AI4/'Prices by Case'!AI$11</f>
        <v>0.73536216690341505</v>
      </c>
      <c r="AJ4" s="3">
        <f>'Prices by Case'!AJ4/'Prices by Case'!AJ$11</f>
        <v>0.73173984121972102</v>
      </c>
      <c r="AK4" s="3">
        <f>'Prices by Case'!AK4/'Prices by Case'!AK$11</f>
        <v>0.72879885681513801</v>
      </c>
      <c r="AL4" s="3">
        <f>'Prices by Case'!AL4/'Prices by Case'!AL$11</f>
        <v>0.7260770759456765</v>
      </c>
      <c r="AM4" s="3">
        <f>'Prices by Case'!AM4/'Prices by Case'!AM$11</f>
        <v>0.73434980008313899</v>
      </c>
      <c r="AN4" s="3">
        <f>'Prices by Case'!AN4/'Prices by Case'!AN$11</f>
        <v>0.7310558766001789</v>
      </c>
      <c r="AO4" s="3">
        <f>'Prices by Case'!AO4/'Prices by Case'!AO$11</f>
        <v>0.73043012937986118</v>
      </c>
      <c r="AP4" s="3">
        <f>'Prices by Case'!AP4/'Prices by Case'!AP$11</f>
        <v>0.72420690216521</v>
      </c>
      <c r="AQ4" s="3">
        <f>'Prices by Case'!AQ4/'Prices by Case'!AQ$11</f>
        <v>0.7089555067123523</v>
      </c>
    </row>
    <row r="5" spans="1:43" x14ac:dyDescent="0.25">
      <c r="A5" t="s">
        <v>0</v>
      </c>
      <c r="B5" t="s">
        <v>4</v>
      </c>
      <c r="C5" s="3" t="e">
        <f>'Prices by Case'!#REF!/'Prices by Case'!#REF!</f>
        <v>#REF!</v>
      </c>
      <c r="D5" s="3" t="e">
        <f>'Prices by Case'!#REF!/'Prices by Case'!#REF!</f>
        <v>#REF!</v>
      </c>
      <c r="E5" s="3" t="e">
        <f>'Prices by Case'!#REF!/'Prices by Case'!#REF!</f>
        <v>#REF!</v>
      </c>
      <c r="F5" s="3" t="e">
        <f>'Prices by Case'!#REF!/'Prices by Case'!#REF!</f>
        <v>#REF!</v>
      </c>
      <c r="G5" s="3" t="e">
        <f>'Prices by Case'!#REF!/'Prices by Case'!#REF!</f>
        <v>#REF!</v>
      </c>
      <c r="H5" s="3" t="e">
        <f>'Prices by Case'!#REF!/'Prices by Case'!#REF!</f>
        <v>#REF!</v>
      </c>
      <c r="I5" s="3">
        <f>'Prices by Case'!I5/'Prices by Case'!I$11</f>
        <v>0.94558224553049708</v>
      </c>
      <c r="J5" s="3">
        <f>'Prices by Case'!J5/'Prices by Case'!J$11</f>
        <v>0.9698285473618623</v>
      </c>
      <c r="K5" s="3">
        <f>'Prices by Case'!K5/'Prices by Case'!K$11</f>
        <v>1.009533534639045</v>
      </c>
      <c r="L5" s="3">
        <f>'Prices by Case'!L5/'Prices by Case'!L$11</f>
        <v>1.0146698428356054</v>
      </c>
      <c r="M5" s="3">
        <f>'Prices by Case'!M5/'Prices by Case'!M$11</f>
        <v>1.0514143039776036</v>
      </c>
      <c r="N5" s="3">
        <f>'Prices by Case'!N5/'Prices by Case'!N$11</f>
        <v>1.056850041179499</v>
      </c>
      <c r="O5" s="3">
        <f>'Prices by Case'!O5/'Prices by Case'!O$11</f>
        <v>1.0394458110834079</v>
      </c>
      <c r="P5" s="3">
        <f>'Prices by Case'!P5/'Prices by Case'!P$11</f>
        <v>1.0514143039776036</v>
      </c>
      <c r="Q5" s="3">
        <f>'Prices by Case'!Q5/'Prices by Case'!Q$11</f>
        <v>1.0430542069044004</v>
      </c>
      <c r="R5" s="3">
        <f>'Prices by Case'!R5/'Prices by Case'!R$11</f>
        <v>1.044182811840241</v>
      </c>
      <c r="S5" s="3">
        <f>'Prices by Case'!S5/'Prices by Case'!S$11</f>
        <v>1.0267969433663959</v>
      </c>
      <c r="T5" s="3">
        <f>'Prices by Case'!T5/'Prices by Case'!T$11</f>
        <v>1.035437839185914</v>
      </c>
      <c r="U5" s="3">
        <f>'Prices by Case'!U5/'Prices by Case'!U$11</f>
        <v>1.0649300359387137</v>
      </c>
      <c r="V5" s="3">
        <f>'Prices by Case'!V5/'Prices by Case'!V$11</f>
        <v>1.0763645475104737</v>
      </c>
      <c r="W5" s="3">
        <f>'Prices by Case'!W5/'Prices by Case'!W$11</f>
        <v>1.1252256247992909</v>
      </c>
      <c r="X5" s="3">
        <f>'Prices by Case'!X5/'Prices by Case'!X$11</f>
        <v>1.149017683859159</v>
      </c>
      <c r="Y5" s="3">
        <f>'Prices by Case'!Y5/'Prices by Case'!Y$11</f>
        <v>1.1706579444253884</v>
      </c>
      <c r="Z5" s="3">
        <f>'Prices by Case'!Z5/'Prices by Case'!Z$11</f>
        <v>1.1654180088360626</v>
      </c>
      <c r="AA5" s="3">
        <f>'Prices by Case'!AA5/'Prices by Case'!AA$11</f>
        <v>1.1700884770468341</v>
      </c>
      <c r="AB5" s="3">
        <f>'Prices by Case'!AB5/'Prices by Case'!AB$11</f>
        <v>1.1735878959570651</v>
      </c>
      <c r="AC5" s="3">
        <f>'Prices by Case'!AC5/'Prices by Case'!AC$11</f>
        <v>1.16672998007738</v>
      </c>
      <c r="AD5" s="3">
        <f>'Prices by Case'!AD5/'Prices by Case'!AD$11</f>
        <v>1.173617016645881</v>
      </c>
      <c r="AE5" s="3">
        <f>'Prices by Case'!AE5/'Prices by Case'!AE$11</f>
        <v>1.1875155212252033</v>
      </c>
      <c r="AF5" s="3">
        <f>'Prices by Case'!AF5/'Prices by Case'!AF$11</f>
        <v>1.2052348581681944</v>
      </c>
      <c r="AG5" s="3">
        <f>'Prices by Case'!AG5/'Prices by Case'!AG$11</f>
        <v>1.2312764970553478</v>
      </c>
      <c r="AH5" s="3">
        <f>'Prices by Case'!AH5/'Prices by Case'!AH$11</f>
        <v>1.2517006725389443</v>
      </c>
      <c r="AI5" s="3">
        <f>'Prices by Case'!AI5/'Prices by Case'!AI$11</f>
        <v>1.2672411352056032</v>
      </c>
      <c r="AJ5" s="3">
        <f>'Prices by Case'!AJ5/'Prices by Case'!AJ$11</f>
        <v>1.2772252204230097</v>
      </c>
      <c r="AK5" s="3">
        <f>'Prices by Case'!AK5/'Prices by Case'!AK$11</f>
        <v>1.2857787968645591</v>
      </c>
      <c r="AL5" s="3">
        <f>'Prices by Case'!AL5/'Prices by Case'!AL$11</f>
        <v>1.2964840404803437</v>
      </c>
      <c r="AM5" s="3">
        <f>'Prices by Case'!AM5/'Prices by Case'!AM$11</f>
        <v>1.301239014959628</v>
      </c>
      <c r="AN5" s="3">
        <f>'Prices by Case'!AN5/'Prices by Case'!AN$11</f>
        <v>1.3113378576535168</v>
      </c>
      <c r="AO5" s="3">
        <f>'Prices by Case'!AO5/'Prices by Case'!AO$11</f>
        <v>1.3105624748684874</v>
      </c>
      <c r="AP5" s="3">
        <f>'Prices by Case'!AP5/'Prices by Case'!AP$11</f>
        <v>1.3077379735871459</v>
      </c>
      <c r="AQ5" s="3">
        <f>'Prices by Case'!AQ5/'Prices by Case'!AQ$11</f>
        <v>1.3392904997727155</v>
      </c>
    </row>
    <row r="6" spans="1:43" x14ac:dyDescent="0.25">
      <c r="A6" t="s">
        <v>0</v>
      </c>
      <c r="B6" t="s">
        <v>5</v>
      </c>
      <c r="C6" s="3" t="e">
        <f>'Prices by Case'!#REF!/'Prices by Case'!#REF!</f>
        <v>#REF!</v>
      </c>
      <c r="D6" s="3" t="e">
        <f>'Prices by Case'!#REF!/'Prices by Case'!#REF!</f>
        <v>#REF!</v>
      </c>
      <c r="E6" s="3" t="e">
        <f>'Prices by Case'!#REF!/'Prices by Case'!#REF!</f>
        <v>#REF!</v>
      </c>
      <c r="F6" s="3" t="e">
        <f>'Prices by Case'!#REF!/'Prices by Case'!#REF!</f>
        <v>#REF!</v>
      </c>
      <c r="G6" s="3" t="e">
        <f>'Prices by Case'!#REF!/'Prices by Case'!#REF!</f>
        <v>#REF!</v>
      </c>
      <c r="H6" s="3" t="e">
        <f>'Prices by Case'!#REF!/'Prices by Case'!#REF!</f>
        <v>#REF!</v>
      </c>
      <c r="I6" s="3">
        <f>'Prices by Case'!I6/'Prices by Case'!I$11</f>
        <v>1.373480110014331</v>
      </c>
      <c r="J6" s="3">
        <f>'Prices by Case'!J6/'Prices by Case'!J$11</f>
        <v>1.23799708932932</v>
      </c>
      <c r="K6" s="3">
        <f>'Prices by Case'!K6/'Prices by Case'!K$11</f>
        <v>1.3770254378545312</v>
      </c>
      <c r="L6" s="3">
        <f>'Prices by Case'!L6/'Prices by Case'!L$11</f>
        <v>1.5627905512472062</v>
      </c>
      <c r="M6" s="3">
        <f>'Prices by Case'!M6/'Prices by Case'!M$11</f>
        <v>1.651007199506114</v>
      </c>
      <c r="N6" s="3">
        <f>'Prices by Case'!N6/'Prices by Case'!N$11</f>
        <v>1.3341433295134757</v>
      </c>
      <c r="O6" s="3">
        <f>'Prices by Case'!O6/'Prices by Case'!O$11</f>
        <v>1.1873845540658408</v>
      </c>
      <c r="P6" s="3">
        <f>'Prices by Case'!P6/'Prices by Case'!P$11</f>
        <v>1.651007199506114</v>
      </c>
      <c r="Q6" s="3">
        <f>'Prices by Case'!Q6/'Prices by Case'!Q$11</f>
        <v>1.4371759030659914</v>
      </c>
      <c r="R6" s="3">
        <f>'Prices by Case'!R6/'Prices by Case'!R$11</f>
        <v>1.2499232640328624</v>
      </c>
      <c r="S6" s="3">
        <f>'Prices by Case'!S6/'Prices by Case'!S$11</f>
        <v>1.242402821107558</v>
      </c>
      <c r="T6" s="3">
        <f>'Prices by Case'!T6/'Prices by Case'!T$11</f>
        <v>1.1393064987059365</v>
      </c>
      <c r="U6" s="3">
        <f>'Prices by Case'!U6/'Prices by Case'!U$11</f>
        <v>1.0554459282756421</v>
      </c>
      <c r="V6" s="3">
        <f>'Prices by Case'!V6/'Prices by Case'!V$11</f>
        <v>0.98933871875322588</v>
      </c>
      <c r="W6" s="3">
        <f>'Prices by Case'!W6/'Prices by Case'!W$11</f>
        <v>0.91190739431550805</v>
      </c>
      <c r="X6" s="3">
        <f>'Prices by Case'!X6/'Prices by Case'!X$11</f>
        <v>0.93676912803582679</v>
      </c>
      <c r="Y6" s="3">
        <f>'Prices by Case'!Y6/'Prices by Case'!Y$11</f>
        <v>0.9345856634506452</v>
      </c>
      <c r="Z6" s="3">
        <f>'Prices by Case'!Z6/'Prices by Case'!Z$11</f>
        <v>0.94137269967908177</v>
      </c>
      <c r="AA6" s="3">
        <f>'Prices by Case'!AA6/'Prices by Case'!AA$11</f>
        <v>0.93254346568578539</v>
      </c>
      <c r="AB6" s="3">
        <f>'Prices by Case'!AB6/'Prices by Case'!AB$11</f>
        <v>0.92928199682276169</v>
      </c>
      <c r="AC6" s="3">
        <f>'Prices by Case'!AC6/'Prices by Case'!AC$11</f>
        <v>0.94766513470427971</v>
      </c>
      <c r="AD6" s="3">
        <f>'Prices by Case'!AD6/'Prices by Case'!AD$11</f>
        <v>0.93412540487943341</v>
      </c>
      <c r="AE6" s="3">
        <f>'Prices by Case'!AE6/'Prices by Case'!AE$11</f>
        <v>0.92001068919999163</v>
      </c>
      <c r="AF6" s="3">
        <f>'Prices by Case'!AF6/'Prices by Case'!AF$11</f>
        <v>0.89138181936229111</v>
      </c>
      <c r="AG6" s="3">
        <f>'Prices by Case'!AG6/'Prices by Case'!AG$11</f>
        <v>0.89856130749473806</v>
      </c>
      <c r="AH6" s="3">
        <f>'Prices by Case'!AH6/'Prices by Case'!AH$11</f>
        <v>0.90184628207439654</v>
      </c>
      <c r="AI6" s="3">
        <f>'Prices by Case'!AI6/'Prices by Case'!AI$11</f>
        <v>0.91216664700886707</v>
      </c>
      <c r="AJ6" s="3">
        <f>'Prices by Case'!AJ6/'Prices by Case'!AJ$11</f>
        <v>0.91246449916552919</v>
      </c>
      <c r="AK6" s="3">
        <f>'Prices by Case'!AK6/'Prices by Case'!AK$11</f>
        <v>0.88990139529779666</v>
      </c>
      <c r="AL6" s="3">
        <f>'Prices by Case'!AL6/'Prices by Case'!AL$11</f>
        <v>0.84872012217288217</v>
      </c>
      <c r="AM6" s="3">
        <f>'Prices by Case'!AM6/'Prices by Case'!AM$11</f>
        <v>0.84451083935219018</v>
      </c>
      <c r="AN6" s="3">
        <f>'Prices by Case'!AN6/'Prices by Case'!AN$11</f>
        <v>0.85254340151933683</v>
      </c>
      <c r="AO6" s="3">
        <f>'Prices by Case'!AO6/'Prices by Case'!AO$11</f>
        <v>0.82592638789186634</v>
      </c>
      <c r="AP6" s="3">
        <f>'Prices by Case'!AP6/'Prices by Case'!AP$11</f>
        <v>0.85617628505427412</v>
      </c>
      <c r="AQ6" s="3">
        <f>'Prices by Case'!AQ6/'Prices by Case'!AQ$11</f>
        <v>0.84949588118139563</v>
      </c>
    </row>
    <row r="7" spans="1:43" x14ac:dyDescent="0.25">
      <c r="A7" t="s">
        <v>0</v>
      </c>
      <c r="B7" t="s">
        <v>6</v>
      </c>
      <c r="C7" s="3" t="e">
        <f>'Prices by Case'!#REF!/'Prices by Case'!#REF!</f>
        <v>#REF!</v>
      </c>
      <c r="D7" s="3" t="e">
        <f>'Prices by Case'!#REF!/'Prices by Case'!#REF!</f>
        <v>#REF!</v>
      </c>
      <c r="E7" s="3" t="e">
        <f>'Prices by Case'!#REF!/'Prices by Case'!#REF!</f>
        <v>#REF!</v>
      </c>
      <c r="F7" s="3" t="e">
        <f>'Prices by Case'!#REF!/'Prices by Case'!#REF!</f>
        <v>#REF!</v>
      </c>
      <c r="G7" s="3" t="e">
        <f>'Prices by Case'!#REF!/'Prices by Case'!#REF!</f>
        <v>#REF!</v>
      </c>
      <c r="H7" s="3" t="e">
        <f>'Prices by Case'!#REF!/'Prices by Case'!#REF!</f>
        <v>#REF!</v>
      </c>
      <c r="I7" s="3">
        <f>'Prices by Case'!I7/'Prices by Case'!I$11</f>
        <v>0.97831723616946153</v>
      </c>
      <c r="J7" s="3">
        <f>'Prices by Case'!J7/'Prices by Case'!J$11</f>
        <v>0.96842023276711353</v>
      </c>
      <c r="K7" s="3">
        <f>'Prices by Case'!K7/'Prices by Case'!K$11</f>
        <v>1.0108494721203278</v>
      </c>
      <c r="L7" s="3">
        <f>'Prices by Case'!L7/'Prices by Case'!L$11</f>
        <v>1.0697868678706723</v>
      </c>
      <c r="M7" s="3">
        <f>'Prices by Case'!M7/'Prices by Case'!M$11</f>
        <v>1.1148411316066122</v>
      </c>
      <c r="N7" s="3">
        <f>'Prices by Case'!N7/'Prices by Case'!N$11</f>
        <v>1.1268103298107919</v>
      </c>
      <c r="O7" s="3">
        <f>'Prices by Case'!O7/'Prices by Case'!O$11</f>
        <v>1.0692286007201364</v>
      </c>
      <c r="P7" s="3">
        <f>'Prices by Case'!P7/'Prices by Case'!P$11</f>
        <v>1.114841131606612</v>
      </c>
      <c r="Q7" s="3">
        <f>'Prices by Case'!Q7/'Prices by Case'!Q$11</f>
        <v>1.1669861210794021</v>
      </c>
      <c r="R7" s="3">
        <f>'Prices by Case'!R7/'Prices by Case'!R$11</f>
        <v>1.0927597674828926</v>
      </c>
      <c r="S7" s="3">
        <f>'Prices by Case'!S7/'Prices by Case'!S$11</f>
        <v>1.0515525525623217</v>
      </c>
      <c r="T7" s="3">
        <f>'Prices by Case'!T7/'Prices by Case'!T$11</f>
        <v>1.0462924517163752</v>
      </c>
      <c r="U7" s="3">
        <f>'Prices by Case'!U7/'Prices by Case'!U$11</f>
        <v>1.0891123772799589</v>
      </c>
      <c r="V7" s="3">
        <f>'Prices by Case'!V7/'Prices by Case'!V$11</f>
        <v>1.1134445480128297</v>
      </c>
      <c r="W7" s="3">
        <f>'Prices by Case'!W7/'Prices by Case'!W$11</f>
        <v>1.1714305530219007</v>
      </c>
      <c r="X7" s="3">
        <f>'Prices by Case'!X7/'Prices by Case'!X$11</f>
        <v>1.2038858357608306</v>
      </c>
      <c r="Y7" s="3">
        <f>'Prices by Case'!Y7/'Prices by Case'!Y$11</f>
        <v>1.2095976638690833</v>
      </c>
      <c r="Z7" s="3">
        <f>'Prices by Case'!Z7/'Prices by Case'!Z$11</f>
        <v>1.2003973846512779</v>
      </c>
      <c r="AA7" s="3">
        <f>'Prices by Case'!AA7/'Prices by Case'!AA$11</f>
        <v>1.2045143112529184</v>
      </c>
      <c r="AB7" s="3">
        <f>'Prices by Case'!AB7/'Prices by Case'!AB$11</f>
        <v>1.1976183326514007</v>
      </c>
      <c r="AC7" s="3">
        <f>'Prices by Case'!AC7/'Prices by Case'!AC$11</f>
        <v>1.1736129253550438</v>
      </c>
      <c r="AD7" s="3">
        <f>'Prices by Case'!AD7/'Prices by Case'!AD$11</f>
        <v>1.1572570196294121</v>
      </c>
      <c r="AE7" s="3">
        <f>'Prices by Case'!AE7/'Prices by Case'!AE$11</f>
        <v>1.1542670410958271</v>
      </c>
      <c r="AF7" s="3">
        <f>'Prices by Case'!AF7/'Prices by Case'!AF$11</f>
        <v>1.1499024825324509</v>
      </c>
      <c r="AG7" s="3">
        <f>'Prices by Case'!AG7/'Prices by Case'!AG$11</f>
        <v>1.173067726421261</v>
      </c>
      <c r="AH7" s="3">
        <f>'Prices by Case'!AH7/'Prices by Case'!AH$11</f>
        <v>1.2022313987768753</v>
      </c>
      <c r="AI7" s="3">
        <f>'Prices by Case'!AI7/'Prices by Case'!AI$11</f>
        <v>1.2059478184636014</v>
      </c>
      <c r="AJ7" s="3">
        <f>'Prices by Case'!AJ7/'Prices by Case'!AJ$11</f>
        <v>1.2174323949668739</v>
      </c>
      <c r="AK7" s="3">
        <f>'Prices by Case'!AK7/'Prices by Case'!AK$11</f>
        <v>1.2292357378957377</v>
      </c>
      <c r="AL7" s="3">
        <f>'Prices by Case'!AL7/'Prices by Case'!AL$11</f>
        <v>1.2292669299963606</v>
      </c>
      <c r="AM7" s="3">
        <f>'Prices by Case'!AM7/'Prices by Case'!AM$11</f>
        <v>1.2462133515509379</v>
      </c>
      <c r="AN7" s="3">
        <f>'Prices by Case'!AN7/'Prices by Case'!AN$11</f>
        <v>1.2550485938432749</v>
      </c>
      <c r="AO7" s="3">
        <f>'Prices by Case'!AO7/'Prices by Case'!AO$11</f>
        <v>1.2676600937312741</v>
      </c>
      <c r="AP7" s="3">
        <f>'Prices by Case'!AP7/'Prices by Case'!AP$11</f>
        <v>1.2821339876827309</v>
      </c>
      <c r="AQ7" s="3">
        <f>'Prices by Case'!AQ7/'Prices by Case'!AQ$11</f>
        <v>1.2885411109294629</v>
      </c>
    </row>
    <row r="8" spans="1:43" x14ac:dyDescent="0.25">
      <c r="A8" t="s">
        <v>0</v>
      </c>
      <c r="B8" t="s">
        <v>7</v>
      </c>
      <c r="C8" s="3" t="e">
        <f>'Prices by Case'!#REF!/'Prices by Case'!#REF!</f>
        <v>#REF!</v>
      </c>
      <c r="D8" s="3" t="e">
        <f>'Prices by Case'!#REF!/'Prices by Case'!#REF!</f>
        <v>#REF!</v>
      </c>
      <c r="E8" s="3" t="e">
        <f>'Prices by Case'!#REF!/'Prices by Case'!#REF!</f>
        <v>#REF!</v>
      </c>
      <c r="F8" s="3" t="e">
        <f>'Prices by Case'!#REF!/'Prices by Case'!#REF!</f>
        <v>#REF!</v>
      </c>
      <c r="G8" s="3" t="e">
        <f>'Prices by Case'!#REF!/'Prices by Case'!#REF!</f>
        <v>#REF!</v>
      </c>
      <c r="H8" s="3" t="e">
        <f>'Prices by Case'!#REF!/'Prices by Case'!#REF!</f>
        <v>#REF!</v>
      </c>
      <c r="I8" s="3">
        <f>'Prices by Case'!I8/'Prices by Case'!I$11</f>
        <v>1.2043344392037185</v>
      </c>
      <c r="J8" s="3">
        <f>'Prices by Case'!J8/'Prices by Case'!J$11</f>
        <v>1.1264067640640349</v>
      </c>
      <c r="K8" s="3">
        <f>'Prices by Case'!K8/'Prices by Case'!K$11</f>
        <v>1.0988539598644911</v>
      </c>
      <c r="L8" s="3">
        <f>'Prices by Case'!L8/'Prices by Case'!L$11</f>
        <v>1.1697050150588186</v>
      </c>
      <c r="M8" s="3">
        <f>'Prices by Case'!M8/'Prices by Case'!M$11</f>
        <v>1.1926138566693181</v>
      </c>
      <c r="N8" s="3">
        <f>'Prices by Case'!N8/'Prices by Case'!N$11</f>
        <v>1.1133990768257391</v>
      </c>
      <c r="O8" s="3">
        <f>'Prices by Case'!O8/'Prices by Case'!O$11</f>
        <v>1.1361576487725678</v>
      </c>
      <c r="P8" s="3">
        <f>'Prices by Case'!P8/'Prices by Case'!P$11</f>
        <v>1.1926138566693181</v>
      </c>
      <c r="Q8" s="3">
        <f>'Prices by Case'!Q8/'Prices by Case'!Q$11</f>
        <v>1.3149000611252555</v>
      </c>
      <c r="R8" s="3">
        <f>'Prices by Case'!R8/'Prices by Case'!R$11</f>
        <v>1.2183362375270399</v>
      </c>
      <c r="S8" s="3">
        <f>'Prices by Case'!S8/'Prices by Case'!S$11</f>
        <v>1.2250083767896238</v>
      </c>
      <c r="T8" s="3">
        <f>'Prices by Case'!T8/'Prices by Case'!T$11</f>
        <v>1.2727396338947796</v>
      </c>
      <c r="U8" s="3">
        <f>'Prices by Case'!U8/'Prices by Case'!U$11</f>
        <v>1.2328395491946764</v>
      </c>
      <c r="V8" s="3">
        <f>'Prices by Case'!V8/'Prices by Case'!V$11</f>
        <v>1.2515388482017953</v>
      </c>
      <c r="W8" s="3">
        <f>'Prices by Case'!W8/'Prices by Case'!W$11</f>
        <v>1.1911369158597986</v>
      </c>
      <c r="X8" s="3">
        <f>'Prices by Case'!X8/'Prices by Case'!X$11</f>
        <v>1.155154607381939</v>
      </c>
      <c r="Y8" s="3">
        <f>'Prices by Case'!Y8/'Prices by Case'!Y$11</f>
        <v>1.1275041676878255</v>
      </c>
      <c r="Z8" s="3">
        <f>'Prices by Case'!Z8/'Prices by Case'!Z$11</f>
        <v>1.119706750197756</v>
      </c>
      <c r="AA8" s="3">
        <f>'Prices by Case'!AA8/'Prices by Case'!AA$11</f>
        <v>1.1100221047220713</v>
      </c>
      <c r="AB8" s="3">
        <f>'Prices by Case'!AB8/'Prices by Case'!AB$11</f>
        <v>1.1101097384188912</v>
      </c>
      <c r="AC8" s="3">
        <f>'Prices by Case'!AC8/'Prices by Case'!AC$11</f>
        <v>1.120606049296488</v>
      </c>
      <c r="AD8" s="3">
        <f>'Prices by Case'!AD8/'Prices by Case'!AD$11</f>
        <v>1.1288373003034995</v>
      </c>
      <c r="AE8" s="3">
        <f>'Prices by Case'!AE8/'Prices by Case'!AE$11</f>
        <v>1.1310401467000548</v>
      </c>
      <c r="AF8" s="3">
        <f>'Prices by Case'!AF8/'Prices by Case'!AF$11</f>
        <v>1.132858937497504</v>
      </c>
      <c r="AG8" s="3">
        <f>'Prices by Case'!AG8/'Prices by Case'!AG$11</f>
        <v>1.1263131784586178</v>
      </c>
      <c r="AH8" s="3">
        <f>'Prices by Case'!AH8/'Prices by Case'!AH$11</f>
        <v>1.1096594744415422</v>
      </c>
      <c r="AI8" s="3">
        <f>'Prices by Case'!AI8/'Prices by Case'!AI$11</f>
        <v>1.0982782220044134</v>
      </c>
      <c r="AJ8" s="3">
        <f>'Prices by Case'!AJ8/'Prices by Case'!AJ$11</f>
        <v>1.0960521999849888</v>
      </c>
      <c r="AK8" s="3">
        <f>'Prices by Case'!AK8/'Prices by Case'!AK$11</f>
        <v>1.0913446161074887</v>
      </c>
      <c r="AL8" s="3">
        <f>'Prices by Case'!AL8/'Prices by Case'!AL$11</f>
        <v>1.0838555985618561</v>
      </c>
      <c r="AM8" s="3">
        <f>'Prices by Case'!AM8/'Prices by Case'!AM$11</f>
        <v>1.0808721425803112</v>
      </c>
      <c r="AN8" s="3">
        <f>'Prices by Case'!AN8/'Prices by Case'!AN$11</f>
        <v>1.0623856667877292</v>
      </c>
      <c r="AO8" s="3">
        <f>'Prices by Case'!AO8/'Prices by Case'!AO$11</f>
        <v>1.0472263096516348</v>
      </c>
      <c r="AP8" s="3">
        <f>'Prices by Case'!AP8/'Prices by Case'!AP$11</f>
        <v>1.0373979348534836</v>
      </c>
      <c r="AQ8" s="3">
        <f>'Prices by Case'!AQ8/'Prices by Case'!AQ$11</f>
        <v>1.0268278806333111</v>
      </c>
    </row>
    <row r="9" spans="1:43" x14ac:dyDescent="0.25">
      <c r="A9" t="s">
        <v>0</v>
      </c>
      <c r="B9" t="s">
        <v>8</v>
      </c>
      <c r="C9" s="3" t="e">
        <f>'Prices by Case'!#REF!/'Prices by Case'!#REF!</f>
        <v>#REF!</v>
      </c>
      <c r="D9" s="3" t="e">
        <f>'Prices by Case'!#REF!/'Prices by Case'!#REF!</f>
        <v>#REF!</v>
      </c>
      <c r="E9" s="3" t="e">
        <f>'Prices by Case'!#REF!/'Prices by Case'!#REF!</f>
        <v>#REF!</v>
      </c>
      <c r="F9" s="3" t="e">
        <f>'Prices by Case'!#REF!/'Prices by Case'!#REF!</f>
        <v>#REF!</v>
      </c>
      <c r="G9" s="3" t="e">
        <f>'Prices by Case'!#REF!/'Prices by Case'!#REF!</f>
        <v>#REF!</v>
      </c>
      <c r="H9" s="3" t="e">
        <f>'Prices by Case'!#REF!/'Prices by Case'!#REF!</f>
        <v>#REF!</v>
      </c>
      <c r="I9" s="3">
        <f>'Prices by Case'!I9/'Prices by Case'!I$11</f>
        <v>0.93384992888885254</v>
      </c>
      <c r="J9" s="3">
        <f>'Prices by Case'!J9/'Prices by Case'!J$11</f>
        <v>1.0332269356753321</v>
      </c>
      <c r="K9" s="3">
        <f>'Prices by Case'!K9/'Prices by Case'!K$11</f>
        <v>1.0148504596577803</v>
      </c>
      <c r="L9" s="3">
        <f>'Prices by Case'!L9/'Prices by Case'!L$11</f>
        <v>0.95671700264797355</v>
      </c>
      <c r="M9" s="3">
        <f>'Prices by Case'!M9/'Prices by Case'!M$11</f>
        <v>0.96275222888063849</v>
      </c>
      <c r="N9" s="3">
        <f>'Prices by Case'!N9/'Prices by Case'!N$11</f>
        <v>0.94979926814874005</v>
      </c>
      <c r="O9" s="3">
        <f>'Prices by Case'!O9/'Prices by Case'!O$11</f>
        <v>1.0143863422269408</v>
      </c>
      <c r="P9" s="3">
        <f>'Prices by Case'!P9/'Prices by Case'!P$11</f>
        <v>0.96275222888063861</v>
      </c>
      <c r="Q9" s="3">
        <f>'Prices by Case'!Q9/'Prices by Case'!Q$11</f>
        <v>0.95637051816961982</v>
      </c>
      <c r="R9" s="3">
        <f>'Prices by Case'!R9/'Prices by Case'!R$11</f>
        <v>1.0016230963699215</v>
      </c>
      <c r="S9" s="3">
        <f>'Prices by Case'!S9/'Prices by Case'!S$11</f>
        <v>1.0007049515772763</v>
      </c>
      <c r="T9" s="3">
        <f>'Prices by Case'!T9/'Prices by Case'!T$11</f>
        <v>1.0129107872230629</v>
      </c>
      <c r="U9" s="3">
        <f>'Prices by Case'!U9/'Prices by Case'!U$11</f>
        <v>1.0406698572384674</v>
      </c>
      <c r="V9" s="3">
        <f>'Prices by Case'!V9/'Prices by Case'!V$11</f>
        <v>1.0409401776686209</v>
      </c>
      <c r="W9" s="3">
        <f>'Prices by Case'!W9/'Prices by Case'!W$11</f>
        <v>1.0625288860939357</v>
      </c>
      <c r="X9" s="3">
        <f>'Prices by Case'!X9/'Prices by Case'!X$11</f>
        <v>1.0597700864548607</v>
      </c>
      <c r="Y9" s="3">
        <f>'Prices by Case'!Y9/'Prices by Case'!Y$11</f>
        <v>1.0938394389764194</v>
      </c>
      <c r="Z9" s="3">
        <f>'Prices by Case'!Z9/'Prices by Case'!Z$11</f>
        <v>1.0877520390068667</v>
      </c>
      <c r="AA9" s="3">
        <f>'Prices by Case'!AA9/'Prices by Case'!AA$11</f>
        <v>1.0675869436743406</v>
      </c>
      <c r="AB9" s="3">
        <f>'Prices by Case'!AB9/'Prices by Case'!AB$11</f>
        <v>1.0586780006899728</v>
      </c>
      <c r="AC9" s="3">
        <f>'Prices by Case'!AC9/'Prices by Case'!AC$11</f>
        <v>1.0619562822009785</v>
      </c>
      <c r="AD9" s="3">
        <f>'Prices by Case'!AD9/'Prices by Case'!AD$11</f>
        <v>1.0592119805544515</v>
      </c>
      <c r="AE9" s="3">
        <f>'Prices by Case'!AE9/'Prices by Case'!AE$11</f>
        <v>1.0519716275458841</v>
      </c>
      <c r="AF9" s="3">
        <f>'Prices by Case'!AF9/'Prices by Case'!AF$11</f>
        <v>1.0295768342123646</v>
      </c>
      <c r="AG9" s="3">
        <f>'Prices by Case'!AG9/'Prices by Case'!AG$11</f>
        <v>1.0421316957164075</v>
      </c>
      <c r="AH9" s="3">
        <f>'Prices by Case'!AH9/'Prices by Case'!AH$11</f>
        <v>1.0569931341051431</v>
      </c>
      <c r="AI9" s="3">
        <f>'Prices by Case'!AI9/'Prices by Case'!AI$11</f>
        <v>1.0594701580108061</v>
      </c>
      <c r="AJ9" s="3">
        <f>'Prices by Case'!AJ9/'Prices by Case'!AJ$11</f>
        <v>1.0519435277703562</v>
      </c>
      <c r="AK9" s="3">
        <f>'Prices by Case'!AK9/'Prices by Case'!AK$11</f>
        <v>1.048983807856805</v>
      </c>
      <c r="AL9" s="3">
        <f>'Prices by Case'!AL9/'Prices by Case'!AL$11</f>
        <v>1.0552898585647827</v>
      </c>
      <c r="AM9" s="3">
        <f>'Prices by Case'!AM9/'Prices by Case'!AM$11</f>
        <v>1.0701159944092091</v>
      </c>
      <c r="AN9" s="3">
        <f>'Prices by Case'!AN9/'Prices by Case'!AN$11</f>
        <v>1.0607270182546402</v>
      </c>
      <c r="AO9" s="3">
        <f>'Prices by Case'!AO9/'Prices by Case'!AO$11</f>
        <v>1.0595788023923893</v>
      </c>
      <c r="AP9" s="3">
        <f>'Prices by Case'!AP9/'Prices by Case'!AP$11</f>
        <v>1.0559780161251653</v>
      </c>
      <c r="AQ9" s="3">
        <f>'Prices by Case'!AQ9/'Prices by Case'!AQ$11</f>
        <v>1.0746069837707357</v>
      </c>
    </row>
    <row r="10" spans="1:43" x14ac:dyDescent="0.25">
      <c r="A10" t="s">
        <v>0</v>
      </c>
      <c r="B10" t="s">
        <v>9</v>
      </c>
      <c r="C10" s="3" t="e">
        <f>'Prices by Case'!#REF!/'Prices by Case'!#REF!</f>
        <v>#REF!</v>
      </c>
      <c r="D10" s="3" t="e">
        <f>'Prices by Case'!#REF!/'Prices by Case'!#REF!</f>
        <v>#REF!</v>
      </c>
      <c r="E10" s="3" t="e">
        <f>'Prices by Case'!#REF!/'Prices by Case'!#REF!</f>
        <v>#REF!</v>
      </c>
      <c r="F10" s="3" t="e">
        <f>'Prices by Case'!#REF!/'Prices by Case'!#REF!</f>
        <v>#REF!</v>
      </c>
      <c r="G10" s="3" t="e">
        <f>'Prices by Case'!#REF!/'Prices by Case'!#REF!</f>
        <v>#REF!</v>
      </c>
      <c r="H10" s="3" t="e">
        <f>'Prices by Case'!#REF!/'Prices by Case'!#REF!</f>
        <v>#REF!</v>
      </c>
      <c r="I10" s="3">
        <f>'Prices by Case'!I10/'Prices by Case'!I$11</f>
        <v>0.82635312309523701</v>
      </c>
      <c r="J10" s="3">
        <f>'Prices by Case'!J10/'Prices by Case'!J$11</f>
        <v>0.88177253786540233</v>
      </c>
      <c r="K10" s="3">
        <f>'Prices by Case'!K10/'Prices by Case'!K$11</f>
        <v>0.88610946765011378</v>
      </c>
      <c r="L10" s="3">
        <f>'Prices by Case'!L10/'Prices by Case'!L$11</f>
        <v>0.81354629056349026</v>
      </c>
      <c r="M10" s="3">
        <f>'Prices by Case'!M10/'Prices by Case'!M$11</f>
        <v>0.80043014812081903</v>
      </c>
      <c r="N10" s="3">
        <f>'Prices by Case'!N10/'Prices by Case'!N$11</f>
        <v>0.91337604504751702</v>
      </c>
      <c r="O10" s="3">
        <f>'Prices by Case'!O10/'Prices by Case'!O$11</f>
        <v>0.97881656583895771</v>
      </c>
      <c r="P10" s="3">
        <f>'Prices by Case'!P10/'Prices by Case'!P$11</f>
        <v>0.80043014812081903</v>
      </c>
      <c r="Q10" s="3">
        <f>'Prices by Case'!Q10/'Prices by Case'!Q$11</f>
        <v>0.80747013030876513</v>
      </c>
      <c r="R10" s="3">
        <f>'Prices by Case'!R10/'Prices by Case'!R$11</f>
        <v>0.85617509928161206</v>
      </c>
      <c r="S10" s="3">
        <f>'Prices by Case'!S10/'Prices by Case'!S$11</f>
        <v>0.84663968744002061</v>
      </c>
      <c r="T10" s="3">
        <f>'Prices by Case'!T10/'Prices by Case'!T$11</f>
        <v>0.84542739912473286</v>
      </c>
      <c r="U10" s="3">
        <f>'Prices by Case'!U10/'Prices by Case'!U$11</f>
        <v>0.87990542272362371</v>
      </c>
      <c r="V10" s="3">
        <f>'Prices by Case'!V10/'Prices by Case'!V$11</f>
        <v>0.89155818278223753</v>
      </c>
      <c r="W10" s="3">
        <f>'Prices by Case'!W10/'Prices by Case'!W$11</f>
        <v>0.92201410311628862</v>
      </c>
      <c r="X10" s="3">
        <f>'Prices by Case'!X10/'Prices by Case'!X$11</f>
        <v>0.93049391954518612</v>
      </c>
      <c r="Y10" s="3">
        <f>'Prices by Case'!Y10/'Prices by Case'!Y$11</f>
        <v>0.95051054639555899</v>
      </c>
      <c r="Z10" s="3">
        <f>'Prices by Case'!Z10/'Prices by Case'!Z$11</f>
        <v>0.9744717473293999</v>
      </c>
      <c r="AA10" s="3">
        <f>'Prices by Case'!AA10/'Prices by Case'!AA$11</f>
        <v>0.98635734669965891</v>
      </c>
      <c r="AB10" s="3">
        <f>'Prices by Case'!AB10/'Prices by Case'!AB$11</f>
        <v>0.9793802592996399</v>
      </c>
      <c r="AC10" s="3">
        <f>'Prices by Case'!AC10/'Prices by Case'!AC$11</f>
        <v>0.9717937644510084</v>
      </c>
      <c r="AD10" s="3">
        <f>'Prices by Case'!AD10/'Prices by Case'!AD$11</f>
        <v>0.97879833983279085</v>
      </c>
      <c r="AE10" s="3">
        <f>'Prices by Case'!AE10/'Prices by Case'!AE$11</f>
        <v>0.98440183098623979</v>
      </c>
      <c r="AF10" s="3">
        <f>'Prices by Case'!AF10/'Prices by Case'!AF$11</f>
        <v>0.98879535858425793</v>
      </c>
      <c r="AG10" s="3">
        <f>'Prices by Case'!AG10/'Prices by Case'!AG$11</f>
        <v>0.99905236517725116</v>
      </c>
      <c r="AH10" s="3">
        <f>'Prices by Case'!AH10/'Prices by Case'!AH$11</f>
        <v>1.0077302987195136</v>
      </c>
      <c r="AI10" s="3">
        <f>'Prices by Case'!AI10/'Prices by Case'!AI$11</f>
        <v>1.0141145974658605</v>
      </c>
      <c r="AJ10" s="3">
        <f>'Prices by Case'!AJ10/'Prices by Case'!AJ$11</f>
        <v>1.0295162127133193</v>
      </c>
      <c r="AK10" s="3">
        <f>'Prices by Case'!AK10/'Prices by Case'!AK$11</f>
        <v>1.0480423307611093</v>
      </c>
      <c r="AL10" s="3">
        <f>'Prices by Case'!AL10/'Prices by Case'!AL$11</f>
        <v>1.0594251655115008</v>
      </c>
      <c r="AM10" s="3">
        <f>'Prices by Case'!AM10/'Prices by Case'!AM$11</f>
        <v>1.065390352358742</v>
      </c>
      <c r="AN10" s="3">
        <f>'Prices by Case'!AN10/'Prices by Case'!AN$11</f>
        <v>1.0806852463245389</v>
      </c>
      <c r="AO10" s="3">
        <f>'Prices by Case'!AO10/'Prices by Case'!AO$11</f>
        <v>1.0904706101953041</v>
      </c>
      <c r="AP10" s="3">
        <f>'Prices by Case'!AP10/'Prices by Case'!AP$11</f>
        <v>1.0941753083077426</v>
      </c>
      <c r="AQ10" s="3">
        <f>'Prices by Case'!AQ10/'Prices by Case'!AQ$11</f>
        <v>1.0998484694562909</v>
      </c>
    </row>
    <row r="11" spans="1:43" s="4" customFormat="1" x14ac:dyDescent="0.25">
      <c r="A11" s="4" t="s">
        <v>0</v>
      </c>
      <c r="B11" s="4" t="s">
        <v>10</v>
      </c>
      <c r="C11" s="5" t="e">
        <f>'Prices by Case'!#REF!/'Prices by Case'!#REF!</f>
        <v>#REF!</v>
      </c>
      <c r="D11" s="5" t="e">
        <f>'Prices by Case'!#REF!/'Prices by Case'!#REF!</f>
        <v>#REF!</v>
      </c>
      <c r="E11" s="5" t="e">
        <f>'Prices by Case'!#REF!/'Prices by Case'!#REF!</f>
        <v>#REF!</v>
      </c>
      <c r="F11" s="5" t="e">
        <f>'Prices by Case'!#REF!/'Prices by Case'!#REF!</f>
        <v>#REF!</v>
      </c>
      <c r="G11" s="5" t="e">
        <f>'Prices by Case'!#REF!/'Prices by Case'!#REF!</f>
        <v>#REF!</v>
      </c>
      <c r="H11" s="5" t="e">
        <f>'Prices by Case'!#REF!/'Prices by Case'!#REF!</f>
        <v>#REF!</v>
      </c>
      <c r="I11" s="5">
        <f>'Prices by Case'!I11/'Prices by Case'!I$11</f>
        <v>1</v>
      </c>
      <c r="J11" s="5">
        <f>'Prices by Case'!J11/'Prices by Case'!J$11</f>
        <v>1</v>
      </c>
      <c r="K11" s="5">
        <f>'Prices by Case'!K11/'Prices by Case'!K$11</f>
        <v>1</v>
      </c>
      <c r="L11" s="5">
        <f>'Prices by Case'!L11/'Prices by Case'!L$11</f>
        <v>1</v>
      </c>
      <c r="M11" s="5">
        <f>'Prices by Case'!M11/'Prices by Case'!M$11</f>
        <v>1</v>
      </c>
      <c r="N11" s="5">
        <f>'Prices by Case'!N11/'Prices by Case'!N$11</f>
        <v>1</v>
      </c>
      <c r="O11" s="5">
        <f>'Prices by Case'!O11/'Prices by Case'!O$11</f>
        <v>1</v>
      </c>
      <c r="P11" s="5">
        <f>'Prices by Case'!P11/'Prices by Case'!P$11</f>
        <v>1</v>
      </c>
      <c r="Q11" s="5">
        <f>'Prices by Case'!Q11/'Prices by Case'!Q$11</f>
        <v>1</v>
      </c>
      <c r="R11" s="5">
        <f>'Prices by Case'!R11/'Prices by Case'!R$11</f>
        <v>1</v>
      </c>
      <c r="S11" s="5">
        <f>'Prices by Case'!S11/'Prices by Case'!S$11</f>
        <v>1</v>
      </c>
      <c r="T11" s="5">
        <f>'Prices by Case'!T11/'Prices by Case'!T$11</f>
        <v>1</v>
      </c>
      <c r="U11" s="5">
        <f>'Prices by Case'!U11/'Prices by Case'!U$11</f>
        <v>1</v>
      </c>
      <c r="V11" s="5">
        <f>'Prices by Case'!V11/'Prices by Case'!V$11</f>
        <v>1</v>
      </c>
      <c r="W11" s="5">
        <f>'Prices by Case'!W11/'Prices by Case'!W$11</f>
        <v>1</v>
      </c>
      <c r="X11" s="5">
        <f>'Prices by Case'!X11/'Prices by Case'!X$11</f>
        <v>1</v>
      </c>
      <c r="Y11" s="5">
        <f>'Prices by Case'!Y11/'Prices by Case'!Y$11</f>
        <v>1</v>
      </c>
      <c r="Z11" s="5">
        <f>'Prices by Case'!Z11/'Prices by Case'!Z$11</f>
        <v>1</v>
      </c>
      <c r="AA11" s="5">
        <f>'Prices by Case'!AA11/'Prices by Case'!AA$11</f>
        <v>1</v>
      </c>
      <c r="AB11" s="5">
        <f>'Prices by Case'!AB11/'Prices by Case'!AB$11</f>
        <v>1</v>
      </c>
      <c r="AC11" s="5">
        <f>'Prices by Case'!AC11/'Prices by Case'!AC$11</f>
        <v>1</v>
      </c>
      <c r="AD11" s="5">
        <f>'Prices by Case'!AD11/'Prices by Case'!AD$11</f>
        <v>1</v>
      </c>
      <c r="AE11" s="5">
        <f>'Prices by Case'!AE11/'Prices by Case'!AE$11</f>
        <v>1</v>
      </c>
      <c r="AF11" s="5">
        <f>'Prices by Case'!AF11/'Prices by Case'!AF$11</f>
        <v>1</v>
      </c>
      <c r="AG11" s="5">
        <f>'Prices by Case'!AG11/'Prices by Case'!AG$11</f>
        <v>1</v>
      </c>
      <c r="AH11" s="5">
        <f>'Prices by Case'!AH11/'Prices by Case'!AH$11</f>
        <v>1</v>
      </c>
      <c r="AI11" s="5">
        <f>'Prices by Case'!AI11/'Prices by Case'!AI$11</f>
        <v>1</v>
      </c>
      <c r="AJ11" s="5">
        <f>'Prices by Case'!AJ11/'Prices by Case'!AJ$11</f>
        <v>1</v>
      </c>
      <c r="AK11" s="5">
        <f>'Prices by Case'!AK11/'Prices by Case'!AK$11</f>
        <v>1</v>
      </c>
      <c r="AL11" s="5">
        <f>'Prices by Case'!AL11/'Prices by Case'!AL$11</f>
        <v>1</v>
      </c>
      <c r="AM11" s="5">
        <f>'Prices by Case'!AM11/'Prices by Case'!AM$11</f>
        <v>1</v>
      </c>
      <c r="AN11" s="5">
        <f>'Prices by Case'!AN11/'Prices by Case'!AN$11</f>
        <v>1</v>
      </c>
      <c r="AO11" s="5">
        <f>'Prices by Case'!AO11/'Prices by Case'!AO$11</f>
        <v>1</v>
      </c>
      <c r="AP11" s="5">
        <f>'Prices by Case'!AP11/'Prices by Case'!AP$11</f>
        <v>1</v>
      </c>
      <c r="AQ11" s="5">
        <f>'Prices by Case'!AQ11/'Prices by Case'!AQ$11</f>
        <v>1</v>
      </c>
    </row>
    <row r="12" spans="1:43" s="6" customFormat="1" x14ac:dyDescent="0.25">
      <c r="A12" s="6" t="s">
        <v>11</v>
      </c>
      <c r="B12" t="s">
        <v>1</v>
      </c>
      <c r="C12" s="3" t="e">
        <f>'Prices by Case'!#REF!/'Prices by Case'!#REF!</f>
        <v>#REF!</v>
      </c>
      <c r="D12" s="3" t="e">
        <f>'Prices by Case'!#REF!/'Prices by Case'!#REF!</f>
        <v>#REF!</v>
      </c>
      <c r="E12" s="3" t="e">
        <f>'Prices by Case'!#REF!/'Prices by Case'!#REF!</f>
        <v>#REF!</v>
      </c>
      <c r="F12" s="3" t="e">
        <f>'Prices by Case'!#REF!/'Prices by Case'!#REF!</f>
        <v>#REF!</v>
      </c>
      <c r="G12" s="3" t="e">
        <f>'Prices by Case'!#REF!/'Prices by Case'!#REF!</f>
        <v>#REF!</v>
      </c>
      <c r="H12" s="3" t="e">
        <f>'Prices by Case'!#REF!/'Prices by Case'!#REF!</f>
        <v>#REF!</v>
      </c>
      <c r="I12" s="3">
        <f>'Prices by Case'!I22/'Prices by Case'!I$31</f>
        <v>0.96157475397451975</v>
      </c>
      <c r="J12" s="3">
        <f>'Prices by Case'!J22/'Prices by Case'!J$31</f>
        <v>0.98279300342847609</v>
      </c>
      <c r="K12" s="3">
        <f>'Prices by Case'!K22/'Prices by Case'!K$31</f>
        <v>0.95599994740924821</v>
      </c>
      <c r="L12" s="3">
        <f>'Prices by Case'!L22/'Prices by Case'!L$31</f>
        <v>0.87725611185151764</v>
      </c>
      <c r="M12" s="3">
        <f>'Prices by Case'!M22/'Prices by Case'!M$31</f>
        <v>0.82088996698302652</v>
      </c>
      <c r="N12" s="3">
        <f>'Prices by Case'!N22/'Prices by Case'!N$31</f>
        <v>0.8749061785172545</v>
      </c>
      <c r="O12" s="3">
        <f>'Prices by Case'!O22/'Prices by Case'!O$31</f>
        <v>0.89587483641523913</v>
      </c>
      <c r="P12" s="3">
        <f>'Prices by Case'!P22/'Prices by Case'!P$31</f>
        <v>0.82088996698302652</v>
      </c>
      <c r="Q12" s="3">
        <f>'Prices by Case'!Q22/'Prices by Case'!Q$31</f>
        <v>0.8479513457248633</v>
      </c>
      <c r="R12" s="3">
        <f>'Prices by Case'!R22/'Prices by Case'!R$31</f>
        <v>0.921611815039307</v>
      </c>
      <c r="S12" s="3">
        <f>'Prices by Case'!S22/'Prices by Case'!S$31</f>
        <v>0.92488208063785982</v>
      </c>
      <c r="T12" s="3">
        <f>'Prices by Case'!T22/'Prices by Case'!T$31</f>
        <v>0.93388481003635326</v>
      </c>
      <c r="U12" s="3">
        <f>'Prices by Case'!U22/'Prices by Case'!U$31</f>
        <v>0.9266448192586807</v>
      </c>
      <c r="V12" s="3">
        <f>'Prices by Case'!V22/'Prices by Case'!V$31</f>
        <v>0.93170567442385677</v>
      </c>
      <c r="W12" s="3">
        <f>'Prices by Case'!W22/'Prices by Case'!W$31</f>
        <v>0.93434958213663066</v>
      </c>
      <c r="X12" s="3">
        <f>'Prices by Case'!X22/'Prices by Case'!X$31</f>
        <v>0.93772978219795611</v>
      </c>
      <c r="Y12" s="3">
        <f>'Prices by Case'!Y22/'Prices by Case'!Y$31</f>
        <v>0.94721699610748811</v>
      </c>
      <c r="Z12" s="3">
        <f>'Prices by Case'!Z22/'Prices by Case'!Z$31</f>
        <v>0.95416327616208185</v>
      </c>
      <c r="AA12" s="3">
        <f>'Prices by Case'!AA22/'Prices by Case'!AA$31</f>
        <v>0.95572751155223756</v>
      </c>
      <c r="AB12" s="3">
        <f>'Prices by Case'!AB22/'Prices by Case'!AB$31</f>
        <v>0.95363917698786616</v>
      </c>
      <c r="AC12" s="3">
        <f>'Prices by Case'!AC22/'Prices by Case'!AC$31</f>
        <v>0.95159651425166958</v>
      </c>
      <c r="AD12" s="3">
        <f>'Prices by Case'!AD22/'Prices by Case'!AD$31</f>
        <v>0.93105142438482658</v>
      </c>
      <c r="AE12" s="3">
        <f>'Prices by Case'!AE22/'Prices by Case'!AE$31</f>
        <v>0.92410620646033892</v>
      </c>
      <c r="AF12" s="3">
        <f>'Prices by Case'!AF22/'Prices by Case'!AF$31</f>
        <v>0.89957524260625188</v>
      </c>
      <c r="AG12" s="3">
        <f>'Prices by Case'!AG22/'Prices by Case'!AG$31</f>
        <v>0.90832975798050131</v>
      </c>
      <c r="AH12" s="3">
        <f>'Prices by Case'!AH22/'Prices by Case'!AH$31</f>
        <v>0.90570463863654638</v>
      </c>
      <c r="AI12" s="3">
        <f>'Prices by Case'!AI22/'Prices by Case'!AI$31</f>
        <v>0.90581542001513859</v>
      </c>
      <c r="AJ12" s="3">
        <f>'Prices by Case'!AJ22/'Prices by Case'!AJ$31</f>
        <v>0.90866600626123861</v>
      </c>
      <c r="AK12" s="3">
        <f>'Prices by Case'!AK22/'Prices by Case'!AK$31</f>
        <v>0.89755263920764905</v>
      </c>
      <c r="AL12" s="3">
        <f>'Prices by Case'!AL22/'Prices by Case'!AL$31</f>
        <v>0.9003801548128374</v>
      </c>
      <c r="AM12" s="3">
        <f>'Prices by Case'!AM22/'Prices by Case'!AM$31</f>
        <v>0.91974097350944173</v>
      </c>
      <c r="AN12" s="3">
        <f>'Prices by Case'!AN22/'Prices by Case'!AN$31</f>
        <v>0.91684683708497472</v>
      </c>
      <c r="AO12" s="3">
        <f>'Prices by Case'!AO22/'Prices by Case'!AO$31</f>
        <v>0.9147851837632951</v>
      </c>
      <c r="AP12" s="3">
        <f>'Prices by Case'!AP22/'Prices by Case'!AP$31</f>
        <v>0.91779025934878244</v>
      </c>
      <c r="AQ12" s="3">
        <f>'Prices by Case'!AQ22/'Prices by Case'!AQ$31</f>
        <v>0.91750754805420043</v>
      </c>
    </row>
    <row r="13" spans="1:43" x14ac:dyDescent="0.25">
      <c r="A13" t="s">
        <v>11</v>
      </c>
      <c r="B13" t="s">
        <v>2</v>
      </c>
      <c r="C13" s="3" t="e">
        <f>'Prices by Case'!#REF!/'Prices by Case'!#REF!</f>
        <v>#REF!</v>
      </c>
      <c r="D13" s="3" t="e">
        <f>'Prices by Case'!#REF!/'Prices by Case'!#REF!</f>
        <v>#REF!</v>
      </c>
      <c r="E13" s="3" t="e">
        <f>'Prices by Case'!#REF!/'Prices by Case'!#REF!</f>
        <v>#REF!</v>
      </c>
      <c r="F13" s="3" t="e">
        <f>'Prices by Case'!#REF!/'Prices by Case'!#REF!</f>
        <v>#REF!</v>
      </c>
      <c r="G13" s="3" t="e">
        <f>'Prices by Case'!#REF!/'Prices by Case'!#REF!</f>
        <v>#REF!</v>
      </c>
      <c r="H13" s="3" t="e">
        <f>'Prices by Case'!#REF!/'Prices by Case'!#REF!</f>
        <v>#REF!</v>
      </c>
      <c r="I13" s="3">
        <f>'Prices by Case'!I23/'Prices by Case'!I$31</f>
        <v>0.89344168408651159</v>
      </c>
      <c r="J13" s="3">
        <f>'Prices by Case'!J23/'Prices by Case'!J$31</f>
        <v>0.93861802279208029</v>
      </c>
      <c r="K13" s="3">
        <f>'Prices by Case'!K23/'Prices by Case'!K$31</f>
        <v>0.94263634517647854</v>
      </c>
      <c r="L13" s="3">
        <f>'Prices by Case'!L23/'Prices by Case'!L$31</f>
        <v>0.93946249986882557</v>
      </c>
      <c r="M13" s="3">
        <f>'Prices by Case'!M23/'Prices by Case'!M$31</f>
        <v>0.93480690116439891</v>
      </c>
      <c r="N13" s="3">
        <f>'Prices by Case'!N23/'Prices by Case'!N$31</f>
        <v>0.99724706165195331</v>
      </c>
      <c r="O13" s="3">
        <f>'Prices by Case'!O23/'Prices by Case'!O$31</f>
        <v>1.0520117987578741</v>
      </c>
      <c r="P13" s="3">
        <f>'Prices by Case'!P23/'Prices by Case'!P$31</f>
        <v>0.9348069011643988</v>
      </c>
      <c r="Q13" s="3">
        <f>'Prices by Case'!Q23/'Prices by Case'!Q$31</f>
        <v>0.98223446839630391</v>
      </c>
      <c r="R13" s="3">
        <f>'Prices by Case'!R23/'Prices by Case'!R$31</f>
        <v>1.019949405458962</v>
      </c>
      <c r="S13" s="3">
        <f>'Prices by Case'!S23/'Prices by Case'!S$31</f>
        <v>1.0179926206087511</v>
      </c>
      <c r="T13" s="3">
        <f>'Prices by Case'!T23/'Prices by Case'!T$31</f>
        <v>1.0306771687219332</v>
      </c>
      <c r="U13" s="3">
        <f>'Prices by Case'!U23/'Prices by Case'!U$31</f>
        <v>1.0418861541218216</v>
      </c>
      <c r="V13" s="3">
        <f>'Prices by Case'!V23/'Prices by Case'!V$31</f>
        <v>1.0383669370693671</v>
      </c>
      <c r="W13" s="3">
        <f>'Prices by Case'!W23/'Prices by Case'!W$31</f>
        <v>1.0412404087713822</v>
      </c>
      <c r="X13" s="3">
        <f>'Prices by Case'!X23/'Prices by Case'!X$31</f>
        <v>1.0295610474073029</v>
      </c>
      <c r="Y13" s="3">
        <f>'Prices by Case'!Y23/'Prices by Case'!Y$31</f>
        <v>1.0147200058417187</v>
      </c>
      <c r="Z13" s="3">
        <f>'Prices by Case'!Z23/'Prices by Case'!Z$31</f>
        <v>1.0180416340130942</v>
      </c>
      <c r="AA13" s="3">
        <f>'Prices by Case'!AA23/'Prices by Case'!AA$31</f>
        <v>1.0127949427947542</v>
      </c>
      <c r="AB13" s="3">
        <f>'Prices by Case'!AB23/'Prices by Case'!AB$31</f>
        <v>1.0170640266890363</v>
      </c>
      <c r="AC13" s="3">
        <f>'Prices by Case'!AC23/'Prices by Case'!AC$31</f>
        <v>1.0161709390218123</v>
      </c>
      <c r="AD13" s="3">
        <f>'Prices by Case'!AD23/'Prices by Case'!AD$31</f>
        <v>1.0101829990009021</v>
      </c>
      <c r="AE13" s="3">
        <f>'Prices by Case'!AE23/'Prices by Case'!AE$31</f>
        <v>0.98740657684043154</v>
      </c>
      <c r="AF13" s="3">
        <f>'Prices by Case'!AF23/'Prices by Case'!AF$31</f>
        <v>0.99969455038692134</v>
      </c>
      <c r="AG13" s="3">
        <f>'Prices by Case'!AG23/'Prices by Case'!AG$31</f>
        <v>0.9931740803304574</v>
      </c>
      <c r="AH13" s="3">
        <f>'Prices by Case'!AH23/'Prices by Case'!AH$31</f>
        <v>1.0307640361889094</v>
      </c>
      <c r="AI13" s="3">
        <f>'Prices by Case'!AI23/'Prices by Case'!AI$31</f>
        <v>1.0243450348670542</v>
      </c>
      <c r="AJ13" s="3">
        <f>'Prices by Case'!AJ23/'Prices by Case'!AJ$31</f>
        <v>1.0225971018522948</v>
      </c>
      <c r="AK13" s="3">
        <f>'Prices by Case'!AK23/'Prices by Case'!AK$31</f>
        <v>1.0354561600500283</v>
      </c>
      <c r="AL13" s="3">
        <f>'Prices by Case'!AL23/'Prices by Case'!AL$31</f>
        <v>1.0256009458886453</v>
      </c>
      <c r="AM13" s="3">
        <f>'Prices by Case'!AM23/'Prices by Case'!AM$31</f>
        <v>1.0226785617460352</v>
      </c>
      <c r="AN13" s="3">
        <f>'Prices by Case'!AN23/'Prices by Case'!AN$31</f>
        <v>1.0318987089544152</v>
      </c>
      <c r="AO13" s="3">
        <f>'Prices by Case'!AO23/'Prices by Case'!AO$31</f>
        <v>1.0187848166257403</v>
      </c>
      <c r="AP13" s="3">
        <f>'Prices by Case'!AP23/'Prices by Case'!AP$31</f>
        <v>1.0159591980299332</v>
      </c>
      <c r="AQ13" s="3">
        <f>'Prices by Case'!AQ23/'Prices by Case'!AQ$31</f>
        <v>1.0141335979287964</v>
      </c>
    </row>
    <row r="14" spans="1:43" x14ac:dyDescent="0.25">
      <c r="A14" t="s">
        <v>11</v>
      </c>
      <c r="B14" t="s">
        <v>3</v>
      </c>
      <c r="C14" s="3" t="e">
        <f>'Prices by Case'!#REF!/'Prices by Case'!#REF!</f>
        <v>#REF!</v>
      </c>
      <c r="D14" s="3" t="e">
        <f>'Prices by Case'!#REF!/'Prices by Case'!#REF!</f>
        <v>#REF!</v>
      </c>
      <c r="E14" s="3" t="e">
        <f>'Prices by Case'!#REF!/'Prices by Case'!#REF!</f>
        <v>#REF!</v>
      </c>
      <c r="F14" s="3" t="e">
        <f>'Prices by Case'!#REF!/'Prices by Case'!#REF!</f>
        <v>#REF!</v>
      </c>
      <c r="G14" s="3" t="e">
        <f>'Prices by Case'!#REF!/'Prices by Case'!#REF!</f>
        <v>#REF!</v>
      </c>
      <c r="H14" s="3" t="e">
        <f>'Prices by Case'!#REF!/'Prices by Case'!#REF!</f>
        <v>#REF!</v>
      </c>
      <c r="I14" s="3">
        <f>'Prices by Case'!I24/'Prices by Case'!I$31</f>
        <v>0.97671161054817623</v>
      </c>
      <c r="J14" s="3">
        <f>'Prices by Case'!J24/'Prices by Case'!J$31</f>
        <v>0.96160799410365649</v>
      </c>
      <c r="K14" s="3">
        <f>'Prices by Case'!K24/'Prices by Case'!K$31</f>
        <v>0.99002061265304264</v>
      </c>
      <c r="L14" s="3">
        <f>'Prices by Case'!L24/'Prices by Case'!L$31</f>
        <v>1.0185589007936926</v>
      </c>
      <c r="M14" s="3">
        <f>'Prices by Case'!M24/'Prices by Case'!M$31</f>
        <v>0.98572233464853731</v>
      </c>
      <c r="N14" s="3">
        <f>'Prices by Case'!N24/'Prices by Case'!N$31</f>
        <v>0.89368659342716561</v>
      </c>
      <c r="O14" s="3">
        <f>'Prices by Case'!O24/'Prices by Case'!O$31</f>
        <v>0.82118688142453466</v>
      </c>
      <c r="P14" s="3">
        <f>'Prices by Case'!P24/'Prices by Case'!P$31</f>
        <v>0.98572233464853731</v>
      </c>
      <c r="Q14" s="3">
        <f>'Prices by Case'!Q24/'Prices by Case'!Q$31</f>
        <v>0.84242255109915909</v>
      </c>
      <c r="R14" s="3">
        <f>'Prices by Case'!R24/'Prices by Case'!R$31</f>
        <v>0.8901497603319668</v>
      </c>
      <c r="S14" s="3">
        <f>'Prices by Case'!S24/'Prices by Case'!S$31</f>
        <v>0.93334306867798889</v>
      </c>
      <c r="T14" s="3">
        <f>'Prices by Case'!T24/'Prices by Case'!T$31</f>
        <v>0.91128614536555219</v>
      </c>
      <c r="U14" s="3">
        <f>'Prices by Case'!U24/'Prices by Case'!U$31</f>
        <v>0.89134289974431824</v>
      </c>
      <c r="V14" s="3">
        <f>'Prices by Case'!V24/'Prices by Case'!V$31</f>
        <v>0.88796597079812145</v>
      </c>
      <c r="W14" s="3">
        <f>'Prices by Case'!W24/'Prices by Case'!W$31</f>
        <v>0.87183944395750901</v>
      </c>
      <c r="X14" s="3">
        <f>'Prices by Case'!X24/'Prices by Case'!X$31</f>
        <v>0.87424934576684643</v>
      </c>
      <c r="Y14" s="3">
        <f>'Prices by Case'!Y24/'Prices by Case'!Y$31</f>
        <v>0.88612354329343646</v>
      </c>
      <c r="Z14" s="3">
        <f>'Prices by Case'!Z24/'Prices by Case'!Z$31</f>
        <v>0.89794775507429603</v>
      </c>
      <c r="AA14" s="3">
        <f>'Prices by Case'!AA24/'Prices by Case'!AA$31</f>
        <v>0.89914127650957987</v>
      </c>
      <c r="AB14" s="3">
        <f>'Prices by Case'!AB24/'Prices by Case'!AB$31</f>
        <v>0.90453080461474145</v>
      </c>
      <c r="AC14" s="3">
        <f>'Prices by Case'!AC24/'Prices by Case'!AC$31</f>
        <v>0.87876486638124784</v>
      </c>
      <c r="AD14" s="3">
        <f>'Prices by Case'!AD24/'Prices by Case'!AD$31</f>
        <v>0.85488417624371205</v>
      </c>
      <c r="AE14" s="3">
        <f>'Prices by Case'!AE24/'Prices by Case'!AE$31</f>
        <v>0.84537599891998516</v>
      </c>
      <c r="AF14" s="3">
        <f>'Prices by Case'!AF24/'Prices by Case'!AF$31</f>
        <v>0.83054424637334046</v>
      </c>
      <c r="AG14" s="3">
        <f>'Prices by Case'!AG24/'Prices by Case'!AG$31</f>
        <v>0.82170823816660754</v>
      </c>
      <c r="AH14" s="3">
        <f>'Prices by Case'!AH24/'Prices by Case'!AH$31</f>
        <v>0.82182416345612741</v>
      </c>
      <c r="AI14" s="3">
        <f>'Prices by Case'!AI24/'Prices by Case'!AI$31</f>
        <v>0.81126495740260574</v>
      </c>
      <c r="AJ14" s="3">
        <f>'Prices by Case'!AJ24/'Prices by Case'!AJ$31</f>
        <v>0.81253969070399623</v>
      </c>
      <c r="AK14" s="3">
        <f>'Prices by Case'!AK24/'Prices by Case'!AK$31</f>
        <v>0.80320044357069342</v>
      </c>
      <c r="AL14" s="3">
        <f>'Prices by Case'!AL24/'Prices by Case'!AL$31</f>
        <v>0.80375455232319848</v>
      </c>
      <c r="AM14" s="3">
        <f>'Prices by Case'!AM24/'Prices by Case'!AM$31</f>
        <v>0.80696130241730624</v>
      </c>
      <c r="AN14" s="3">
        <f>'Prices by Case'!AN24/'Prices by Case'!AN$31</f>
        <v>0.80745145579879662</v>
      </c>
      <c r="AO14" s="3">
        <f>'Prices by Case'!AO24/'Prices by Case'!AO$31</f>
        <v>0.80555325835744618</v>
      </c>
      <c r="AP14" s="3">
        <f>'Prices by Case'!AP24/'Prices by Case'!AP$31</f>
        <v>0.81630235746866298</v>
      </c>
      <c r="AQ14" s="3">
        <f>'Prices by Case'!AQ24/'Prices by Case'!AQ$31</f>
        <v>0.82249573443953161</v>
      </c>
    </row>
    <row r="15" spans="1:43" x14ac:dyDescent="0.25">
      <c r="A15" t="s">
        <v>11</v>
      </c>
      <c r="B15" t="s">
        <v>4</v>
      </c>
      <c r="C15" s="3" t="e">
        <f>'Prices by Case'!#REF!/'Prices by Case'!#REF!</f>
        <v>#REF!</v>
      </c>
      <c r="D15" s="3" t="e">
        <f>'Prices by Case'!#REF!/'Prices by Case'!#REF!</f>
        <v>#REF!</v>
      </c>
      <c r="E15" s="3" t="e">
        <f>'Prices by Case'!#REF!/'Prices by Case'!#REF!</f>
        <v>#REF!</v>
      </c>
      <c r="F15" s="3" t="e">
        <f>'Prices by Case'!#REF!/'Prices by Case'!#REF!</f>
        <v>#REF!</v>
      </c>
      <c r="G15" s="3" t="e">
        <f>'Prices by Case'!#REF!/'Prices by Case'!#REF!</f>
        <v>#REF!</v>
      </c>
      <c r="H15" s="3" t="e">
        <f>'Prices by Case'!#REF!/'Prices by Case'!#REF!</f>
        <v>#REF!</v>
      </c>
      <c r="I15" s="3">
        <f>'Prices by Case'!I25/'Prices by Case'!I$31</f>
        <v>0.94558224553049708</v>
      </c>
      <c r="J15" s="3">
        <f>'Prices by Case'!J25/'Prices by Case'!J$31</f>
        <v>0.9698285473618623</v>
      </c>
      <c r="K15" s="3">
        <f>'Prices by Case'!K25/'Prices by Case'!K$31</f>
        <v>1.009533534639045</v>
      </c>
      <c r="L15" s="3">
        <f>'Prices by Case'!L25/'Prices by Case'!L$31</f>
        <v>1.0146698428356054</v>
      </c>
      <c r="M15" s="3">
        <f>'Prices by Case'!M25/'Prices by Case'!M$31</f>
        <v>1.0514143039776036</v>
      </c>
      <c r="N15" s="3">
        <f>'Prices by Case'!N25/'Prices by Case'!N$31</f>
        <v>1.056850041179499</v>
      </c>
      <c r="O15" s="3">
        <f>'Prices by Case'!O25/'Prices by Case'!O$31</f>
        <v>1.0394458110834079</v>
      </c>
      <c r="P15" s="3">
        <f>'Prices by Case'!P25/'Prices by Case'!P$31</f>
        <v>1.0514143039776036</v>
      </c>
      <c r="Q15" s="3">
        <f>'Prices by Case'!Q25/'Prices by Case'!Q$31</f>
        <v>1.0544511080201533</v>
      </c>
      <c r="R15" s="3">
        <f>'Prices by Case'!R25/'Prices by Case'!R$31</f>
        <v>1.0168058241355336</v>
      </c>
      <c r="S15" s="3">
        <f>'Prices by Case'!S25/'Prices by Case'!S$31</f>
        <v>1.001859450829208</v>
      </c>
      <c r="T15" s="3">
        <f>'Prices by Case'!T25/'Prices by Case'!T$31</f>
        <v>1.0144754912443272</v>
      </c>
      <c r="U15" s="3">
        <f>'Prices by Case'!U25/'Prices by Case'!U$31</f>
        <v>1.0339756020727546</v>
      </c>
      <c r="V15" s="3">
        <f>'Prices by Case'!V25/'Prices by Case'!V$31</f>
        <v>1.0500261127141697</v>
      </c>
      <c r="W15" s="3">
        <f>'Prices by Case'!W25/'Prices by Case'!W$31</f>
        <v>1.0598089524040604</v>
      </c>
      <c r="X15" s="3">
        <f>'Prices by Case'!X25/'Prices by Case'!X$31</f>
        <v>1.0607792471056576</v>
      </c>
      <c r="Y15" s="3">
        <f>'Prices by Case'!Y25/'Prices by Case'!Y$31</f>
        <v>1.0738686439567104</v>
      </c>
      <c r="Z15" s="3">
        <f>'Prices by Case'!Z25/'Prices by Case'!Z$31</f>
        <v>1.0577687970298719</v>
      </c>
      <c r="AA15" s="3">
        <f>'Prices by Case'!AA25/'Prices by Case'!AA$31</f>
        <v>1.059682700509003</v>
      </c>
      <c r="AB15" s="3">
        <f>'Prices by Case'!AB25/'Prices by Case'!AB$31</f>
        <v>1.0663104205462848</v>
      </c>
      <c r="AC15" s="3">
        <f>'Prices by Case'!AC25/'Prices by Case'!AC$31</f>
        <v>1.0777473710312144</v>
      </c>
      <c r="AD15" s="3">
        <f>'Prices by Case'!AD25/'Prices by Case'!AD$31</f>
        <v>1.0750599003559209</v>
      </c>
      <c r="AE15" s="3">
        <f>'Prices by Case'!AE25/'Prices by Case'!AE$31</f>
        <v>1.0841746574015392</v>
      </c>
      <c r="AF15" s="3">
        <f>'Prices by Case'!AF25/'Prices by Case'!AF$31</f>
        <v>1.1101503322411681</v>
      </c>
      <c r="AG15" s="3">
        <f>'Prices by Case'!AG25/'Prices by Case'!AG$31</f>
        <v>1.1106470295615956</v>
      </c>
      <c r="AH15" s="3">
        <f>'Prices by Case'!AH25/'Prices by Case'!AH$31</f>
        <v>1.0727244955382267</v>
      </c>
      <c r="AI15" s="3">
        <f>'Prices by Case'!AI25/'Prices by Case'!AI$31</f>
        <v>1.0646859851352002</v>
      </c>
      <c r="AJ15" s="3">
        <f>'Prices by Case'!AJ25/'Prices by Case'!AJ$31</f>
        <v>1.0571406326218817</v>
      </c>
      <c r="AK15" s="3">
        <f>'Prices by Case'!AK25/'Prices by Case'!AK$31</f>
        <v>1.0770083789795091</v>
      </c>
      <c r="AL15" s="3">
        <f>'Prices by Case'!AL25/'Prices by Case'!AL$31</f>
        <v>1.0955591494847481</v>
      </c>
      <c r="AM15" s="3">
        <f>'Prices by Case'!AM25/'Prices by Case'!AM$31</f>
        <v>1.0900544180049845</v>
      </c>
      <c r="AN15" s="3">
        <f>'Prices by Case'!AN25/'Prices by Case'!AN$31</f>
        <v>1.0985989734952526</v>
      </c>
      <c r="AO15" s="3">
        <f>'Prices by Case'!AO25/'Prices by Case'!AO$31</f>
        <v>1.1078091509035521</v>
      </c>
      <c r="AP15" s="3">
        <f>'Prices by Case'!AP25/'Prices by Case'!AP$31</f>
        <v>1.1064508753614943</v>
      </c>
      <c r="AQ15" s="3">
        <f>'Prices by Case'!AQ25/'Prices by Case'!AQ$31</f>
        <v>1.1072255974632159</v>
      </c>
    </row>
    <row r="16" spans="1:43" x14ac:dyDescent="0.25">
      <c r="A16" t="s">
        <v>11</v>
      </c>
      <c r="B16" t="s">
        <v>5</v>
      </c>
      <c r="C16" s="3" t="e">
        <f>'Prices by Case'!#REF!/'Prices by Case'!#REF!</f>
        <v>#REF!</v>
      </c>
      <c r="D16" s="3" t="e">
        <f>'Prices by Case'!#REF!/'Prices by Case'!#REF!</f>
        <v>#REF!</v>
      </c>
      <c r="E16" s="3" t="e">
        <f>'Prices by Case'!#REF!/'Prices by Case'!#REF!</f>
        <v>#REF!</v>
      </c>
      <c r="F16" s="3" t="e">
        <f>'Prices by Case'!#REF!/'Prices by Case'!#REF!</f>
        <v>#REF!</v>
      </c>
      <c r="G16" s="3" t="e">
        <f>'Prices by Case'!#REF!/'Prices by Case'!#REF!</f>
        <v>#REF!</v>
      </c>
      <c r="H16" s="3" t="e">
        <f>'Prices by Case'!#REF!/'Prices by Case'!#REF!</f>
        <v>#REF!</v>
      </c>
      <c r="I16" s="3">
        <f>'Prices by Case'!I26/'Prices by Case'!I$31</f>
        <v>1.373480110014331</v>
      </c>
      <c r="J16" s="3">
        <f>'Prices by Case'!J26/'Prices by Case'!J$31</f>
        <v>1.23799708932932</v>
      </c>
      <c r="K16" s="3">
        <f>'Prices by Case'!K26/'Prices by Case'!K$31</f>
        <v>1.3770254378545312</v>
      </c>
      <c r="L16" s="3">
        <f>'Prices by Case'!L26/'Prices by Case'!L$31</f>
        <v>1.5627905512472062</v>
      </c>
      <c r="M16" s="3">
        <f>'Prices by Case'!M26/'Prices by Case'!M$31</f>
        <v>1.651007199506114</v>
      </c>
      <c r="N16" s="3">
        <f>'Prices by Case'!N26/'Prices by Case'!N$31</f>
        <v>1.3341433295134757</v>
      </c>
      <c r="O16" s="3">
        <f>'Prices by Case'!O26/'Prices by Case'!O$31</f>
        <v>1.1873845540658408</v>
      </c>
      <c r="P16" s="3">
        <f>'Prices by Case'!P26/'Prices by Case'!P$31</f>
        <v>1.651007199506114</v>
      </c>
      <c r="Q16" s="3">
        <f>'Prices by Case'!Q26/'Prices by Case'!Q$31</f>
        <v>1.4527088961125627</v>
      </c>
      <c r="R16" s="3">
        <f>'Prices by Case'!R26/'Prices by Case'!R$31</f>
        <v>1.1835286933340528</v>
      </c>
      <c r="S16" s="3">
        <f>'Prices by Case'!S26/'Prices by Case'!S$31</f>
        <v>1.1209721228405787</v>
      </c>
      <c r="T16" s="3">
        <f>'Prices by Case'!T26/'Prices by Case'!T$31</f>
        <v>1.0321065887328629</v>
      </c>
      <c r="U16" s="3">
        <f>'Prices by Case'!U26/'Prices by Case'!U$31</f>
        <v>0.97711246509413052</v>
      </c>
      <c r="V16" s="3">
        <f>'Prices by Case'!V26/'Prices by Case'!V$31</f>
        <v>0.964656693424637</v>
      </c>
      <c r="W16" s="3">
        <f>'Prices by Case'!W26/'Prices by Case'!W$31</f>
        <v>0.92521448638451065</v>
      </c>
      <c r="X16" s="3">
        <f>'Prices by Case'!X26/'Prices by Case'!X$31</f>
        <v>0.93641960588379225</v>
      </c>
      <c r="Y16" s="3">
        <f>'Prices by Case'!Y26/'Prices by Case'!Y$31</f>
        <v>0.92916874784761627</v>
      </c>
      <c r="Z16" s="3">
        <f>'Prices by Case'!Z26/'Prices by Case'!Z$31</f>
        <v>0.95368350082656517</v>
      </c>
      <c r="AA16" s="3">
        <f>'Prices by Case'!AA26/'Prices by Case'!AA$31</f>
        <v>0.97178329643520878</v>
      </c>
      <c r="AB16" s="3">
        <f>'Prices by Case'!AB26/'Prices by Case'!AB$31</f>
        <v>0.96857845574289969</v>
      </c>
      <c r="AC16" s="3">
        <f>'Prices by Case'!AC26/'Prices by Case'!AC$31</f>
        <v>0.94913114229926465</v>
      </c>
      <c r="AD16" s="3">
        <f>'Prices by Case'!AD26/'Prices by Case'!AD$31</f>
        <v>0.92979375678253595</v>
      </c>
      <c r="AE16" s="3">
        <f>'Prices by Case'!AE26/'Prices by Case'!AE$31</f>
        <v>0.91801112265293661</v>
      </c>
      <c r="AF16" s="3">
        <f>'Prices by Case'!AF26/'Prices by Case'!AF$31</f>
        <v>0.89380572098003708</v>
      </c>
      <c r="AG16" s="3">
        <f>'Prices by Case'!AG26/'Prices by Case'!AG$31</f>
        <v>0.88819343645196391</v>
      </c>
      <c r="AH16" s="3">
        <f>'Prices by Case'!AH26/'Prices by Case'!AH$31</f>
        <v>0.87392110421935976</v>
      </c>
      <c r="AI16" s="3">
        <f>'Prices by Case'!AI26/'Prices by Case'!AI$31</f>
        <v>0.87612935435556338</v>
      </c>
      <c r="AJ16" s="3">
        <f>'Prices by Case'!AJ26/'Prices by Case'!AJ$31</f>
        <v>0.87331169806499842</v>
      </c>
      <c r="AK16" s="3">
        <f>'Prices by Case'!AK26/'Prices by Case'!AK$31</f>
        <v>0.82326049777644994</v>
      </c>
      <c r="AL16" s="3">
        <f>'Prices by Case'!AL26/'Prices by Case'!AL$31</f>
        <v>0.80343707123761821</v>
      </c>
      <c r="AM16" s="3">
        <f>'Prices by Case'!AM26/'Prices by Case'!AM$31</f>
        <v>0.81703885020815303</v>
      </c>
      <c r="AN16" s="3">
        <f>'Prices by Case'!AN26/'Prices by Case'!AN$31</f>
        <v>0.81083572651524349</v>
      </c>
      <c r="AO16" s="3">
        <f>'Prices by Case'!AO26/'Prices by Case'!AO$31</f>
        <v>0.80590711746002308</v>
      </c>
      <c r="AP16" s="3">
        <f>'Prices by Case'!AP26/'Prices by Case'!AP$31</f>
        <v>0.81440135454475293</v>
      </c>
      <c r="AQ16" s="3">
        <f>'Prices by Case'!AQ26/'Prices by Case'!AQ$31</f>
        <v>0.8194248780265031</v>
      </c>
    </row>
    <row r="17" spans="1:43" x14ac:dyDescent="0.25">
      <c r="A17" t="s">
        <v>11</v>
      </c>
      <c r="B17" t="s">
        <v>6</v>
      </c>
      <c r="C17" s="3" t="e">
        <f>'Prices by Case'!#REF!/'Prices by Case'!#REF!</f>
        <v>#REF!</v>
      </c>
      <c r="D17" s="3" t="e">
        <f>'Prices by Case'!#REF!/'Prices by Case'!#REF!</f>
        <v>#REF!</v>
      </c>
      <c r="E17" s="3" t="e">
        <f>'Prices by Case'!#REF!/'Prices by Case'!#REF!</f>
        <v>#REF!</v>
      </c>
      <c r="F17" s="3" t="e">
        <f>'Prices by Case'!#REF!/'Prices by Case'!#REF!</f>
        <v>#REF!</v>
      </c>
      <c r="G17" s="3" t="e">
        <f>'Prices by Case'!#REF!/'Prices by Case'!#REF!</f>
        <v>#REF!</v>
      </c>
      <c r="H17" s="3" t="e">
        <f>'Prices by Case'!#REF!/'Prices by Case'!#REF!</f>
        <v>#REF!</v>
      </c>
      <c r="I17" s="3">
        <f>'Prices by Case'!I27/'Prices by Case'!I$31</f>
        <v>0.97831723616946153</v>
      </c>
      <c r="J17" s="3">
        <f>'Prices by Case'!J27/'Prices by Case'!J$31</f>
        <v>0.96842023276711353</v>
      </c>
      <c r="K17" s="3">
        <f>'Prices by Case'!K27/'Prices by Case'!K$31</f>
        <v>1.0108494721203278</v>
      </c>
      <c r="L17" s="3">
        <f>'Prices by Case'!L27/'Prices by Case'!L$31</f>
        <v>1.0697868678706723</v>
      </c>
      <c r="M17" s="3">
        <f>'Prices by Case'!M27/'Prices by Case'!M$31</f>
        <v>1.1148411316066122</v>
      </c>
      <c r="N17" s="3">
        <f>'Prices by Case'!N27/'Prices by Case'!N$31</f>
        <v>1.1268103298107919</v>
      </c>
      <c r="O17" s="3">
        <f>'Prices by Case'!O27/'Prices by Case'!O$31</f>
        <v>1.0692286007201364</v>
      </c>
      <c r="P17" s="3">
        <f>'Prices by Case'!P27/'Prices by Case'!P$31</f>
        <v>1.114841131606612</v>
      </c>
      <c r="Q17" s="3">
        <f>'Prices by Case'!Q27/'Prices by Case'!Q$31</f>
        <v>1.1816663302400467</v>
      </c>
      <c r="R17" s="3">
        <f>'Prices by Case'!R27/'Prices by Case'!R$31</f>
        <v>1.0417874612355811</v>
      </c>
      <c r="S17" s="3">
        <f>'Prices by Case'!S27/'Prices by Case'!S$31</f>
        <v>1.0025448190929578</v>
      </c>
      <c r="T17" s="3">
        <f>'Prices by Case'!T27/'Prices by Case'!T$31</f>
        <v>1.004099603202889</v>
      </c>
      <c r="U17" s="3">
        <f>'Prices by Case'!U27/'Prices by Case'!U$31</f>
        <v>1.0435374926998076</v>
      </c>
      <c r="V17" s="3">
        <f>'Prices by Case'!V27/'Prices by Case'!V$31</f>
        <v>1.0506534227819819</v>
      </c>
      <c r="W17" s="3">
        <f>'Prices by Case'!W27/'Prices by Case'!W$31</f>
        <v>1.0578682152579086</v>
      </c>
      <c r="X17" s="3">
        <f>'Prices by Case'!X27/'Prices by Case'!X$31</f>
        <v>1.0706428787067124</v>
      </c>
      <c r="Y17" s="3">
        <f>'Prices by Case'!Y27/'Prices by Case'!Y$31</f>
        <v>1.0699554061085765</v>
      </c>
      <c r="Z17" s="3">
        <f>'Prices by Case'!Z27/'Prices by Case'!Z$31</f>
        <v>1.0553203883571882</v>
      </c>
      <c r="AA17" s="3">
        <f>'Prices by Case'!AA27/'Prices by Case'!AA$31</f>
        <v>1.0517256401481365</v>
      </c>
      <c r="AB17" s="3">
        <f>'Prices by Case'!AB27/'Prices by Case'!AB$31</f>
        <v>1.0453353221223183</v>
      </c>
      <c r="AC17" s="3">
        <f>'Prices by Case'!AC27/'Prices by Case'!AC$31</f>
        <v>1.0455179023260113</v>
      </c>
      <c r="AD17" s="3">
        <f>'Prices by Case'!AD27/'Prices by Case'!AD$31</f>
        <v>1.0342162100855987</v>
      </c>
      <c r="AE17" s="3">
        <f>'Prices by Case'!AE27/'Prices by Case'!AE$31</f>
        <v>1.0403766801793524</v>
      </c>
      <c r="AF17" s="3">
        <f>'Prices by Case'!AF27/'Prices by Case'!AF$31</f>
        <v>1.0590783680411449</v>
      </c>
      <c r="AG17" s="3">
        <f>'Prices by Case'!AG27/'Prices by Case'!AG$31</f>
        <v>1.0657635655571651</v>
      </c>
      <c r="AH17" s="3">
        <f>'Prices by Case'!AH27/'Prices by Case'!AH$31</f>
        <v>1.0692101145899682</v>
      </c>
      <c r="AI17" s="3">
        <f>'Prices by Case'!AI27/'Prices by Case'!AI$31</f>
        <v>1.0545558929750534</v>
      </c>
      <c r="AJ17" s="3">
        <f>'Prices by Case'!AJ27/'Prices by Case'!AJ$31</f>
        <v>1.0585800479488716</v>
      </c>
      <c r="AK17" s="3">
        <f>'Prices by Case'!AK27/'Prices by Case'!AK$31</f>
        <v>1.069303490207645</v>
      </c>
      <c r="AL17" s="3">
        <f>'Prices by Case'!AL27/'Prices by Case'!AL$31</f>
        <v>1.0850341896380704</v>
      </c>
      <c r="AM17" s="3">
        <f>'Prices by Case'!AM27/'Prices by Case'!AM$31</f>
        <v>1.0833613648732505</v>
      </c>
      <c r="AN17" s="3">
        <f>'Prices by Case'!AN27/'Prices by Case'!AN$31</f>
        <v>1.0865471299876541</v>
      </c>
      <c r="AO17" s="3">
        <f>'Prices by Case'!AO27/'Prices by Case'!AO$31</f>
        <v>1.0817770948563701</v>
      </c>
      <c r="AP17" s="3">
        <f>'Prices by Case'!AP27/'Prices by Case'!AP$31</f>
        <v>1.0721455082434554</v>
      </c>
      <c r="AQ17" s="3">
        <f>'Prices by Case'!AQ27/'Prices by Case'!AQ$31</f>
        <v>1.0654507120982892</v>
      </c>
    </row>
    <row r="18" spans="1:43" x14ac:dyDescent="0.25">
      <c r="A18" t="s">
        <v>11</v>
      </c>
      <c r="B18" t="s">
        <v>7</v>
      </c>
      <c r="C18" s="3" t="e">
        <f>'Prices by Case'!#REF!/'Prices by Case'!#REF!</f>
        <v>#REF!</v>
      </c>
      <c r="D18" s="3" t="e">
        <f>'Prices by Case'!#REF!/'Prices by Case'!#REF!</f>
        <v>#REF!</v>
      </c>
      <c r="E18" s="3" t="e">
        <f>'Prices by Case'!#REF!/'Prices by Case'!#REF!</f>
        <v>#REF!</v>
      </c>
      <c r="F18" s="3" t="e">
        <f>'Prices by Case'!#REF!/'Prices by Case'!#REF!</f>
        <v>#REF!</v>
      </c>
      <c r="G18" s="3" t="e">
        <f>'Prices by Case'!#REF!/'Prices by Case'!#REF!</f>
        <v>#REF!</v>
      </c>
      <c r="H18" s="3" t="e">
        <f>'Prices by Case'!#REF!/'Prices by Case'!#REF!</f>
        <v>#REF!</v>
      </c>
      <c r="I18" s="3">
        <f>'Prices by Case'!I28/'Prices by Case'!I$31</f>
        <v>1.2043344392037185</v>
      </c>
      <c r="J18" s="3">
        <f>'Prices by Case'!J28/'Prices by Case'!J$31</f>
        <v>1.1264067640640349</v>
      </c>
      <c r="K18" s="3">
        <f>'Prices by Case'!K28/'Prices by Case'!K$31</f>
        <v>1.0988539598644911</v>
      </c>
      <c r="L18" s="3">
        <f>'Prices by Case'!L28/'Prices by Case'!L$31</f>
        <v>1.1697050150588186</v>
      </c>
      <c r="M18" s="3">
        <f>'Prices by Case'!M28/'Prices by Case'!M$31</f>
        <v>1.1926138566693181</v>
      </c>
      <c r="N18" s="3">
        <f>'Prices by Case'!N28/'Prices by Case'!N$31</f>
        <v>1.1133990768257391</v>
      </c>
      <c r="O18" s="3">
        <f>'Prices by Case'!O28/'Prices by Case'!O$31</f>
        <v>1.1361576487725678</v>
      </c>
      <c r="P18" s="3">
        <f>'Prices by Case'!P28/'Prices by Case'!P$31</f>
        <v>1.1926138566693181</v>
      </c>
      <c r="Q18" s="3">
        <f>'Prices by Case'!Q28/'Prices by Case'!Q$31</f>
        <v>1.2758808586489769</v>
      </c>
      <c r="R18" s="3">
        <f>'Prices by Case'!R28/'Prices by Case'!R$31</f>
        <v>1.1742779609639693</v>
      </c>
      <c r="S18" s="3">
        <f>'Prices by Case'!S28/'Prices by Case'!S$31</f>
        <v>1.1659119340722459</v>
      </c>
      <c r="T18" s="3">
        <f>'Prices by Case'!T28/'Prices by Case'!T$31</f>
        <v>1.1701724998217975</v>
      </c>
      <c r="U18" s="3">
        <f>'Prices by Case'!U28/'Prices by Case'!U$31</f>
        <v>1.1535382507860421</v>
      </c>
      <c r="V18" s="3">
        <f>'Prices by Case'!V28/'Prices by Case'!V$31</f>
        <v>1.1303705988986283</v>
      </c>
      <c r="W18" s="3">
        <f>'Prices by Case'!W28/'Prices by Case'!W$31</f>
        <v>1.1062736756300666</v>
      </c>
      <c r="X18" s="3">
        <f>'Prices by Case'!X28/'Prices by Case'!X$31</f>
        <v>1.0991835182680054</v>
      </c>
      <c r="Y18" s="3">
        <f>'Prices by Case'!Y28/'Prices by Case'!Y$31</f>
        <v>1.0709635692792023</v>
      </c>
      <c r="Z18" s="3">
        <f>'Prices by Case'!Z28/'Prices by Case'!Z$31</f>
        <v>1.069533963206422</v>
      </c>
      <c r="AA18" s="3">
        <f>'Prices by Case'!AA28/'Prices by Case'!AA$31</f>
        <v>1.0684903874322331</v>
      </c>
      <c r="AB18" s="3">
        <f>'Prices by Case'!AB28/'Prices by Case'!AB$31</f>
        <v>1.0717077803581916</v>
      </c>
      <c r="AC18" s="3">
        <f>'Prices by Case'!AC28/'Prices by Case'!AC$31</f>
        <v>1.0744023005870034</v>
      </c>
      <c r="AD18" s="3">
        <f>'Prices by Case'!AD28/'Prices by Case'!AD$31</f>
        <v>1.0884135157935446</v>
      </c>
      <c r="AE18" s="3">
        <f>'Prices by Case'!AE28/'Prices by Case'!AE$31</f>
        <v>1.0925420224528088</v>
      </c>
      <c r="AF18" s="3">
        <f>'Prices by Case'!AF28/'Prices by Case'!AF$31</f>
        <v>1.0983637737251946</v>
      </c>
      <c r="AG18" s="3">
        <f>'Prices by Case'!AG28/'Prices by Case'!AG$31</f>
        <v>1.0872518564663276</v>
      </c>
      <c r="AH18" s="3">
        <f>'Prices by Case'!AH28/'Prices by Case'!AH$31</f>
        <v>1.096177654646985</v>
      </c>
      <c r="AI18" s="3">
        <f>'Prices by Case'!AI28/'Prices by Case'!AI$31</f>
        <v>1.1014142848227659</v>
      </c>
      <c r="AJ18" s="3">
        <f>'Prices by Case'!AJ28/'Prices by Case'!AJ$31</f>
        <v>1.104700084823147</v>
      </c>
      <c r="AK18" s="3">
        <f>'Prices by Case'!AK28/'Prices by Case'!AK$31</f>
        <v>1.0874541903125883</v>
      </c>
      <c r="AL18" s="3">
        <f>'Prices by Case'!AL28/'Prices by Case'!AL$31</f>
        <v>1.0619642348509706</v>
      </c>
      <c r="AM18" s="3">
        <f>'Prices by Case'!AM28/'Prices by Case'!AM$31</f>
        <v>1.0592027378195847</v>
      </c>
      <c r="AN18" s="3">
        <f>'Prices by Case'!AN28/'Prices by Case'!AN$31</f>
        <v>1.0529663456445544</v>
      </c>
      <c r="AO18" s="3">
        <f>'Prices by Case'!AO28/'Prices by Case'!AO$31</f>
        <v>1.0507438379246106</v>
      </c>
      <c r="AP18" s="3">
        <f>'Prices by Case'!AP28/'Prices by Case'!AP$31</f>
        <v>1.0449723620391715</v>
      </c>
      <c r="AQ18" s="3">
        <f>'Prices by Case'!AQ28/'Prices by Case'!AQ$31</f>
        <v>1.0443319978812404</v>
      </c>
    </row>
    <row r="19" spans="1:43" x14ac:dyDescent="0.25">
      <c r="A19" t="s">
        <v>11</v>
      </c>
      <c r="B19" t="s">
        <v>8</v>
      </c>
      <c r="C19" s="3" t="e">
        <f>'Prices by Case'!#REF!/'Prices by Case'!#REF!</f>
        <v>#REF!</v>
      </c>
      <c r="D19" s="3" t="e">
        <f>'Prices by Case'!#REF!/'Prices by Case'!#REF!</f>
        <v>#REF!</v>
      </c>
      <c r="E19" s="3" t="e">
        <f>'Prices by Case'!#REF!/'Prices by Case'!#REF!</f>
        <v>#REF!</v>
      </c>
      <c r="F19" s="3" t="e">
        <f>'Prices by Case'!#REF!/'Prices by Case'!#REF!</f>
        <v>#REF!</v>
      </c>
      <c r="G19" s="3" t="e">
        <f>'Prices by Case'!#REF!/'Prices by Case'!#REF!</f>
        <v>#REF!</v>
      </c>
      <c r="H19" s="3" t="e">
        <f>'Prices by Case'!#REF!/'Prices by Case'!#REF!</f>
        <v>#REF!</v>
      </c>
      <c r="I19" s="3">
        <f>'Prices by Case'!I29/'Prices by Case'!I$31</f>
        <v>0.93384992888885254</v>
      </c>
      <c r="J19" s="3">
        <f>'Prices by Case'!J29/'Prices by Case'!J$31</f>
        <v>1.0332269356753321</v>
      </c>
      <c r="K19" s="3">
        <f>'Prices by Case'!K29/'Prices by Case'!K$31</f>
        <v>1.0148504596577803</v>
      </c>
      <c r="L19" s="3">
        <f>'Prices by Case'!L29/'Prices by Case'!L$31</f>
        <v>0.95671700264797355</v>
      </c>
      <c r="M19" s="3">
        <f>'Prices by Case'!M29/'Prices by Case'!M$31</f>
        <v>0.96275222888063849</v>
      </c>
      <c r="N19" s="3">
        <f>'Prices by Case'!N29/'Prices by Case'!N$31</f>
        <v>0.94979926814874005</v>
      </c>
      <c r="O19" s="3">
        <f>'Prices by Case'!O29/'Prices by Case'!O$31</f>
        <v>1.0143863422269408</v>
      </c>
      <c r="P19" s="3">
        <f>'Prices by Case'!P29/'Prices by Case'!P$31</f>
        <v>0.96275222888063861</v>
      </c>
      <c r="Q19" s="3">
        <f>'Prices by Case'!Q29/'Prices by Case'!Q$31</f>
        <v>0.9665154401434537</v>
      </c>
      <c r="R19" s="3">
        <f>'Prices by Case'!R29/'Prices by Case'!R$31</f>
        <v>0.98903817643834535</v>
      </c>
      <c r="S19" s="3">
        <f>'Prices by Case'!S29/'Prices by Case'!S$31</f>
        <v>0.97357365031615539</v>
      </c>
      <c r="T19" s="3">
        <f>'Prices by Case'!T29/'Prices by Case'!T$31</f>
        <v>0.99796635540665768</v>
      </c>
      <c r="U19" s="3">
        <f>'Prices by Case'!U29/'Prices by Case'!U$31</f>
        <v>1.0034316185096648</v>
      </c>
      <c r="V19" s="3">
        <f>'Prices by Case'!V29/'Prices by Case'!V$31</f>
        <v>1.0272161023699053</v>
      </c>
      <c r="W19" s="3">
        <f>'Prices by Case'!W29/'Prices by Case'!W$31</f>
        <v>1.0537599524544958</v>
      </c>
      <c r="X19" s="3">
        <f>'Prices by Case'!X29/'Prices by Case'!X$31</f>
        <v>1.0366255529152355</v>
      </c>
      <c r="Y19" s="3">
        <f>'Prices by Case'!Y29/'Prices by Case'!Y$31</f>
        <v>1.0465348628863773</v>
      </c>
      <c r="Z19" s="3">
        <f>'Prices by Case'!Z29/'Prices by Case'!Z$31</f>
        <v>1.0304486083814723</v>
      </c>
      <c r="AA19" s="3">
        <f>'Prices by Case'!AA29/'Prices by Case'!AA$31</f>
        <v>1.0102145762926309</v>
      </c>
      <c r="AB19" s="3">
        <f>'Prices by Case'!AB29/'Prices by Case'!AB$31</f>
        <v>0.99818539000287543</v>
      </c>
      <c r="AC19" s="3">
        <f>'Prices by Case'!AC29/'Prices by Case'!AC$31</f>
        <v>0.99149210284383305</v>
      </c>
      <c r="AD19" s="3">
        <f>'Prices by Case'!AD29/'Prices by Case'!AD$31</f>
        <v>0.98192779383895412</v>
      </c>
      <c r="AE19" s="3">
        <f>'Prices by Case'!AE29/'Prices by Case'!AE$31</f>
        <v>0.97938621656047775</v>
      </c>
      <c r="AF19" s="3">
        <f>'Prices by Case'!AF29/'Prices by Case'!AF$31</f>
        <v>0.94238318000658472</v>
      </c>
      <c r="AG19" s="3">
        <f>'Prices by Case'!AG29/'Prices by Case'!AG$31</f>
        <v>0.96246230191858351</v>
      </c>
      <c r="AH19" s="3">
        <f>'Prices by Case'!AH29/'Prices by Case'!AH$31</f>
        <v>0.95631543470598057</v>
      </c>
      <c r="AI19" s="3">
        <f>'Prices by Case'!AI29/'Prices by Case'!AI$31</f>
        <v>0.95767211078543479</v>
      </c>
      <c r="AJ19" s="3">
        <f>'Prices by Case'!AJ29/'Prices by Case'!AJ$31</f>
        <v>0.96722732718839033</v>
      </c>
      <c r="AK19" s="3">
        <f>'Prices by Case'!AK29/'Prices by Case'!AK$31</f>
        <v>0.95602940934460656</v>
      </c>
      <c r="AL19" s="3">
        <f>'Prices by Case'!AL29/'Prices by Case'!AL$31</f>
        <v>0.96301528831496241</v>
      </c>
      <c r="AM19" s="3">
        <f>'Prices by Case'!AM29/'Prices by Case'!AM$31</f>
        <v>0.98318697522446985</v>
      </c>
      <c r="AN19" s="3">
        <f>'Prices by Case'!AN29/'Prices by Case'!AN$31</f>
        <v>0.97607327148512546</v>
      </c>
      <c r="AO19" s="3">
        <f>'Prices by Case'!AO29/'Prices by Case'!AO$31</f>
        <v>0.97140473677332217</v>
      </c>
      <c r="AP19" s="3">
        <f>'Prices by Case'!AP29/'Prices by Case'!AP$31</f>
        <v>0.97157418344638835</v>
      </c>
      <c r="AQ19" s="3">
        <f>'Prices by Case'!AQ29/'Prices by Case'!AQ$31</f>
        <v>0.96776951296622993</v>
      </c>
    </row>
    <row r="20" spans="1:43" x14ac:dyDescent="0.25">
      <c r="A20" t="s">
        <v>11</v>
      </c>
      <c r="B20" t="s">
        <v>9</v>
      </c>
      <c r="C20" s="3" t="e">
        <f>'Prices by Case'!#REF!/'Prices by Case'!#REF!</f>
        <v>#REF!</v>
      </c>
      <c r="D20" s="3" t="e">
        <f>'Prices by Case'!#REF!/'Prices by Case'!#REF!</f>
        <v>#REF!</v>
      </c>
      <c r="E20" s="3" t="e">
        <f>'Prices by Case'!#REF!/'Prices by Case'!#REF!</f>
        <v>#REF!</v>
      </c>
      <c r="F20" s="3" t="e">
        <f>'Prices by Case'!#REF!/'Prices by Case'!#REF!</f>
        <v>#REF!</v>
      </c>
      <c r="G20" s="3" t="e">
        <f>'Prices by Case'!#REF!/'Prices by Case'!#REF!</f>
        <v>#REF!</v>
      </c>
      <c r="H20" s="3" t="e">
        <f>'Prices by Case'!#REF!/'Prices by Case'!#REF!</f>
        <v>#REF!</v>
      </c>
      <c r="I20" s="3">
        <f>'Prices by Case'!I30/'Prices by Case'!I$31</f>
        <v>0.82635312309523701</v>
      </c>
      <c r="J20" s="3">
        <f>'Prices by Case'!J30/'Prices by Case'!J$31</f>
        <v>0.88177253786540233</v>
      </c>
      <c r="K20" s="3">
        <f>'Prices by Case'!K30/'Prices by Case'!K$31</f>
        <v>0.88610946765011378</v>
      </c>
      <c r="L20" s="3">
        <f>'Prices by Case'!L30/'Prices by Case'!L$31</f>
        <v>0.81354629056349026</v>
      </c>
      <c r="M20" s="3">
        <f>'Prices by Case'!M30/'Prices by Case'!M$31</f>
        <v>0.80043014812081903</v>
      </c>
      <c r="N20" s="3">
        <f>'Prices by Case'!N30/'Prices by Case'!N$31</f>
        <v>0.91337604504751702</v>
      </c>
      <c r="O20" s="3">
        <f>'Prices by Case'!O30/'Prices by Case'!O$31</f>
        <v>0.97881656583895771</v>
      </c>
      <c r="P20" s="3">
        <f>'Prices by Case'!P30/'Prices by Case'!P$31</f>
        <v>0.80043014812081903</v>
      </c>
      <c r="Q20" s="3">
        <f>'Prices by Case'!Q30/'Prices by Case'!Q$31</f>
        <v>0.81439104391893247</v>
      </c>
      <c r="R20" s="3">
        <f>'Prices by Case'!R30/'Prices by Case'!R$31</f>
        <v>0.9072251113729809</v>
      </c>
      <c r="S20" s="3">
        <f>'Prices by Case'!S30/'Prices by Case'!S$31</f>
        <v>0.89251303319265762</v>
      </c>
      <c r="T20" s="3">
        <f>'Prices by Case'!T30/'Prices by Case'!T$31</f>
        <v>0.90487561479791845</v>
      </c>
      <c r="U20" s="3">
        <f>'Prices by Case'!U30/'Prices by Case'!U$31</f>
        <v>0.92830949659739326</v>
      </c>
      <c r="V20" s="3">
        <f>'Prices by Case'!V30/'Prices by Case'!V$31</f>
        <v>0.95104259296227067</v>
      </c>
      <c r="W20" s="3">
        <f>'Prices by Case'!W30/'Prices by Case'!W$31</f>
        <v>0.97815537619971304</v>
      </c>
      <c r="X20" s="3">
        <f>'Prices by Case'!X30/'Prices by Case'!X$31</f>
        <v>0.98298962709720694</v>
      </c>
      <c r="Y20" s="3">
        <f>'Prices by Case'!Y30/'Prices by Case'!Y$31</f>
        <v>0.97770744655808706</v>
      </c>
      <c r="Z20" s="3">
        <f>'Prices by Case'!Z30/'Prices by Case'!Z$31</f>
        <v>0.97602335275488139</v>
      </c>
      <c r="AA20" s="3">
        <f>'Prices by Case'!AA30/'Prices by Case'!AA$31</f>
        <v>0.97639366930580329</v>
      </c>
      <c r="AB20" s="3">
        <f>'Prices by Case'!AB30/'Prices by Case'!AB$31</f>
        <v>0.96618827216422365</v>
      </c>
      <c r="AC20" s="3">
        <f>'Prices by Case'!AC30/'Prices by Case'!AC$31</f>
        <v>0.97955725987647768</v>
      </c>
      <c r="AD20" s="3">
        <f>'Prices by Case'!AD30/'Prices by Case'!AD$31</f>
        <v>0.98989966459737033</v>
      </c>
      <c r="AE20" s="3">
        <f>'Prices by Case'!AE30/'Prices by Case'!AE$31</f>
        <v>0.99540956188147589</v>
      </c>
      <c r="AF20" s="3">
        <f>'Prices by Case'!AF30/'Prices by Case'!AF$31</f>
        <v>1.0140511752599126</v>
      </c>
      <c r="AG20" s="3">
        <f>'Prices by Case'!AG30/'Prices by Case'!AG$31</f>
        <v>1.0128909566807502</v>
      </c>
      <c r="AH20" s="3">
        <f>'Prices by Case'!AH30/'Prices by Case'!AH$31</f>
        <v>1.012886022250119</v>
      </c>
      <c r="AI20" s="3">
        <f>'Prices by Case'!AI30/'Prices by Case'!AI$31</f>
        <v>1.0172073039634097</v>
      </c>
      <c r="AJ20" s="3">
        <f>'Prices by Case'!AJ30/'Prices by Case'!AJ$31</f>
        <v>1.0188179632157681</v>
      </c>
      <c r="AK20" s="3">
        <f>'Prices by Case'!AK30/'Prices by Case'!AK$31</f>
        <v>1.0359289729895322</v>
      </c>
      <c r="AL20" s="3">
        <f>'Prices by Case'!AL30/'Prices by Case'!AL$31</f>
        <v>1.0431055546789361</v>
      </c>
      <c r="AM20" s="3">
        <f>'Prices by Case'!AM30/'Prices by Case'!AM$31</f>
        <v>1.0438867227899935</v>
      </c>
      <c r="AN20" s="3">
        <f>'Prices by Case'!AN30/'Prices by Case'!AN$31</f>
        <v>1.0460185428267448</v>
      </c>
      <c r="AO20" s="3">
        <f>'Prices by Case'!AO30/'Prices by Case'!AO$31</f>
        <v>1.0529281433066469</v>
      </c>
      <c r="AP20" s="3">
        <f>'Prices by Case'!AP30/'Prices by Case'!AP$31</f>
        <v>1.0558843101041542</v>
      </c>
      <c r="AQ20" s="3">
        <f>'Prices by Case'!AQ30/'Prices by Case'!AQ$31</f>
        <v>1.0527802429023667</v>
      </c>
    </row>
    <row r="21" spans="1:43" s="4" customFormat="1" x14ac:dyDescent="0.25">
      <c r="A21" s="4" t="s">
        <v>11</v>
      </c>
      <c r="B21" s="4" t="s">
        <v>10</v>
      </c>
      <c r="C21" s="5" t="e">
        <f>'Prices by Case'!#REF!/'Prices by Case'!#REF!</f>
        <v>#REF!</v>
      </c>
      <c r="D21" s="5" t="e">
        <f>'Prices by Case'!#REF!/'Prices by Case'!#REF!</f>
        <v>#REF!</v>
      </c>
      <c r="E21" s="5" t="e">
        <f>'Prices by Case'!#REF!/'Prices by Case'!#REF!</f>
        <v>#REF!</v>
      </c>
      <c r="F21" s="5" t="e">
        <f>'Prices by Case'!#REF!/'Prices by Case'!#REF!</f>
        <v>#REF!</v>
      </c>
      <c r="G21" s="5" t="e">
        <f>'Prices by Case'!#REF!/'Prices by Case'!#REF!</f>
        <v>#REF!</v>
      </c>
      <c r="H21" s="5" t="e">
        <f>'Prices by Case'!#REF!/'Prices by Case'!#REF!</f>
        <v>#REF!</v>
      </c>
      <c r="I21" s="5">
        <f>'Prices by Case'!I31/'Prices by Case'!I$31</f>
        <v>1</v>
      </c>
      <c r="J21" s="5">
        <f>'Prices by Case'!J31/'Prices by Case'!J$31</f>
        <v>1</v>
      </c>
      <c r="K21" s="5">
        <f>'Prices by Case'!K31/'Prices by Case'!K$31</f>
        <v>1</v>
      </c>
      <c r="L21" s="5">
        <f>'Prices by Case'!L31/'Prices by Case'!L$31</f>
        <v>1</v>
      </c>
      <c r="M21" s="5">
        <f>'Prices by Case'!M31/'Prices by Case'!M$31</f>
        <v>1</v>
      </c>
      <c r="N21" s="5">
        <f>'Prices by Case'!N31/'Prices by Case'!N$31</f>
        <v>1</v>
      </c>
      <c r="O21" s="5">
        <f>'Prices by Case'!O31/'Prices by Case'!O$31</f>
        <v>1</v>
      </c>
      <c r="P21" s="5">
        <f>'Prices by Case'!P31/'Prices by Case'!P$31</f>
        <v>1</v>
      </c>
      <c r="Q21" s="5">
        <f>'Prices by Case'!Q31/'Prices by Case'!Q$31</f>
        <v>1</v>
      </c>
      <c r="R21" s="5">
        <f>'Prices by Case'!R31/'Prices by Case'!R$31</f>
        <v>1</v>
      </c>
      <c r="S21" s="5">
        <f>'Prices by Case'!S31/'Prices by Case'!S$31</f>
        <v>1</v>
      </c>
      <c r="T21" s="5">
        <f>'Prices by Case'!T31/'Prices by Case'!T$31</f>
        <v>1</v>
      </c>
      <c r="U21" s="5">
        <f>'Prices by Case'!U31/'Prices by Case'!U$31</f>
        <v>1</v>
      </c>
      <c r="V21" s="5">
        <f>'Prices by Case'!V31/'Prices by Case'!V$31</f>
        <v>1</v>
      </c>
      <c r="W21" s="5">
        <f>'Prices by Case'!W31/'Prices by Case'!W$31</f>
        <v>1</v>
      </c>
      <c r="X21" s="5">
        <f>'Prices by Case'!X31/'Prices by Case'!X$31</f>
        <v>1</v>
      </c>
      <c r="Y21" s="5">
        <f>'Prices by Case'!Y31/'Prices by Case'!Y$31</f>
        <v>1</v>
      </c>
      <c r="Z21" s="5">
        <f>'Prices by Case'!Z31/'Prices by Case'!Z$31</f>
        <v>1</v>
      </c>
      <c r="AA21" s="5">
        <f>'Prices by Case'!AA31/'Prices by Case'!AA$31</f>
        <v>1</v>
      </c>
      <c r="AB21" s="5">
        <f>'Prices by Case'!AB31/'Prices by Case'!AB$31</f>
        <v>1</v>
      </c>
      <c r="AC21" s="5">
        <f>'Prices by Case'!AC31/'Prices by Case'!AC$31</f>
        <v>1</v>
      </c>
      <c r="AD21" s="5">
        <f>'Prices by Case'!AD31/'Prices by Case'!AD$31</f>
        <v>1</v>
      </c>
      <c r="AE21" s="5">
        <f>'Prices by Case'!AE31/'Prices by Case'!AE$31</f>
        <v>1</v>
      </c>
      <c r="AF21" s="5">
        <f>'Prices by Case'!AF31/'Prices by Case'!AF$31</f>
        <v>1</v>
      </c>
      <c r="AG21" s="5">
        <f>'Prices by Case'!AG31/'Prices by Case'!AG$31</f>
        <v>1</v>
      </c>
      <c r="AH21" s="5">
        <f>'Prices by Case'!AH31/'Prices by Case'!AH$31</f>
        <v>1</v>
      </c>
      <c r="AI21" s="5">
        <f>'Prices by Case'!AI31/'Prices by Case'!AI$31</f>
        <v>1</v>
      </c>
      <c r="AJ21" s="5">
        <f>'Prices by Case'!AJ31/'Prices by Case'!AJ$31</f>
        <v>1</v>
      </c>
      <c r="AK21" s="5">
        <f>'Prices by Case'!AK31/'Prices by Case'!AK$31</f>
        <v>1</v>
      </c>
      <c r="AL21" s="5">
        <f>'Prices by Case'!AL31/'Prices by Case'!AL$31</f>
        <v>1</v>
      </c>
      <c r="AM21" s="5">
        <f>'Prices by Case'!AM31/'Prices by Case'!AM$31</f>
        <v>1</v>
      </c>
      <c r="AN21" s="5">
        <f>'Prices by Case'!AN31/'Prices by Case'!AN$31</f>
        <v>1</v>
      </c>
      <c r="AO21" s="5">
        <f>'Prices by Case'!AO31/'Prices by Case'!AO$31</f>
        <v>1</v>
      </c>
      <c r="AP21" s="5">
        <f>'Prices by Case'!AP31/'Prices by Case'!AP$31</f>
        <v>1</v>
      </c>
      <c r="AQ21" s="5">
        <f>'Prices by Case'!AQ31/'Prices by Case'!AQ$31</f>
        <v>1</v>
      </c>
    </row>
    <row r="22" spans="1:43" x14ac:dyDescent="0.25">
      <c r="A22" s="6" t="s">
        <v>16</v>
      </c>
      <c r="B22" t="s">
        <v>1</v>
      </c>
      <c r="C22" s="3" t="e">
        <f>'Prices by Case'!#REF!/'Prices by Case'!#REF!</f>
        <v>#REF!</v>
      </c>
      <c r="D22" s="3" t="e">
        <f>'Prices by Case'!#REF!/'Prices by Case'!#REF!</f>
        <v>#REF!</v>
      </c>
      <c r="E22" s="3" t="e">
        <f>'Prices by Case'!#REF!/'Prices by Case'!#REF!</f>
        <v>#REF!</v>
      </c>
      <c r="F22" s="3" t="e">
        <f>'Prices by Case'!#REF!/'Prices by Case'!#REF!</f>
        <v>#REF!</v>
      </c>
      <c r="G22" s="3" t="e">
        <f>'Prices by Case'!#REF!/'Prices by Case'!#REF!</f>
        <v>#REF!</v>
      </c>
      <c r="H22" s="3" t="e">
        <f>'Prices by Case'!#REF!/'Prices by Case'!#REF!</f>
        <v>#REF!</v>
      </c>
      <c r="I22" s="3">
        <f>'Prices by Case'!I22/'Prices by Case'!I$31</f>
        <v>0.96157475397451975</v>
      </c>
      <c r="J22" s="3">
        <f>'Prices by Case'!J22/'Prices by Case'!J$31</f>
        <v>0.98279300342847609</v>
      </c>
      <c r="K22" s="3">
        <f>'Prices by Case'!K22/'Prices by Case'!K$31</f>
        <v>0.95599994740924821</v>
      </c>
      <c r="L22" s="3">
        <f>'Prices by Case'!L22/'Prices by Case'!L$31</f>
        <v>0.87725611185151764</v>
      </c>
      <c r="M22" s="3">
        <f>'Prices by Case'!M22/'Prices by Case'!M$31</f>
        <v>0.82088996698302652</v>
      </c>
      <c r="N22" s="3">
        <f>'Prices by Case'!N22/'Prices by Case'!N$31</f>
        <v>0.8749061785172545</v>
      </c>
      <c r="O22" s="3">
        <f>'Prices by Case'!O22/'Prices by Case'!O$31</f>
        <v>0.89587483641523913</v>
      </c>
      <c r="P22" s="3">
        <f>'Prices by Case'!P22/'Prices by Case'!P$31</f>
        <v>0.82088996698302652</v>
      </c>
      <c r="Q22" s="3">
        <f>'Prices by Case'!Q22/'Prices by Case'!Q$31</f>
        <v>0.8479513457248633</v>
      </c>
      <c r="R22" s="3">
        <f>'Prices by Case'!R22/'Prices by Case'!R$31</f>
        <v>0.921611815039307</v>
      </c>
      <c r="S22" s="3">
        <f>'Prices by Case'!S22/'Prices by Case'!S$31</f>
        <v>0.92488208063785982</v>
      </c>
      <c r="T22" s="3">
        <f>'Prices by Case'!T22/'Prices by Case'!T$31</f>
        <v>0.93388481003635326</v>
      </c>
      <c r="U22" s="3">
        <f>'Prices by Case'!U22/'Prices by Case'!U$31</f>
        <v>0.9266448192586807</v>
      </c>
      <c r="V22" s="3">
        <f>'Prices by Case'!V22/'Prices by Case'!V$31</f>
        <v>0.93170567442385677</v>
      </c>
      <c r="W22" s="3">
        <f>'Prices by Case'!W22/'Prices by Case'!W$31</f>
        <v>0.93434958213663066</v>
      </c>
      <c r="X22" s="3">
        <f>'Prices by Case'!X22/'Prices by Case'!X$31</f>
        <v>0.93772978219795611</v>
      </c>
      <c r="Y22" s="3">
        <f>'Prices by Case'!Y22/'Prices by Case'!Y$31</f>
        <v>0.94721699610748811</v>
      </c>
      <c r="Z22" s="3">
        <f>'Prices by Case'!Z22/'Prices by Case'!Z$31</f>
        <v>0.95416327616208185</v>
      </c>
      <c r="AA22" s="3">
        <f>'Prices by Case'!AA22/'Prices by Case'!AA$31</f>
        <v>0.95572751155223756</v>
      </c>
      <c r="AB22" s="3">
        <f>'Prices by Case'!AB22/'Prices by Case'!AB$31</f>
        <v>0.95363917698786616</v>
      </c>
      <c r="AC22" s="3">
        <f>'Prices by Case'!AC22/'Prices by Case'!AC$31</f>
        <v>0.95159651425166958</v>
      </c>
      <c r="AD22" s="3">
        <f>'Prices by Case'!AD22/'Prices by Case'!AD$31</f>
        <v>0.93105142438482658</v>
      </c>
      <c r="AE22" s="3">
        <f>'Prices by Case'!AE22/'Prices by Case'!AE$31</f>
        <v>0.92410620646033892</v>
      </c>
      <c r="AF22" s="3">
        <f>'Prices by Case'!AF22/'Prices by Case'!AF$31</f>
        <v>0.89957524260625188</v>
      </c>
      <c r="AG22" s="3">
        <f>'Prices by Case'!AG22/'Prices by Case'!AG$31</f>
        <v>0.90832975798050131</v>
      </c>
      <c r="AH22" s="3">
        <f>'Prices by Case'!AH22/'Prices by Case'!AH$31</f>
        <v>0.90570463863654638</v>
      </c>
      <c r="AI22" s="3">
        <f>'Prices by Case'!AI22/'Prices by Case'!AI$31</f>
        <v>0.90581542001513859</v>
      </c>
      <c r="AJ22" s="3">
        <f>'Prices by Case'!AJ22/'Prices by Case'!AJ$31</f>
        <v>0.90866600626123861</v>
      </c>
      <c r="AK22" s="3">
        <f>'Prices by Case'!AK22/'Prices by Case'!AK$31</f>
        <v>0.89755263920764905</v>
      </c>
      <c r="AL22" s="3">
        <f>'Prices by Case'!AL22/'Prices by Case'!AL$31</f>
        <v>0.9003801548128374</v>
      </c>
      <c r="AM22" s="3">
        <f>'Prices by Case'!AM22/'Prices by Case'!AM$31</f>
        <v>0.91974097350944173</v>
      </c>
      <c r="AN22" s="3">
        <f>'Prices by Case'!AN22/'Prices by Case'!AN$31</f>
        <v>0.91684683708497472</v>
      </c>
      <c r="AO22" s="3">
        <f>'Prices by Case'!AO22/'Prices by Case'!AO$31</f>
        <v>0.9147851837632951</v>
      </c>
      <c r="AP22" s="3">
        <f>'Prices by Case'!AP22/'Prices by Case'!AP$31</f>
        <v>0.91779025934878244</v>
      </c>
      <c r="AQ22" s="3">
        <f>'Prices by Case'!AQ22/'Prices by Case'!AQ$31</f>
        <v>0.91750754805420043</v>
      </c>
    </row>
    <row r="23" spans="1:43" x14ac:dyDescent="0.25">
      <c r="A23" t="s">
        <v>16</v>
      </c>
      <c r="B23" t="s">
        <v>2</v>
      </c>
      <c r="C23" s="3" t="e">
        <f>'Prices by Case'!#REF!/'Prices by Case'!#REF!</f>
        <v>#REF!</v>
      </c>
      <c r="D23" s="3" t="e">
        <f>'Prices by Case'!#REF!/'Prices by Case'!#REF!</f>
        <v>#REF!</v>
      </c>
      <c r="E23" s="3" t="e">
        <f>'Prices by Case'!#REF!/'Prices by Case'!#REF!</f>
        <v>#REF!</v>
      </c>
      <c r="F23" s="3" t="e">
        <f>'Prices by Case'!#REF!/'Prices by Case'!#REF!</f>
        <v>#REF!</v>
      </c>
      <c r="G23" s="3" t="e">
        <f>'Prices by Case'!#REF!/'Prices by Case'!#REF!</f>
        <v>#REF!</v>
      </c>
      <c r="H23" s="3" t="e">
        <f>'Prices by Case'!#REF!/'Prices by Case'!#REF!</f>
        <v>#REF!</v>
      </c>
      <c r="I23" s="3">
        <f>'Prices by Case'!I23/'Prices by Case'!I$31</f>
        <v>0.89344168408651159</v>
      </c>
      <c r="J23" s="3">
        <f>'Prices by Case'!J23/'Prices by Case'!J$31</f>
        <v>0.93861802279208029</v>
      </c>
      <c r="K23" s="3">
        <f>'Prices by Case'!K23/'Prices by Case'!K$31</f>
        <v>0.94263634517647854</v>
      </c>
      <c r="L23" s="3">
        <f>'Prices by Case'!L23/'Prices by Case'!L$31</f>
        <v>0.93946249986882557</v>
      </c>
      <c r="M23" s="3">
        <f>'Prices by Case'!M23/'Prices by Case'!M$31</f>
        <v>0.93480690116439891</v>
      </c>
      <c r="N23" s="3">
        <f>'Prices by Case'!N23/'Prices by Case'!N$31</f>
        <v>0.99724706165195331</v>
      </c>
      <c r="O23" s="3">
        <f>'Prices by Case'!O23/'Prices by Case'!O$31</f>
        <v>1.0520117987578741</v>
      </c>
      <c r="P23" s="3">
        <f>'Prices by Case'!P23/'Prices by Case'!P$31</f>
        <v>0.9348069011643988</v>
      </c>
      <c r="Q23" s="3">
        <f>'Prices by Case'!Q23/'Prices by Case'!Q$31</f>
        <v>0.98223446839630391</v>
      </c>
      <c r="R23" s="3">
        <f>'Prices by Case'!R23/'Prices by Case'!R$31</f>
        <v>1.019949405458962</v>
      </c>
      <c r="S23" s="3">
        <f>'Prices by Case'!S23/'Prices by Case'!S$31</f>
        <v>1.0179926206087511</v>
      </c>
      <c r="T23" s="3">
        <f>'Prices by Case'!T23/'Prices by Case'!T$31</f>
        <v>1.0306771687219332</v>
      </c>
      <c r="U23" s="3">
        <f>'Prices by Case'!U23/'Prices by Case'!U$31</f>
        <v>1.0418861541218216</v>
      </c>
      <c r="V23" s="3">
        <f>'Prices by Case'!V23/'Prices by Case'!V$31</f>
        <v>1.0383669370693671</v>
      </c>
      <c r="W23" s="3">
        <f>'Prices by Case'!W23/'Prices by Case'!W$31</f>
        <v>1.0412404087713822</v>
      </c>
      <c r="X23" s="3">
        <f>'Prices by Case'!X23/'Prices by Case'!X$31</f>
        <v>1.0295610474073029</v>
      </c>
      <c r="Y23" s="3">
        <f>'Prices by Case'!Y23/'Prices by Case'!Y$31</f>
        <v>1.0147200058417187</v>
      </c>
      <c r="Z23" s="3">
        <f>'Prices by Case'!Z23/'Prices by Case'!Z$31</f>
        <v>1.0180416340130942</v>
      </c>
      <c r="AA23" s="3">
        <f>'Prices by Case'!AA23/'Prices by Case'!AA$31</f>
        <v>1.0127949427947542</v>
      </c>
      <c r="AB23" s="3">
        <f>'Prices by Case'!AB23/'Prices by Case'!AB$31</f>
        <v>1.0170640266890363</v>
      </c>
      <c r="AC23" s="3">
        <f>'Prices by Case'!AC23/'Prices by Case'!AC$31</f>
        <v>1.0161709390218123</v>
      </c>
      <c r="AD23" s="3">
        <f>'Prices by Case'!AD23/'Prices by Case'!AD$31</f>
        <v>1.0101829990009021</v>
      </c>
      <c r="AE23" s="3">
        <f>'Prices by Case'!AE23/'Prices by Case'!AE$31</f>
        <v>0.98740657684043154</v>
      </c>
      <c r="AF23" s="3">
        <f>'Prices by Case'!AF23/'Prices by Case'!AF$31</f>
        <v>0.99969455038692134</v>
      </c>
      <c r="AG23" s="3">
        <f>'Prices by Case'!AG23/'Prices by Case'!AG$31</f>
        <v>0.9931740803304574</v>
      </c>
      <c r="AH23" s="3">
        <f>'Prices by Case'!AH23/'Prices by Case'!AH$31</f>
        <v>1.0307640361889094</v>
      </c>
      <c r="AI23" s="3">
        <f>'Prices by Case'!AI23/'Prices by Case'!AI$31</f>
        <v>1.0243450348670542</v>
      </c>
      <c r="AJ23" s="3">
        <f>'Prices by Case'!AJ23/'Prices by Case'!AJ$31</f>
        <v>1.0225971018522948</v>
      </c>
      <c r="AK23" s="3">
        <f>'Prices by Case'!AK23/'Prices by Case'!AK$31</f>
        <v>1.0354561600500283</v>
      </c>
      <c r="AL23" s="3">
        <f>'Prices by Case'!AL23/'Prices by Case'!AL$31</f>
        <v>1.0256009458886453</v>
      </c>
      <c r="AM23" s="3">
        <f>'Prices by Case'!AM23/'Prices by Case'!AM$31</f>
        <v>1.0226785617460352</v>
      </c>
      <c r="AN23" s="3">
        <f>'Prices by Case'!AN23/'Prices by Case'!AN$31</f>
        <v>1.0318987089544152</v>
      </c>
      <c r="AO23" s="3">
        <f>'Prices by Case'!AO23/'Prices by Case'!AO$31</f>
        <v>1.0187848166257403</v>
      </c>
      <c r="AP23" s="3">
        <f>'Prices by Case'!AP23/'Prices by Case'!AP$31</f>
        <v>1.0159591980299332</v>
      </c>
      <c r="AQ23" s="3">
        <f>'Prices by Case'!AQ23/'Prices by Case'!AQ$31</f>
        <v>1.0141335979287964</v>
      </c>
    </row>
    <row r="24" spans="1:43" x14ac:dyDescent="0.25">
      <c r="A24" t="s">
        <v>16</v>
      </c>
      <c r="B24" t="s">
        <v>3</v>
      </c>
      <c r="C24" s="3" t="e">
        <f>'Prices by Case'!#REF!/'Prices by Case'!#REF!</f>
        <v>#REF!</v>
      </c>
      <c r="D24" s="3" t="e">
        <f>'Prices by Case'!#REF!/'Prices by Case'!#REF!</f>
        <v>#REF!</v>
      </c>
      <c r="E24" s="3" t="e">
        <f>'Prices by Case'!#REF!/'Prices by Case'!#REF!</f>
        <v>#REF!</v>
      </c>
      <c r="F24" s="3" t="e">
        <f>'Prices by Case'!#REF!/'Prices by Case'!#REF!</f>
        <v>#REF!</v>
      </c>
      <c r="G24" s="3" t="e">
        <f>'Prices by Case'!#REF!/'Prices by Case'!#REF!</f>
        <v>#REF!</v>
      </c>
      <c r="H24" s="3" t="e">
        <f>'Prices by Case'!#REF!/'Prices by Case'!#REF!</f>
        <v>#REF!</v>
      </c>
      <c r="I24" s="3">
        <f>'Prices by Case'!I24/'Prices by Case'!I$31</f>
        <v>0.97671161054817623</v>
      </c>
      <c r="J24" s="3">
        <f>'Prices by Case'!J24/'Prices by Case'!J$31</f>
        <v>0.96160799410365649</v>
      </c>
      <c r="K24" s="3">
        <f>'Prices by Case'!K24/'Prices by Case'!K$31</f>
        <v>0.99002061265304264</v>
      </c>
      <c r="L24" s="3">
        <f>'Prices by Case'!L24/'Prices by Case'!L$31</f>
        <v>1.0185589007936926</v>
      </c>
      <c r="M24" s="3">
        <f>'Prices by Case'!M24/'Prices by Case'!M$31</f>
        <v>0.98572233464853731</v>
      </c>
      <c r="N24" s="3">
        <f>'Prices by Case'!N24/'Prices by Case'!N$31</f>
        <v>0.89368659342716561</v>
      </c>
      <c r="O24" s="3">
        <f>'Prices by Case'!O24/'Prices by Case'!O$31</f>
        <v>0.82118688142453466</v>
      </c>
      <c r="P24" s="3">
        <f>'Prices by Case'!P24/'Prices by Case'!P$31</f>
        <v>0.98572233464853731</v>
      </c>
      <c r="Q24" s="3">
        <f>'Prices by Case'!Q24/'Prices by Case'!Q$31</f>
        <v>0.84242255109915909</v>
      </c>
      <c r="R24" s="3">
        <f>'Prices by Case'!R24/'Prices by Case'!R$31</f>
        <v>0.8901497603319668</v>
      </c>
      <c r="S24" s="3">
        <f>'Prices by Case'!S24/'Prices by Case'!S$31</f>
        <v>0.93334306867798889</v>
      </c>
      <c r="T24" s="3">
        <f>'Prices by Case'!T24/'Prices by Case'!T$31</f>
        <v>0.91128614536555219</v>
      </c>
      <c r="U24" s="3">
        <f>'Prices by Case'!U24/'Prices by Case'!U$31</f>
        <v>0.89134289974431824</v>
      </c>
      <c r="V24" s="3">
        <f>'Prices by Case'!V24/'Prices by Case'!V$31</f>
        <v>0.88796597079812145</v>
      </c>
      <c r="W24" s="3">
        <f>'Prices by Case'!W24/'Prices by Case'!W$31</f>
        <v>0.87183944395750901</v>
      </c>
      <c r="X24" s="3">
        <f>'Prices by Case'!X24/'Prices by Case'!X$31</f>
        <v>0.87424934576684643</v>
      </c>
      <c r="Y24" s="3">
        <f>'Prices by Case'!Y24/'Prices by Case'!Y$31</f>
        <v>0.88612354329343646</v>
      </c>
      <c r="Z24" s="3">
        <f>'Prices by Case'!Z24/'Prices by Case'!Z$31</f>
        <v>0.89794775507429603</v>
      </c>
      <c r="AA24" s="3">
        <f>'Prices by Case'!AA24/'Prices by Case'!AA$31</f>
        <v>0.89914127650957987</v>
      </c>
      <c r="AB24" s="3">
        <f>'Prices by Case'!AB24/'Prices by Case'!AB$31</f>
        <v>0.90453080461474145</v>
      </c>
      <c r="AC24" s="3">
        <f>'Prices by Case'!AC24/'Prices by Case'!AC$31</f>
        <v>0.87876486638124784</v>
      </c>
      <c r="AD24" s="3">
        <f>'Prices by Case'!AD24/'Prices by Case'!AD$31</f>
        <v>0.85488417624371205</v>
      </c>
      <c r="AE24" s="3">
        <f>'Prices by Case'!AE24/'Prices by Case'!AE$31</f>
        <v>0.84537599891998516</v>
      </c>
      <c r="AF24" s="3">
        <f>'Prices by Case'!AF24/'Prices by Case'!AF$31</f>
        <v>0.83054424637334046</v>
      </c>
      <c r="AG24" s="3">
        <f>'Prices by Case'!AG24/'Prices by Case'!AG$31</f>
        <v>0.82170823816660754</v>
      </c>
      <c r="AH24" s="3">
        <f>'Prices by Case'!AH24/'Prices by Case'!AH$31</f>
        <v>0.82182416345612741</v>
      </c>
      <c r="AI24" s="3">
        <f>'Prices by Case'!AI24/'Prices by Case'!AI$31</f>
        <v>0.81126495740260574</v>
      </c>
      <c r="AJ24" s="3">
        <f>'Prices by Case'!AJ24/'Prices by Case'!AJ$31</f>
        <v>0.81253969070399623</v>
      </c>
      <c r="AK24" s="3">
        <f>'Prices by Case'!AK24/'Prices by Case'!AK$31</f>
        <v>0.80320044357069342</v>
      </c>
      <c r="AL24" s="3">
        <f>'Prices by Case'!AL24/'Prices by Case'!AL$31</f>
        <v>0.80375455232319848</v>
      </c>
      <c r="AM24" s="3">
        <f>'Prices by Case'!AM24/'Prices by Case'!AM$31</f>
        <v>0.80696130241730624</v>
      </c>
      <c r="AN24" s="3">
        <f>'Prices by Case'!AN24/'Prices by Case'!AN$31</f>
        <v>0.80745145579879662</v>
      </c>
      <c r="AO24" s="3">
        <f>'Prices by Case'!AO24/'Prices by Case'!AO$31</f>
        <v>0.80555325835744618</v>
      </c>
      <c r="AP24" s="3">
        <f>'Prices by Case'!AP24/'Prices by Case'!AP$31</f>
        <v>0.81630235746866298</v>
      </c>
      <c r="AQ24" s="3">
        <f>'Prices by Case'!AQ24/'Prices by Case'!AQ$31</f>
        <v>0.82249573443953161</v>
      </c>
    </row>
    <row r="25" spans="1:43" x14ac:dyDescent="0.25">
      <c r="A25" t="s">
        <v>16</v>
      </c>
      <c r="B25" t="s">
        <v>4</v>
      </c>
      <c r="C25" s="3" t="e">
        <f>'Prices by Case'!#REF!/'Prices by Case'!#REF!</f>
        <v>#REF!</v>
      </c>
      <c r="D25" s="3" t="e">
        <f>'Prices by Case'!#REF!/'Prices by Case'!#REF!</f>
        <v>#REF!</v>
      </c>
      <c r="E25" s="3" t="e">
        <f>'Prices by Case'!#REF!/'Prices by Case'!#REF!</f>
        <v>#REF!</v>
      </c>
      <c r="F25" s="3" t="e">
        <f>'Prices by Case'!#REF!/'Prices by Case'!#REF!</f>
        <v>#REF!</v>
      </c>
      <c r="G25" s="3" t="e">
        <f>'Prices by Case'!#REF!/'Prices by Case'!#REF!</f>
        <v>#REF!</v>
      </c>
      <c r="H25" s="3" t="e">
        <f>'Prices by Case'!#REF!/'Prices by Case'!#REF!</f>
        <v>#REF!</v>
      </c>
      <c r="I25" s="3">
        <f>'Prices by Case'!I25/'Prices by Case'!I$31</f>
        <v>0.94558224553049708</v>
      </c>
      <c r="J25" s="3">
        <f>'Prices by Case'!J25/'Prices by Case'!J$31</f>
        <v>0.9698285473618623</v>
      </c>
      <c r="K25" s="3">
        <f>'Prices by Case'!K25/'Prices by Case'!K$31</f>
        <v>1.009533534639045</v>
      </c>
      <c r="L25" s="3">
        <f>'Prices by Case'!L25/'Prices by Case'!L$31</f>
        <v>1.0146698428356054</v>
      </c>
      <c r="M25" s="3">
        <f>'Prices by Case'!M25/'Prices by Case'!M$31</f>
        <v>1.0514143039776036</v>
      </c>
      <c r="N25" s="3">
        <f>'Prices by Case'!N25/'Prices by Case'!N$31</f>
        <v>1.056850041179499</v>
      </c>
      <c r="O25" s="3">
        <f>'Prices by Case'!O25/'Prices by Case'!O$31</f>
        <v>1.0394458110834079</v>
      </c>
      <c r="P25" s="3">
        <f>'Prices by Case'!P25/'Prices by Case'!P$31</f>
        <v>1.0514143039776036</v>
      </c>
      <c r="Q25" s="3">
        <f>'Prices by Case'!Q25/'Prices by Case'!Q$31</f>
        <v>1.0544511080201533</v>
      </c>
      <c r="R25" s="3">
        <f>'Prices by Case'!R25/'Prices by Case'!R$31</f>
        <v>1.0168058241355336</v>
      </c>
      <c r="S25" s="3">
        <f>'Prices by Case'!S25/'Prices by Case'!S$31</f>
        <v>1.001859450829208</v>
      </c>
      <c r="T25" s="3">
        <f>'Prices by Case'!T25/'Prices by Case'!T$31</f>
        <v>1.0144754912443272</v>
      </c>
      <c r="U25" s="3">
        <f>'Prices by Case'!U25/'Prices by Case'!U$31</f>
        <v>1.0339756020727546</v>
      </c>
      <c r="V25" s="3">
        <f>'Prices by Case'!V25/'Prices by Case'!V$31</f>
        <v>1.0500261127141697</v>
      </c>
      <c r="W25" s="3">
        <f>'Prices by Case'!W25/'Prices by Case'!W$31</f>
        <v>1.0598089524040604</v>
      </c>
      <c r="X25" s="3">
        <f>'Prices by Case'!X25/'Prices by Case'!X$31</f>
        <v>1.0607792471056576</v>
      </c>
      <c r="Y25" s="3">
        <f>'Prices by Case'!Y25/'Prices by Case'!Y$31</f>
        <v>1.0738686439567104</v>
      </c>
      <c r="Z25" s="3">
        <f>'Prices by Case'!Z25/'Prices by Case'!Z$31</f>
        <v>1.0577687970298719</v>
      </c>
      <c r="AA25" s="3">
        <f>'Prices by Case'!AA25/'Prices by Case'!AA$31</f>
        <v>1.059682700509003</v>
      </c>
      <c r="AB25" s="3">
        <f>'Prices by Case'!AB25/'Prices by Case'!AB$31</f>
        <v>1.0663104205462848</v>
      </c>
      <c r="AC25" s="3">
        <f>'Prices by Case'!AC25/'Prices by Case'!AC$31</f>
        <v>1.0777473710312144</v>
      </c>
      <c r="AD25" s="3">
        <f>'Prices by Case'!AD25/'Prices by Case'!AD$31</f>
        <v>1.0750599003559209</v>
      </c>
      <c r="AE25" s="3">
        <f>'Prices by Case'!AE25/'Prices by Case'!AE$31</f>
        <v>1.0841746574015392</v>
      </c>
      <c r="AF25" s="3">
        <f>'Prices by Case'!AF25/'Prices by Case'!AF$31</f>
        <v>1.1101503322411681</v>
      </c>
      <c r="AG25" s="3">
        <f>'Prices by Case'!AG25/'Prices by Case'!AG$31</f>
        <v>1.1106470295615956</v>
      </c>
      <c r="AH25" s="3">
        <f>'Prices by Case'!AH25/'Prices by Case'!AH$31</f>
        <v>1.0727244955382267</v>
      </c>
      <c r="AI25" s="3">
        <f>'Prices by Case'!AI25/'Prices by Case'!AI$31</f>
        <v>1.0646859851352002</v>
      </c>
      <c r="AJ25" s="3">
        <f>'Prices by Case'!AJ25/'Prices by Case'!AJ$31</f>
        <v>1.0571406326218817</v>
      </c>
      <c r="AK25" s="3">
        <f>'Prices by Case'!AK25/'Prices by Case'!AK$31</f>
        <v>1.0770083789795091</v>
      </c>
      <c r="AL25" s="3">
        <f>'Prices by Case'!AL25/'Prices by Case'!AL$31</f>
        <v>1.0955591494847481</v>
      </c>
      <c r="AM25" s="3">
        <f>'Prices by Case'!AM25/'Prices by Case'!AM$31</f>
        <v>1.0900544180049845</v>
      </c>
      <c r="AN25" s="3">
        <f>'Prices by Case'!AN25/'Prices by Case'!AN$31</f>
        <v>1.0985989734952526</v>
      </c>
      <c r="AO25" s="3">
        <f>'Prices by Case'!AO25/'Prices by Case'!AO$31</f>
        <v>1.1078091509035521</v>
      </c>
      <c r="AP25" s="3">
        <f>'Prices by Case'!AP25/'Prices by Case'!AP$31</f>
        <v>1.1064508753614943</v>
      </c>
      <c r="AQ25" s="3">
        <f>'Prices by Case'!AQ25/'Prices by Case'!AQ$31</f>
        <v>1.1072255974632159</v>
      </c>
    </row>
    <row r="26" spans="1:43" x14ac:dyDescent="0.25">
      <c r="A26" t="s">
        <v>16</v>
      </c>
      <c r="B26" t="s">
        <v>5</v>
      </c>
      <c r="C26" s="3" t="e">
        <f>'Prices by Case'!#REF!/'Prices by Case'!#REF!</f>
        <v>#REF!</v>
      </c>
      <c r="D26" s="3" t="e">
        <f>'Prices by Case'!#REF!/'Prices by Case'!#REF!</f>
        <v>#REF!</v>
      </c>
      <c r="E26" s="3" t="e">
        <f>'Prices by Case'!#REF!/'Prices by Case'!#REF!</f>
        <v>#REF!</v>
      </c>
      <c r="F26" s="3" t="e">
        <f>'Prices by Case'!#REF!/'Prices by Case'!#REF!</f>
        <v>#REF!</v>
      </c>
      <c r="G26" s="3" t="e">
        <f>'Prices by Case'!#REF!/'Prices by Case'!#REF!</f>
        <v>#REF!</v>
      </c>
      <c r="H26" s="3" t="e">
        <f>'Prices by Case'!#REF!/'Prices by Case'!#REF!</f>
        <v>#REF!</v>
      </c>
      <c r="I26" s="3">
        <f>'Prices by Case'!I26/'Prices by Case'!I$31</f>
        <v>1.373480110014331</v>
      </c>
      <c r="J26" s="3">
        <f>'Prices by Case'!J26/'Prices by Case'!J$31</f>
        <v>1.23799708932932</v>
      </c>
      <c r="K26" s="3">
        <f>'Prices by Case'!K26/'Prices by Case'!K$31</f>
        <v>1.3770254378545312</v>
      </c>
      <c r="L26" s="3">
        <f>'Prices by Case'!L26/'Prices by Case'!L$31</f>
        <v>1.5627905512472062</v>
      </c>
      <c r="M26" s="3">
        <f>'Prices by Case'!M26/'Prices by Case'!M$31</f>
        <v>1.651007199506114</v>
      </c>
      <c r="N26" s="3">
        <f>'Prices by Case'!N26/'Prices by Case'!N$31</f>
        <v>1.3341433295134757</v>
      </c>
      <c r="O26" s="3">
        <f>'Prices by Case'!O26/'Prices by Case'!O$31</f>
        <v>1.1873845540658408</v>
      </c>
      <c r="P26" s="3">
        <f>'Prices by Case'!P26/'Prices by Case'!P$31</f>
        <v>1.651007199506114</v>
      </c>
      <c r="Q26" s="3">
        <f>'Prices by Case'!Q26/'Prices by Case'!Q$31</f>
        <v>1.4527088961125627</v>
      </c>
      <c r="R26" s="3">
        <f>'Prices by Case'!R26/'Prices by Case'!R$31</f>
        <v>1.1835286933340528</v>
      </c>
      <c r="S26" s="3">
        <f>'Prices by Case'!S26/'Prices by Case'!S$31</f>
        <v>1.1209721228405787</v>
      </c>
      <c r="T26" s="3">
        <f>'Prices by Case'!T26/'Prices by Case'!T$31</f>
        <v>1.0321065887328629</v>
      </c>
      <c r="U26" s="3">
        <f>'Prices by Case'!U26/'Prices by Case'!U$31</f>
        <v>0.97711246509413052</v>
      </c>
      <c r="V26" s="3">
        <f>'Prices by Case'!V26/'Prices by Case'!V$31</f>
        <v>0.964656693424637</v>
      </c>
      <c r="W26" s="3">
        <f>'Prices by Case'!W26/'Prices by Case'!W$31</f>
        <v>0.92521448638451065</v>
      </c>
      <c r="X26" s="3">
        <f>'Prices by Case'!X26/'Prices by Case'!X$31</f>
        <v>0.93641960588379225</v>
      </c>
      <c r="Y26" s="3">
        <f>'Prices by Case'!Y26/'Prices by Case'!Y$31</f>
        <v>0.92916874784761627</v>
      </c>
      <c r="Z26" s="3">
        <f>'Prices by Case'!Z26/'Prices by Case'!Z$31</f>
        <v>0.95368350082656517</v>
      </c>
      <c r="AA26" s="3">
        <f>'Prices by Case'!AA26/'Prices by Case'!AA$31</f>
        <v>0.97178329643520878</v>
      </c>
      <c r="AB26" s="3">
        <f>'Prices by Case'!AB26/'Prices by Case'!AB$31</f>
        <v>0.96857845574289969</v>
      </c>
      <c r="AC26" s="3">
        <f>'Prices by Case'!AC26/'Prices by Case'!AC$31</f>
        <v>0.94913114229926465</v>
      </c>
      <c r="AD26" s="3">
        <f>'Prices by Case'!AD26/'Prices by Case'!AD$31</f>
        <v>0.92979375678253595</v>
      </c>
      <c r="AE26" s="3">
        <f>'Prices by Case'!AE26/'Prices by Case'!AE$31</f>
        <v>0.91801112265293661</v>
      </c>
      <c r="AF26" s="3">
        <f>'Prices by Case'!AF26/'Prices by Case'!AF$31</f>
        <v>0.89380572098003708</v>
      </c>
      <c r="AG26" s="3">
        <f>'Prices by Case'!AG26/'Prices by Case'!AG$31</f>
        <v>0.88819343645196391</v>
      </c>
      <c r="AH26" s="3">
        <f>'Prices by Case'!AH26/'Prices by Case'!AH$31</f>
        <v>0.87392110421935976</v>
      </c>
      <c r="AI26" s="3">
        <f>'Prices by Case'!AI26/'Prices by Case'!AI$31</f>
        <v>0.87612935435556338</v>
      </c>
      <c r="AJ26" s="3">
        <f>'Prices by Case'!AJ26/'Prices by Case'!AJ$31</f>
        <v>0.87331169806499842</v>
      </c>
      <c r="AK26" s="3">
        <f>'Prices by Case'!AK26/'Prices by Case'!AK$31</f>
        <v>0.82326049777644994</v>
      </c>
      <c r="AL26" s="3">
        <f>'Prices by Case'!AL26/'Prices by Case'!AL$31</f>
        <v>0.80343707123761821</v>
      </c>
      <c r="AM26" s="3">
        <f>'Prices by Case'!AM26/'Prices by Case'!AM$31</f>
        <v>0.81703885020815303</v>
      </c>
      <c r="AN26" s="3">
        <f>'Prices by Case'!AN26/'Prices by Case'!AN$31</f>
        <v>0.81083572651524349</v>
      </c>
      <c r="AO26" s="3">
        <f>'Prices by Case'!AO26/'Prices by Case'!AO$31</f>
        <v>0.80590711746002308</v>
      </c>
      <c r="AP26" s="3">
        <f>'Prices by Case'!AP26/'Prices by Case'!AP$31</f>
        <v>0.81440135454475293</v>
      </c>
      <c r="AQ26" s="3">
        <f>'Prices by Case'!AQ26/'Prices by Case'!AQ$31</f>
        <v>0.8194248780265031</v>
      </c>
    </row>
    <row r="27" spans="1:43" x14ac:dyDescent="0.25">
      <c r="A27" t="s">
        <v>16</v>
      </c>
      <c r="B27" t="s">
        <v>6</v>
      </c>
      <c r="C27" s="3" t="e">
        <f>'Prices by Case'!#REF!/'Prices by Case'!#REF!</f>
        <v>#REF!</v>
      </c>
      <c r="D27" s="3" t="e">
        <f>'Prices by Case'!#REF!/'Prices by Case'!#REF!</f>
        <v>#REF!</v>
      </c>
      <c r="E27" s="3" t="e">
        <f>'Prices by Case'!#REF!/'Prices by Case'!#REF!</f>
        <v>#REF!</v>
      </c>
      <c r="F27" s="3" t="e">
        <f>'Prices by Case'!#REF!/'Prices by Case'!#REF!</f>
        <v>#REF!</v>
      </c>
      <c r="G27" s="3" t="e">
        <f>'Prices by Case'!#REF!/'Prices by Case'!#REF!</f>
        <v>#REF!</v>
      </c>
      <c r="H27" s="3" t="e">
        <f>'Prices by Case'!#REF!/'Prices by Case'!#REF!</f>
        <v>#REF!</v>
      </c>
      <c r="I27" s="3">
        <f>'Prices by Case'!I27/'Prices by Case'!I$31</f>
        <v>0.97831723616946153</v>
      </c>
      <c r="J27" s="3">
        <f>'Prices by Case'!J27/'Prices by Case'!J$31</f>
        <v>0.96842023276711353</v>
      </c>
      <c r="K27" s="3">
        <f>'Prices by Case'!K27/'Prices by Case'!K$31</f>
        <v>1.0108494721203278</v>
      </c>
      <c r="L27" s="3">
        <f>'Prices by Case'!L27/'Prices by Case'!L$31</f>
        <v>1.0697868678706723</v>
      </c>
      <c r="M27" s="3">
        <f>'Prices by Case'!M27/'Prices by Case'!M$31</f>
        <v>1.1148411316066122</v>
      </c>
      <c r="N27" s="3">
        <f>'Prices by Case'!N27/'Prices by Case'!N$31</f>
        <v>1.1268103298107919</v>
      </c>
      <c r="O27" s="3">
        <f>'Prices by Case'!O27/'Prices by Case'!O$31</f>
        <v>1.0692286007201364</v>
      </c>
      <c r="P27" s="3">
        <f>'Prices by Case'!P27/'Prices by Case'!P$31</f>
        <v>1.114841131606612</v>
      </c>
      <c r="Q27" s="3">
        <f>'Prices by Case'!Q27/'Prices by Case'!Q$31</f>
        <v>1.1816663302400467</v>
      </c>
      <c r="R27" s="3">
        <f>'Prices by Case'!R27/'Prices by Case'!R$31</f>
        <v>1.0417874612355811</v>
      </c>
      <c r="S27" s="3">
        <f>'Prices by Case'!S27/'Prices by Case'!S$31</f>
        <v>1.0025448190929578</v>
      </c>
      <c r="T27" s="3">
        <f>'Prices by Case'!T27/'Prices by Case'!T$31</f>
        <v>1.004099603202889</v>
      </c>
      <c r="U27" s="3">
        <f>'Prices by Case'!U27/'Prices by Case'!U$31</f>
        <v>1.0435374926998076</v>
      </c>
      <c r="V27" s="3">
        <f>'Prices by Case'!V27/'Prices by Case'!V$31</f>
        <v>1.0506534227819819</v>
      </c>
      <c r="W27" s="3">
        <f>'Prices by Case'!W27/'Prices by Case'!W$31</f>
        <v>1.0578682152579086</v>
      </c>
      <c r="X27" s="3">
        <f>'Prices by Case'!X27/'Prices by Case'!X$31</f>
        <v>1.0706428787067124</v>
      </c>
      <c r="Y27" s="3">
        <f>'Prices by Case'!Y27/'Prices by Case'!Y$31</f>
        <v>1.0699554061085765</v>
      </c>
      <c r="Z27" s="3">
        <f>'Prices by Case'!Z27/'Prices by Case'!Z$31</f>
        <v>1.0553203883571882</v>
      </c>
      <c r="AA27" s="3">
        <f>'Prices by Case'!AA27/'Prices by Case'!AA$31</f>
        <v>1.0517256401481365</v>
      </c>
      <c r="AB27" s="3">
        <f>'Prices by Case'!AB27/'Prices by Case'!AB$31</f>
        <v>1.0453353221223183</v>
      </c>
      <c r="AC27" s="3">
        <f>'Prices by Case'!AC27/'Prices by Case'!AC$31</f>
        <v>1.0455179023260113</v>
      </c>
      <c r="AD27" s="3">
        <f>'Prices by Case'!AD27/'Prices by Case'!AD$31</f>
        <v>1.0342162100855987</v>
      </c>
      <c r="AE27" s="3">
        <f>'Prices by Case'!AE27/'Prices by Case'!AE$31</f>
        <v>1.0403766801793524</v>
      </c>
      <c r="AF27" s="3">
        <f>'Prices by Case'!AF27/'Prices by Case'!AF$31</f>
        <v>1.0590783680411449</v>
      </c>
      <c r="AG27" s="3">
        <f>'Prices by Case'!AG27/'Prices by Case'!AG$31</f>
        <v>1.0657635655571651</v>
      </c>
      <c r="AH27" s="3">
        <f>'Prices by Case'!AH27/'Prices by Case'!AH$31</f>
        <v>1.0692101145899682</v>
      </c>
      <c r="AI27" s="3">
        <f>'Prices by Case'!AI27/'Prices by Case'!AI$31</f>
        <v>1.0545558929750534</v>
      </c>
      <c r="AJ27" s="3">
        <f>'Prices by Case'!AJ27/'Prices by Case'!AJ$31</f>
        <v>1.0585800479488716</v>
      </c>
      <c r="AK27" s="3">
        <f>'Prices by Case'!AK27/'Prices by Case'!AK$31</f>
        <v>1.069303490207645</v>
      </c>
      <c r="AL27" s="3">
        <f>'Prices by Case'!AL27/'Prices by Case'!AL$31</f>
        <v>1.0850341896380704</v>
      </c>
      <c r="AM27" s="3">
        <f>'Prices by Case'!AM27/'Prices by Case'!AM$31</f>
        <v>1.0833613648732505</v>
      </c>
      <c r="AN27" s="3">
        <f>'Prices by Case'!AN27/'Prices by Case'!AN$31</f>
        <v>1.0865471299876541</v>
      </c>
      <c r="AO27" s="3">
        <f>'Prices by Case'!AO27/'Prices by Case'!AO$31</f>
        <v>1.0817770948563701</v>
      </c>
      <c r="AP27" s="3">
        <f>'Prices by Case'!AP27/'Prices by Case'!AP$31</f>
        <v>1.0721455082434554</v>
      </c>
      <c r="AQ27" s="3">
        <f>'Prices by Case'!AQ27/'Prices by Case'!AQ$31</f>
        <v>1.0654507120982892</v>
      </c>
    </row>
    <row r="28" spans="1:43" x14ac:dyDescent="0.25">
      <c r="A28" t="s">
        <v>16</v>
      </c>
      <c r="B28" t="s">
        <v>7</v>
      </c>
      <c r="C28" s="3" t="e">
        <f>'Prices by Case'!#REF!/'Prices by Case'!#REF!</f>
        <v>#REF!</v>
      </c>
      <c r="D28" s="3" t="e">
        <f>'Prices by Case'!#REF!/'Prices by Case'!#REF!</f>
        <v>#REF!</v>
      </c>
      <c r="E28" s="3" t="e">
        <f>'Prices by Case'!#REF!/'Prices by Case'!#REF!</f>
        <v>#REF!</v>
      </c>
      <c r="F28" s="3" t="e">
        <f>'Prices by Case'!#REF!/'Prices by Case'!#REF!</f>
        <v>#REF!</v>
      </c>
      <c r="G28" s="3" t="e">
        <f>'Prices by Case'!#REF!/'Prices by Case'!#REF!</f>
        <v>#REF!</v>
      </c>
      <c r="H28" s="3" t="e">
        <f>'Prices by Case'!#REF!/'Prices by Case'!#REF!</f>
        <v>#REF!</v>
      </c>
      <c r="I28" s="3">
        <f>'Prices by Case'!I28/'Prices by Case'!I$31</f>
        <v>1.2043344392037185</v>
      </c>
      <c r="J28" s="3">
        <f>'Prices by Case'!J28/'Prices by Case'!J$31</f>
        <v>1.1264067640640349</v>
      </c>
      <c r="K28" s="3">
        <f>'Prices by Case'!K28/'Prices by Case'!K$31</f>
        <v>1.0988539598644911</v>
      </c>
      <c r="L28" s="3">
        <f>'Prices by Case'!L28/'Prices by Case'!L$31</f>
        <v>1.1697050150588186</v>
      </c>
      <c r="M28" s="3">
        <f>'Prices by Case'!M28/'Prices by Case'!M$31</f>
        <v>1.1926138566693181</v>
      </c>
      <c r="N28" s="3">
        <f>'Prices by Case'!N28/'Prices by Case'!N$31</f>
        <v>1.1133990768257391</v>
      </c>
      <c r="O28" s="3">
        <f>'Prices by Case'!O28/'Prices by Case'!O$31</f>
        <v>1.1361576487725678</v>
      </c>
      <c r="P28" s="3">
        <f>'Prices by Case'!P28/'Prices by Case'!P$31</f>
        <v>1.1926138566693181</v>
      </c>
      <c r="Q28" s="3">
        <f>'Prices by Case'!Q28/'Prices by Case'!Q$31</f>
        <v>1.2758808586489769</v>
      </c>
      <c r="R28" s="3">
        <f>'Prices by Case'!R28/'Prices by Case'!R$31</f>
        <v>1.1742779609639693</v>
      </c>
      <c r="S28" s="3">
        <f>'Prices by Case'!S28/'Prices by Case'!S$31</f>
        <v>1.1659119340722459</v>
      </c>
      <c r="T28" s="3">
        <f>'Prices by Case'!T28/'Prices by Case'!T$31</f>
        <v>1.1701724998217975</v>
      </c>
      <c r="U28" s="3">
        <f>'Prices by Case'!U28/'Prices by Case'!U$31</f>
        <v>1.1535382507860421</v>
      </c>
      <c r="V28" s="3">
        <f>'Prices by Case'!V28/'Prices by Case'!V$31</f>
        <v>1.1303705988986283</v>
      </c>
      <c r="W28" s="3">
        <f>'Prices by Case'!W28/'Prices by Case'!W$31</f>
        <v>1.1062736756300666</v>
      </c>
      <c r="X28" s="3">
        <f>'Prices by Case'!X28/'Prices by Case'!X$31</f>
        <v>1.0991835182680054</v>
      </c>
      <c r="Y28" s="3">
        <f>'Prices by Case'!Y28/'Prices by Case'!Y$31</f>
        <v>1.0709635692792023</v>
      </c>
      <c r="Z28" s="3">
        <f>'Prices by Case'!Z28/'Prices by Case'!Z$31</f>
        <v>1.069533963206422</v>
      </c>
      <c r="AA28" s="3">
        <f>'Prices by Case'!AA28/'Prices by Case'!AA$31</f>
        <v>1.0684903874322331</v>
      </c>
      <c r="AB28" s="3">
        <f>'Prices by Case'!AB28/'Prices by Case'!AB$31</f>
        <v>1.0717077803581916</v>
      </c>
      <c r="AC28" s="3">
        <f>'Prices by Case'!AC28/'Prices by Case'!AC$31</f>
        <v>1.0744023005870034</v>
      </c>
      <c r="AD28" s="3">
        <f>'Prices by Case'!AD28/'Prices by Case'!AD$31</f>
        <v>1.0884135157935446</v>
      </c>
      <c r="AE28" s="3">
        <f>'Prices by Case'!AE28/'Prices by Case'!AE$31</f>
        <v>1.0925420224528088</v>
      </c>
      <c r="AF28" s="3">
        <f>'Prices by Case'!AF28/'Prices by Case'!AF$31</f>
        <v>1.0983637737251946</v>
      </c>
      <c r="AG28" s="3">
        <f>'Prices by Case'!AG28/'Prices by Case'!AG$31</f>
        <v>1.0872518564663276</v>
      </c>
      <c r="AH28" s="3">
        <f>'Prices by Case'!AH28/'Prices by Case'!AH$31</f>
        <v>1.096177654646985</v>
      </c>
      <c r="AI28" s="3">
        <f>'Prices by Case'!AI28/'Prices by Case'!AI$31</f>
        <v>1.1014142848227659</v>
      </c>
      <c r="AJ28" s="3">
        <f>'Prices by Case'!AJ28/'Prices by Case'!AJ$31</f>
        <v>1.104700084823147</v>
      </c>
      <c r="AK28" s="3">
        <f>'Prices by Case'!AK28/'Prices by Case'!AK$31</f>
        <v>1.0874541903125883</v>
      </c>
      <c r="AL28" s="3">
        <f>'Prices by Case'!AL28/'Prices by Case'!AL$31</f>
        <v>1.0619642348509706</v>
      </c>
      <c r="AM28" s="3">
        <f>'Prices by Case'!AM28/'Prices by Case'!AM$31</f>
        <v>1.0592027378195847</v>
      </c>
      <c r="AN28" s="3">
        <f>'Prices by Case'!AN28/'Prices by Case'!AN$31</f>
        <v>1.0529663456445544</v>
      </c>
      <c r="AO28" s="3">
        <f>'Prices by Case'!AO28/'Prices by Case'!AO$31</f>
        <v>1.0507438379246106</v>
      </c>
      <c r="AP28" s="3">
        <f>'Prices by Case'!AP28/'Prices by Case'!AP$31</f>
        <v>1.0449723620391715</v>
      </c>
      <c r="AQ28" s="3">
        <f>'Prices by Case'!AQ28/'Prices by Case'!AQ$31</f>
        <v>1.0443319978812404</v>
      </c>
    </row>
    <row r="29" spans="1:43" x14ac:dyDescent="0.25">
      <c r="A29" t="s">
        <v>16</v>
      </c>
      <c r="B29" t="s">
        <v>8</v>
      </c>
      <c r="C29" s="3" t="e">
        <f>'Prices by Case'!#REF!/'Prices by Case'!#REF!</f>
        <v>#REF!</v>
      </c>
      <c r="D29" s="3" t="e">
        <f>'Prices by Case'!#REF!/'Prices by Case'!#REF!</f>
        <v>#REF!</v>
      </c>
      <c r="E29" s="3" t="e">
        <f>'Prices by Case'!#REF!/'Prices by Case'!#REF!</f>
        <v>#REF!</v>
      </c>
      <c r="F29" s="3" t="e">
        <f>'Prices by Case'!#REF!/'Prices by Case'!#REF!</f>
        <v>#REF!</v>
      </c>
      <c r="G29" s="3" t="e">
        <f>'Prices by Case'!#REF!/'Prices by Case'!#REF!</f>
        <v>#REF!</v>
      </c>
      <c r="H29" s="3" t="e">
        <f>'Prices by Case'!#REF!/'Prices by Case'!#REF!</f>
        <v>#REF!</v>
      </c>
      <c r="I29" s="3">
        <f>'Prices by Case'!I29/'Prices by Case'!I$31</f>
        <v>0.93384992888885254</v>
      </c>
      <c r="J29" s="3">
        <f>'Prices by Case'!J29/'Prices by Case'!J$31</f>
        <v>1.0332269356753321</v>
      </c>
      <c r="K29" s="3">
        <f>'Prices by Case'!K29/'Prices by Case'!K$31</f>
        <v>1.0148504596577803</v>
      </c>
      <c r="L29" s="3">
        <f>'Prices by Case'!L29/'Prices by Case'!L$31</f>
        <v>0.95671700264797355</v>
      </c>
      <c r="M29" s="3">
        <f>'Prices by Case'!M29/'Prices by Case'!M$31</f>
        <v>0.96275222888063849</v>
      </c>
      <c r="N29" s="3">
        <f>'Prices by Case'!N29/'Prices by Case'!N$31</f>
        <v>0.94979926814874005</v>
      </c>
      <c r="O29" s="3">
        <f>'Prices by Case'!O29/'Prices by Case'!O$31</f>
        <v>1.0143863422269408</v>
      </c>
      <c r="P29" s="3">
        <f>'Prices by Case'!P29/'Prices by Case'!P$31</f>
        <v>0.96275222888063861</v>
      </c>
      <c r="Q29" s="3">
        <f>'Prices by Case'!Q29/'Prices by Case'!Q$31</f>
        <v>0.9665154401434537</v>
      </c>
      <c r="R29" s="3">
        <f>'Prices by Case'!R29/'Prices by Case'!R$31</f>
        <v>0.98903817643834535</v>
      </c>
      <c r="S29" s="3">
        <f>'Prices by Case'!S29/'Prices by Case'!S$31</f>
        <v>0.97357365031615539</v>
      </c>
      <c r="T29" s="3">
        <f>'Prices by Case'!T29/'Prices by Case'!T$31</f>
        <v>0.99796635540665768</v>
      </c>
      <c r="U29" s="3">
        <f>'Prices by Case'!U29/'Prices by Case'!U$31</f>
        <v>1.0034316185096648</v>
      </c>
      <c r="V29" s="3">
        <f>'Prices by Case'!V29/'Prices by Case'!V$31</f>
        <v>1.0272161023699053</v>
      </c>
      <c r="W29" s="3">
        <f>'Prices by Case'!W29/'Prices by Case'!W$31</f>
        <v>1.0537599524544958</v>
      </c>
      <c r="X29" s="3">
        <f>'Prices by Case'!X29/'Prices by Case'!X$31</f>
        <v>1.0366255529152355</v>
      </c>
      <c r="Y29" s="3">
        <f>'Prices by Case'!Y29/'Prices by Case'!Y$31</f>
        <v>1.0465348628863773</v>
      </c>
      <c r="Z29" s="3">
        <f>'Prices by Case'!Z29/'Prices by Case'!Z$31</f>
        <v>1.0304486083814723</v>
      </c>
      <c r="AA29" s="3">
        <f>'Prices by Case'!AA29/'Prices by Case'!AA$31</f>
        <v>1.0102145762926309</v>
      </c>
      <c r="AB29" s="3">
        <f>'Prices by Case'!AB29/'Prices by Case'!AB$31</f>
        <v>0.99818539000287543</v>
      </c>
      <c r="AC29" s="3">
        <f>'Prices by Case'!AC29/'Prices by Case'!AC$31</f>
        <v>0.99149210284383305</v>
      </c>
      <c r="AD29" s="3">
        <f>'Prices by Case'!AD29/'Prices by Case'!AD$31</f>
        <v>0.98192779383895412</v>
      </c>
      <c r="AE29" s="3">
        <f>'Prices by Case'!AE29/'Prices by Case'!AE$31</f>
        <v>0.97938621656047775</v>
      </c>
      <c r="AF29" s="3">
        <f>'Prices by Case'!AF29/'Prices by Case'!AF$31</f>
        <v>0.94238318000658472</v>
      </c>
      <c r="AG29" s="3">
        <f>'Prices by Case'!AG29/'Prices by Case'!AG$31</f>
        <v>0.96246230191858351</v>
      </c>
      <c r="AH29" s="3">
        <f>'Prices by Case'!AH29/'Prices by Case'!AH$31</f>
        <v>0.95631543470598057</v>
      </c>
      <c r="AI29" s="3">
        <f>'Prices by Case'!AI29/'Prices by Case'!AI$31</f>
        <v>0.95767211078543479</v>
      </c>
      <c r="AJ29" s="3">
        <f>'Prices by Case'!AJ29/'Prices by Case'!AJ$31</f>
        <v>0.96722732718839033</v>
      </c>
      <c r="AK29" s="3">
        <f>'Prices by Case'!AK29/'Prices by Case'!AK$31</f>
        <v>0.95602940934460656</v>
      </c>
      <c r="AL29" s="3">
        <f>'Prices by Case'!AL29/'Prices by Case'!AL$31</f>
        <v>0.96301528831496241</v>
      </c>
      <c r="AM29" s="3">
        <f>'Prices by Case'!AM29/'Prices by Case'!AM$31</f>
        <v>0.98318697522446985</v>
      </c>
      <c r="AN29" s="3">
        <f>'Prices by Case'!AN29/'Prices by Case'!AN$31</f>
        <v>0.97607327148512546</v>
      </c>
      <c r="AO29" s="3">
        <f>'Prices by Case'!AO29/'Prices by Case'!AO$31</f>
        <v>0.97140473677332217</v>
      </c>
      <c r="AP29" s="3">
        <f>'Prices by Case'!AP29/'Prices by Case'!AP$31</f>
        <v>0.97157418344638835</v>
      </c>
      <c r="AQ29" s="3">
        <f>'Prices by Case'!AQ29/'Prices by Case'!AQ$31</f>
        <v>0.96776951296622993</v>
      </c>
    </row>
    <row r="30" spans="1:43" x14ac:dyDescent="0.25">
      <c r="A30" t="s">
        <v>16</v>
      </c>
      <c r="B30" t="s">
        <v>9</v>
      </c>
      <c r="C30" s="3" t="e">
        <f>'Prices by Case'!#REF!/'Prices by Case'!#REF!</f>
        <v>#REF!</v>
      </c>
      <c r="D30" s="3" t="e">
        <f>'Prices by Case'!#REF!/'Prices by Case'!#REF!</f>
        <v>#REF!</v>
      </c>
      <c r="E30" s="3" t="e">
        <f>'Prices by Case'!#REF!/'Prices by Case'!#REF!</f>
        <v>#REF!</v>
      </c>
      <c r="F30" s="3" t="e">
        <f>'Prices by Case'!#REF!/'Prices by Case'!#REF!</f>
        <v>#REF!</v>
      </c>
      <c r="G30" s="3" t="e">
        <f>'Prices by Case'!#REF!/'Prices by Case'!#REF!</f>
        <v>#REF!</v>
      </c>
      <c r="H30" s="3" t="e">
        <f>'Prices by Case'!#REF!/'Prices by Case'!#REF!</f>
        <v>#REF!</v>
      </c>
      <c r="I30" s="3">
        <f>'Prices by Case'!I30/'Prices by Case'!I$31</f>
        <v>0.82635312309523701</v>
      </c>
      <c r="J30" s="3">
        <f>'Prices by Case'!J30/'Prices by Case'!J$31</f>
        <v>0.88177253786540233</v>
      </c>
      <c r="K30" s="3">
        <f>'Prices by Case'!K30/'Prices by Case'!K$31</f>
        <v>0.88610946765011378</v>
      </c>
      <c r="L30" s="3">
        <f>'Prices by Case'!L30/'Prices by Case'!L$31</f>
        <v>0.81354629056349026</v>
      </c>
      <c r="M30" s="3">
        <f>'Prices by Case'!M30/'Prices by Case'!M$31</f>
        <v>0.80043014812081903</v>
      </c>
      <c r="N30" s="3">
        <f>'Prices by Case'!N30/'Prices by Case'!N$31</f>
        <v>0.91337604504751702</v>
      </c>
      <c r="O30" s="3">
        <f>'Prices by Case'!O30/'Prices by Case'!O$31</f>
        <v>0.97881656583895771</v>
      </c>
      <c r="P30" s="3">
        <f>'Prices by Case'!P30/'Prices by Case'!P$31</f>
        <v>0.80043014812081903</v>
      </c>
      <c r="Q30" s="3">
        <f>'Prices by Case'!Q30/'Prices by Case'!Q$31</f>
        <v>0.81439104391893247</v>
      </c>
      <c r="R30" s="3">
        <f>'Prices by Case'!R30/'Prices by Case'!R$31</f>
        <v>0.9072251113729809</v>
      </c>
      <c r="S30" s="3">
        <f>'Prices by Case'!S30/'Prices by Case'!S$31</f>
        <v>0.89251303319265762</v>
      </c>
      <c r="T30" s="3">
        <f>'Prices by Case'!T30/'Prices by Case'!T$31</f>
        <v>0.90487561479791845</v>
      </c>
      <c r="U30" s="3">
        <f>'Prices by Case'!U30/'Prices by Case'!U$31</f>
        <v>0.92830949659739326</v>
      </c>
      <c r="V30" s="3">
        <f>'Prices by Case'!V30/'Prices by Case'!V$31</f>
        <v>0.95104259296227067</v>
      </c>
      <c r="W30" s="3">
        <f>'Prices by Case'!W30/'Prices by Case'!W$31</f>
        <v>0.97815537619971304</v>
      </c>
      <c r="X30" s="3">
        <f>'Prices by Case'!X30/'Prices by Case'!X$31</f>
        <v>0.98298962709720694</v>
      </c>
      <c r="Y30" s="3">
        <f>'Prices by Case'!Y30/'Prices by Case'!Y$31</f>
        <v>0.97770744655808706</v>
      </c>
      <c r="Z30" s="3">
        <f>'Prices by Case'!Z30/'Prices by Case'!Z$31</f>
        <v>0.97602335275488139</v>
      </c>
      <c r="AA30" s="3">
        <f>'Prices by Case'!AA30/'Prices by Case'!AA$31</f>
        <v>0.97639366930580329</v>
      </c>
      <c r="AB30" s="3">
        <f>'Prices by Case'!AB30/'Prices by Case'!AB$31</f>
        <v>0.96618827216422365</v>
      </c>
      <c r="AC30" s="3">
        <f>'Prices by Case'!AC30/'Prices by Case'!AC$31</f>
        <v>0.97955725987647768</v>
      </c>
      <c r="AD30" s="3">
        <f>'Prices by Case'!AD30/'Prices by Case'!AD$31</f>
        <v>0.98989966459737033</v>
      </c>
      <c r="AE30" s="3">
        <f>'Prices by Case'!AE30/'Prices by Case'!AE$31</f>
        <v>0.99540956188147589</v>
      </c>
      <c r="AF30" s="3">
        <f>'Prices by Case'!AF30/'Prices by Case'!AF$31</f>
        <v>1.0140511752599126</v>
      </c>
      <c r="AG30" s="3">
        <f>'Prices by Case'!AG30/'Prices by Case'!AG$31</f>
        <v>1.0128909566807502</v>
      </c>
      <c r="AH30" s="3">
        <f>'Prices by Case'!AH30/'Prices by Case'!AH$31</f>
        <v>1.012886022250119</v>
      </c>
      <c r="AI30" s="3">
        <f>'Prices by Case'!AI30/'Prices by Case'!AI$31</f>
        <v>1.0172073039634097</v>
      </c>
      <c r="AJ30" s="3">
        <f>'Prices by Case'!AJ30/'Prices by Case'!AJ$31</f>
        <v>1.0188179632157681</v>
      </c>
      <c r="AK30" s="3">
        <f>'Prices by Case'!AK30/'Prices by Case'!AK$31</f>
        <v>1.0359289729895322</v>
      </c>
      <c r="AL30" s="3">
        <f>'Prices by Case'!AL30/'Prices by Case'!AL$31</f>
        <v>1.0431055546789361</v>
      </c>
      <c r="AM30" s="3">
        <f>'Prices by Case'!AM30/'Prices by Case'!AM$31</f>
        <v>1.0438867227899935</v>
      </c>
      <c r="AN30" s="3">
        <f>'Prices by Case'!AN30/'Prices by Case'!AN$31</f>
        <v>1.0460185428267448</v>
      </c>
      <c r="AO30" s="3">
        <f>'Prices by Case'!AO30/'Prices by Case'!AO$31</f>
        <v>1.0529281433066469</v>
      </c>
      <c r="AP30" s="3">
        <f>'Prices by Case'!AP30/'Prices by Case'!AP$31</f>
        <v>1.0558843101041542</v>
      </c>
      <c r="AQ30" s="3">
        <f>'Prices by Case'!AQ30/'Prices by Case'!AQ$31</f>
        <v>1.0527802429023667</v>
      </c>
    </row>
    <row r="31" spans="1:43" x14ac:dyDescent="0.25">
      <c r="A31" s="4" t="s">
        <v>16</v>
      </c>
      <c r="B31" s="4" t="s">
        <v>10</v>
      </c>
      <c r="C31" s="5" t="e">
        <f>'Prices by Case'!#REF!/'Prices by Case'!#REF!</f>
        <v>#REF!</v>
      </c>
      <c r="D31" s="5" t="e">
        <f>'Prices by Case'!#REF!/'Prices by Case'!#REF!</f>
        <v>#REF!</v>
      </c>
      <c r="E31" s="5" t="e">
        <f>'Prices by Case'!#REF!/'Prices by Case'!#REF!</f>
        <v>#REF!</v>
      </c>
      <c r="F31" s="5" t="e">
        <f>'Prices by Case'!#REF!/'Prices by Case'!#REF!</f>
        <v>#REF!</v>
      </c>
      <c r="G31" s="5" t="e">
        <f>'Prices by Case'!#REF!/'Prices by Case'!#REF!</f>
        <v>#REF!</v>
      </c>
      <c r="H31" s="5" t="e">
        <f>'Prices by Case'!#REF!/'Prices by Case'!#REF!</f>
        <v>#REF!</v>
      </c>
      <c r="I31" s="5">
        <f>'Prices by Case'!I31/'Prices by Case'!I$31</f>
        <v>1</v>
      </c>
      <c r="J31" s="5">
        <f>'Prices by Case'!J31/'Prices by Case'!J$31</f>
        <v>1</v>
      </c>
      <c r="K31" s="5">
        <f>'Prices by Case'!K31/'Prices by Case'!K$31</f>
        <v>1</v>
      </c>
      <c r="L31" s="5">
        <f>'Prices by Case'!L31/'Prices by Case'!L$31</f>
        <v>1</v>
      </c>
      <c r="M31" s="5">
        <f>'Prices by Case'!M31/'Prices by Case'!M$31</f>
        <v>1</v>
      </c>
      <c r="N31" s="5">
        <f>'Prices by Case'!N31/'Prices by Case'!N$31</f>
        <v>1</v>
      </c>
      <c r="O31" s="5">
        <f>'Prices by Case'!O31/'Prices by Case'!O$31</f>
        <v>1</v>
      </c>
      <c r="P31" s="5">
        <f>'Prices by Case'!P31/'Prices by Case'!P$31</f>
        <v>1</v>
      </c>
      <c r="Q31" s="5">
        <f>'Prices by Case'!Q31/'Prices by Case'!Q$31</f>
        <v>1</v>
      </c>
      <c r="R31" s="5">
        <f>'Prices by Case'!R31/'Prices by Case'!R$31</f>
        <v>1</v>
      </c>
      <c r="S31" s="5">
        <f>'Prices by Case'!S31/'Prices by Case'!S$31</f>
        <v>1</v>
      </c>
      <c r="T31" s="5">
        <f>'Prices by Case'!T31/'Prices by Case'!T$31</f>
        <v>1</v>
      </c>
      <c r="U31" s="5">
        <f>'Prices by Case'!U31/'Prices by Case'!U$31</f>
        <v>1</v>
      </c>
      <c r="V31" s="5">
        <f>'Prices by Case'!V31/'Prices by Case'!V$31</f>
        <v>1</v>
      </c>
      <c r="W31" s="5">
        <f>'Prices by Case'!W31/'Prices by Case'!W$31</f>
        <v>1</v>
      </c>
      <c r="X31" s="5">
        <f>'Prices by Case'!X31/'Prices by Case'!X$31</f>
        <v>1</v>
      </c>
      <c r="Y31" s="5">
        <f>'Prices by Case'!Y31/'Prices by Case'!Y$31</f>
        <v>1</v>
      </c>
      <c r="Z31" s="5">
        <f>'Prices by Case'!Z31/'Prices by Case'!Z$31</f>
        <v>1</v>
      </c>
      <c r="AA31" s="5">
        <f>'Prices by Case'!AA31/'Prices by Case'!AA$31</f>
        <v>1</v>
      </c>
      <c r="AB31" s="5">
        <f>'Prices by Case'!AB31/'Prices by Case'!AB$31</f>
        <v>1</v>
      </c>
      <c r="AC31" s="5">
        <f>'Prices by Case'!AC31/'Prices by Case'!AC$31</f>
        <v>1</v>
      </c>
      <c r="AD31" s="5">
        <f>'Prices by Case'!AD31/'Prices by Case'!AD$31</f>
        <v>1</v>
      </c>
      <c r="AE31" s="5">
        <f>'Prices by Case'!AE31/'Prices by Case'!AE$31</f>
        <v>1</v>
      </c>
      <c r="AF31" s="5">
        <f>'Prices by Case'!AF31/'Prices by Case'!AF$31</f>
        <v>1</v>
      </c>
      <c r="AG31" s="5">
        <f>'Prices by Case'!AG31/'Prices by Case'!AG$31</f>
        <v>1</v>
      </c>
      <c r="AH31" s="5">
        <f>'Prices by Case'!AH31/'Prices by Case'!AH$31</f>
        <v>1</v>
      </c>
      <c r="AI31" s="5">
        <f>'Prices by Case'!AI31/'Prices by Case'!AI$31</f>
        <v>1</v>
      </c>
      <c r="AJ31" s="5">
        <f>'Prices by Case'!AJ31/'Prices by Case'!AJ$31</f>
        <v>1</v>
      </c>
      <c r="AK31" s="5">
        <f>'Prices by Case'!AK31/'Prices by Case'!AK$31</f>
        <v>1</v>
      </c>
      <c r="AL31" s="5">
        <f>'Prices by Case'!AL31/'Prices by Case'!AL$31</f>
        <v>1</v>
      </c>
      <c r="AM31" s="5">
        <f>'Prices by Case'!AM31/'Prices by Case'!AM$31</f>
        <v>1</v>
      </c>
      <c r="AN31" s="5">
        <f>'Prices by Case'!AN31/'Prices by Case'!AN$31</f>
        <v>1</v>
      </c>
      <c r="AO31" s="5">
        <f>'Prices by Case'!AO31/'Prices by Case'!AO$31</f>
        <v>1</v>
      </c>
      <c r="AP31" s="5">
        <f>'Prices by Case'!AP31/'Prices by Case'!AP$31</f>
        <v>1</v>
      </c>
      <c r="AQ31" s="5">
        <f>'Prices by Case'!AQ31/'Prices by Case'!AQ$31</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
  <sheetViews>
    <sheetView workbookViewId="0">
      <selection activeCell="K15" sqref="K15"/>
    </sheetView>
  </sheetViews>
  <sheetFormatPr defaultColWidth="8.85546875" defaultRowHeight="15" x14ac:dyDescent="0.25"/>
  <sheetData>
    <row r="1" spans="1:10" x14ac:dyDescent="0.25">
      <c r="B1" t="s">
        <v>22</v>
      </c>
      <c r="E1" t="s">
        <v>23</v>
      </c>
      <c r="G1" t="s">
        <v>24</v>
      </c>
      <c r="I1" s="13" t="s">
        <v>25</v>
      </c>
    </row>
    <row r="2" spans="1:10" x14ac:dyDescent="0.25">
      <c r="A2" t="s">
        <v>26</v>
      </c>
      <c r="B2">
        <v>2012</v>
      </c>
      <c r="D2" t="s">
        <v>26</v>
      </c>
      <c r="E2" t="s">
        <v>27</v>
      </c>
      <c r="G2" t="s">
        <v>14</v>
      </c>
      <c r="I2" s="13" t="s">
        <v>14</v>
      </c>
    </row>
    <row r="3" spans="1:10" x14ac:dyDescent="0.25">
      <c r="A3" t="s">
        <v>1</v>
      </c>
      <c r="B3">
        <v>0.44768000000000002</v>
      </c>
      <c r="D3" t="s">
        <v>1</v>
      </c>
      <c r="E3">
        <v>2.7297863227749998E-2</v>
      </c>
      <c r="G3">
        <v>0.53478499999999995</v>
      </c>
      <c r="I3" s="13">
        <f>(B3-E3)/B3*G3</f>
        <v>0.50217579747531205</v>
      </c>
      <c r="J3" t="s">
        <v>28</v>
      </c>
    </row>
    <row r="4" spans="1:10" x14ac:dyDescent="0.25">
      <c r="A4" t="s">
        <v>2</v>
      </c>
      <c r="B4">
        <v>1.15412</v>
      </c>
      <c r="D4" t="s">
        <v>2</v>
      </c>
      <c r="E4">
        <v>0.23950879525325</v>
      </c>
      <c r="G4">
        <v>0.18294299999999999</v>
      </c>
      <c r="I4" s="13">
        <f t="shared" ref="I4:I14" si="0">(B4-E4)/B4*G4</f>
        <v>0.14497774722731144</v>
      </c>
    </row>
    <row r="5" spans="1:10" x14ac:dyDescent="0.25">
      <c r="A5" t="s">
        <v>3</v>
      </c>
      <c r="B5">
        <v>0.65559999999999996</v>
      </c>
      <c r="D5" t="s">
        <v>3</v>
      </c>
      <c r="E5">
        <v>0.13873638257225002</v>
      </c>
      <c r="G5">
        <v>0.33353899999999997</v>
      </c>
      <c r="I5" s="13">
        <f t="shared" si="0"/>
        <v>0.26295633632281001</v>
      </c>
    </row>
    <row r="6" spans="1:10" x14ac:dyDescent="0.25">
      <c r="A6" t="s">
        <v>4</v>
      </c>
      <c r="B6">
        <v>0.17066000000000001</v>
      </c>
      <c r="D6" t="s">
        <v>4</v>
      </c>
      <c r="E6">
        <v>6.0714125699999994E-3</v>
      </c>
      <c r="G6">
        <v>0.6</v>
      </c>
      <c r="I6" s="13">
        <f t="shared" si="0"/>
        <v>0.57865435636938944</v>
      </c>
    </row>
    <row r="7" spans="1:10" x14ac:dyDescent="0.25">
      <c r="A7" t="s">
        <v>5</v>
      </c>
      <c r="B7">
        <v>2.0428500000000001</v>
      </c>
      <c r="D7" t="s">
        <v>5</v>
      </c>
      <c r="E7">
        <v>7.2543051323999991E-2</v>
      </c>
      <c r="G7">
        <v>0.167823</v>
      </c>
      <c r="I7" s="13">
        <f t="shared" si="0"/>
        <v>0.16186348632922257</v>
      </c>
    </row>
    <row r="8" spans="1:10" x14ac:dyDescent="0.25">
      <c r="A8" t="s">
        <v>6</v>
      </c>
      <c r="B8">
        <v>0.79730000000000001</v>
      </c>
      <c r="D8" t="s">
        <v>6</v>
      </c>
      <c r="E8">
        <v>3.4285705056499999E-2</v>
      </c>
      <c r="G8">
        <v>0.63575099999999996</v>
      </c>
      <c r="I8" s="13">
        <f t="shared" si="0"/>
        <v>0.60841226768421552</v>
      </c>
    </row>
    <row r="9" spans="1:10" x14ac:dyDescent="0.25">
      <c r="A9" t="s">
        <v>7</v>
      </c>
      <c r="B9">
        <v>2.33724</v>
      </c>
      <c r="D9" t="s">
        <v>7</v>
      </c>
      <c r="E9">
        <v>0.51951836805575002</v>
      </c>
      <c r="G9">
        <v>0.109129</v>
      </c>
      <c r="I9" s="13">
        <f t="shared" si="0"/>
        <v>8.4871961789308781E-2</v>
      </c>
    </row>
    <row r="10" spans="1:10" x14ac:dyDescent="0.25">
      <c r="A10" t="s">
        <v>8</v>
      </c>
      <c r="B10">
        <v>0.66283000000000003</v>
      </c>
      <c r="D10" t="s">
        <v>8</v>
      </c>
      <c r="E10">
        <v>2.8606418165999997E-2</v>
      </c>
      <c r="G10">
        <v>0.56991700000000001</v>
      </c>
      <c r="I10" s="13">
        <f t="shared" si="0"/>
        <v>0.54532052123182084</v>
      </c>
    </row>
    <row r="11" spans="1:10" x14ac:dyDescent="0.25">
      <c r="A11" t="s">
        <v>9</v>
      </c>
      <c r="B11">
        <v>1.0445500000000001</v>
      </c>
      <c r="D11" t="s">
        <v>9</v>
      </c>
      <c r="E11">
        <v>0.20848484803874998</v>
      </c>
      <c r="G11">
        <v>0.24592800000000001</v>
      </c>
      <c r="I11" s="13">
        <f t="shared" si="0"/>
        <v>0.19684249743097632</v>
      </c>
    </row>
    <row r="12" spans="1:10" x14ac:dyDescent="0.25">
      <c r="A12" t="s">
        <v>10</v>
      </c>
      <c r="B12">
        <v>9.3128299999999999</v>
      </c>
      <c r="D12" t="s">
        <v>10</v>
      </c>
      <c r="E12">
        <v>1.2750528442642499</v>
      </c>
      <c r="G12">
        <v>0.18732551502389699</v>
      </c>
      <c r="I12" s="13">
        <f t="shared" si="0"/>
        <v>0.1616781091618244</v>
      </c>
    </row>
    <row r="14" spans="1:10" x14ac:dyDescent="0.25">
      <c r="A14" t="s">
        <v>10</v>
      </c>
      <c r="B14">
        <v>9.3128299999999999</v>
      </c>
      <c r="D14" t="s">
        <v>10</v>
      </c>
      <c r="E14">
        <v>1.2750528442642499</v>
      </c>
      <c r="F14" t="s">
        <v>29</v>
      </c>
      <c r="G14">
        <v>0.15665699999999999</v>
      </c>
      <c r="I14" s="13">
        <f t="shared" si="0"/>
        <v>0.13520853015529063</v>
      </c>
    </row>
  </sheetData>
  <pageMargins left="0.7" right="0.7" top="0.75" bottom="0.75" header="0.3" footer="0.3"/>
  <drawing r:id="rId1"/>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Prices by Case</vt:lpstr>
      <vt:lpstr>Demand by Case</vt:lpstr>
      <vt:lpstr>NG Alphas</vt:lpstr>
      <vt:lpstr>Price Ratios</vt:lpstr>
      <vt:lpstr>Beta Adjustment</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NREL</dc:creator>
  <cp:lastModifiedBy>Cole, Wesley</cp:lastModifiedBy>
  <dcterms:created xsi:type="dcterms:W3CDTF">2014-05-22T21:51:40Z</dcterms:created>
  <dcterms:modified xsi:type="dcterms:W3CDTF">2025-04-18T18:24:11Z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{3FBBEDF8-4DFC-4D4E-87F6-AC5E10D21343}</vt:lpwstr>
  </property>
  <property fmtid="{D5CDD505-2E9C-101B-9397-08002B2CF9AE}" pid="3" name="MSIP_Label_95965d95-ecc0-4720-b759-1f33c42ed7da_Enabled">
    <vt:lpwstr>true</vt:lpwstr>
  </property>
  <property fmtid="{D5CDD505-2E9C-101B-9397-08002B2CF9AE}" pid="4" name="MSIP_Label_95965d95-ecc0-4720-b759-1f33c42ed7da_SetDate">
    <vt:lpwstr>2024-01-20T00:03:51Z</vt:lpwstr>
  </property>
  <property fmtid="{D5CDD505-2E9C-101B-9397-08002B2CF9AE}" pid="5" name="MSIP_Label_95965d95-ecc0-4720-b759-1f33c42ed7da_Method">
    <vt:lpwstr>Standard</vt:lpwstr>
  </property>
  <property fmtid="{D5CDD505-2E9C-101B-9397-08002B2CF9AE}" pid="6" name="MSIP_Label_95965d95-ecc0-4720-b759-1f33c42ed7da_Name">
    <vt:lpwstr>General</vt:lpwstr>
  </property>
  <property fmtid="{D5CDD505-2E9C-101B-9397-08002B2CF9AE}" pid="7" name="MSIP_Label_95965d95-ecc0-4720-b759-1f33c42ed7da_SiteId">
    <vt:lpwstr>a0f29d7e-28cd-4f54-8442-7885aee7c080</vt:lpwstr>
  </property>
  <property fmtid="{D5CDD505-2E9C-101B-9397-08002B2CF9AE}" pid="8" name="MSIP_Label_95965d95-ecc0-4720-b759-1f33c42ed7da_ActionId">
    <vt:lpwstr>326c7ca9-bd3d-45fa-8aad-99de0bba0b06</vt:lpwstr>
  </property>
  <property fmtid="{D5CDD505-2E9C-101B-9397-08002B2CF9AE}" pid="9" name="MSIP_Label_95965d95-ecc0-4720-b759-1f33c42ed7da_ContentBits">
    <vt:lpwstr>0</vt:lpwstr>
  </property>
</Properties>
</file>