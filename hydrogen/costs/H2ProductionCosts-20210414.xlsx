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brown1/Desktop/"/>
    </mc:Choice>
  </mc:AlternateContent>
  <xr:revisionPtr revIDLastSave="0" documentId="8_{4CDFA774-20D6-3E40-B68B-E797BE327B22}" xr6:coauthVersionLast="47" xr6:coauthVersionMax="47" xr10:uidLastSave="{00000000-0000-0000-0000-000000000000}"/>
  <bookViews>
    <workbookView xWindow="0" yWindow="460" windowWidth="29040" windowHeight="15840" xr2:uid="{938C5C3A-FD3B-47C5-9F84-F2039C83FDD4}"/>
  </bookViews>
  <sheets>
    <sheet name="Electrolysis" sheetId="1" r:id="rId1"/>
    <sheet name="SMR" sheetId="2" r:id="rId2"/>
    <sheet name="Not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2" l="1"/>
  <c r="C6" i="2"/>
  <c r="C5" i="2"/>
  <c r="E5" i="2"/>
  <c r="D3" i="2" l="1"/>
  <c r="E3" i="2" s="1"/>
  <c r="D2" i="2"/>
  <c r="E2" i="2" s="1"/>
  <c r="E4" i="1"/>
  <c r="E3" i="1"/>
  <c r="E2" i="1"/>
  <c r="D7" i="2" l="1"/>
  <c r="E7" i="2"/>
  <c r="F7" i="2"/>
  <c r="G7" i="2"/>
  <c r="H7" i="2"/>
  <c r="C7" i="2"/>
  <c r="D4" i="2"/>
  <c r="E4" i="2"/>
  <c r="F4" i="2"/>
  <c r="G4" i="2"/>
  <c r="H4" i="2"/>
  <c r="C4" i="2"/>
  <c r="D4" i="1" l="1"/>
  <c r="D3" i="1"/>
  <c r="D2" i="1"/>
</calcChain>
</file>

<file path=xl/sharedStrings.xml><?xml version="1.0" encoding="utf-8"?>
<sst xmlns="http://schemas.openxmlformats.org/spreadsheetml/2006/main" count="44" uniqueCount="34">
  <si>
    <t>Technology</t>
  </si>
  <si>
    <t>Year</t>
  </si>
  <si>
    <t>Uninstalled Capital Cost ($/kW)</t>
  </si>
  <si>
    <t>Installed Capital Cost ($/kW)</t>
  </si>
  <si>
    <t>Overnight Capital Cost ($/kW)</t>
  </si>
  <si>
    <t>FOM  ($/kW-yr)</t>
  </si>
  <si>
    <t>Elec Efficiency (kWh/kg)</t>
  </si>
  <si>
    <t>Notes</t>
  </si>
  <si>
    <t>PEM Electrolysis</t>
  </si>
  <si>
    <t>H2New estimates 2020 Status (not final, not to be shared); Installation cost adder of 12% for current based on HFTO program record (https://www.hydrogen.energy.gov/pdfs/19009_h2_production_cost_pem_electrolysis_2019.pdf); Overnight adder of 1.42 based on H2A current PEM; FOM from H2A current PEM (based on baseline capacity of 131 MW)</t>
  </si>
  <si>
    <t>H2New estimates 2025 target (not final, not to be shared); Installation cost adder of 10% for future based on HFTO program record (https://www.hydrogen.energy.gov/pdfs/19009_h2_production_cost_pem_electrolysis_2019.pdf); Overnight adder of 1.43 based on H2A future PEM;  FOM from H2A future PEM (based on baseline capacity of 126 MW)</t>
  </si>
  <si>
    <t>H2New estimates ultimate target (not final, not to be shared); Installation cost adder of 10% for future based on HFTO program record (https://www.hydrogen.energy.gov/pdfs/19009_h2_production_cost_pem_electrolysis_2019.pdf); Overnight adder of 1.43 based on H2A future PEM;  FOM from H2A future PEM (based on baseline capacity of 126 MW)</t>
  </si>
  <si>
    <t>Uninstalled Capital Cost ($/kg/day)</t>
  </si>
  <si>
    <t>Installed Capital Cost ($/kg/day)</t>
  </si>
  <si>
    <t>Overnight Capital Cost ($/kg/day)</t>
  </si>
  <si>
    <t>FOM  ($/kg/day-yr)</t>
  </si>
  <si>
    <t>NG Efficiency (mmBtu/kg)</t>
  </si>
  <si>
    <t>SMR</t>
  </si>
  <si>
    <t>H2A Current SMR w/o CCS; based on baseline design cap of 379,387 kg H2/day</t>
  </si>
  <si>
    <t>H2A Future SMR w/o CCS; based on baseline design cap of 379,387 kg H2/day</t>
  </si>
  <si>
    <t>Assumed equal to H2A Future SMR w/o CCS</t>
  </si>
  <si>
    <t>SMR w/ CCS</t>
  </si>
  <si>
    <t>H2A Current SMR w/ CCS; based on baseline design cap of 379,387 kg H2/day</t>
  </si>
  <si>
    <t>H2A Future SMR w/ CCS; based on baseline design cap of 379,387 kg H2/day</t>
  </si>
  <si>
    <t>Assumed equal to H2A Future SMR w/ CCS</t>
  </si>
  <si>
    <t>Notes/Caveats</t>
  </si>
  <si>
    <t>SMR costs likely not linear, but decent approximation for now</t>
  </si>
  <si>
    <t>Water usage not included here, but can be provided based H2A</t>
  </si>
  <si>
    <t>To Do/Check</t>
  </si>
  <si>
    <t>Capital costs may need to be adjusted to account for discounting construction costs in negative years</t>
  </si>
  <si>
    <t>Confirm if H2New estimates include overnight markup</t>
  </si>
  <si>
    <t>Discuss WACC/discount rate assumptions in ReEDS with HFTO</t>
  </si>
  <si>
    <t>Lifetime assumptions for electrolyzers range from 60k hours for 2020 to 100k hours for ultimate. Should be translated to years</t>
  </si>
  <si>
    <t>Discuss use of separate cost trajectories (moderate vs advanced)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</si>
</sst>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0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7C201-7591-4455-8259-3CFC7D590609}">
  <dimension ref="A1:H15"/>
  <sheetViews>
    <sheetView tabSelected="1" workbookViewId="0">
      <selection activeCell="H9" sqref="H9"/>
    </sheetView>
  </sheetViews>
  <sheetFormatPr baseColWidth="10" defaultColWidth="8.83203125" defaultRowHeight="15" x14ac:dyDescent="0.2"/>
  <cols>
    <col min="1" max="1" width="18.5" customWidth="1"/>
    <col min="2" max="2" width="6.83203125" customWidth="1"/>
    <col min="3" max="7" width="19.5" customWidth="1"/>
    <col min="8" max="9" width="108.83203125" customWidth="1"/>
  </cols>
  <sheetData>
    <row r="1" spans="1:8" s="4" customFormat="1" ht="32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45" customHeight="1" x14ac:dyDescent="0.2">
      <c r="A2" s="2" t="s">
        <v>8</v>
      </c>
      <c r="B2">
        <v>2020</v>
      </c>
      <c r="C2">
        <v>600</v>
      </c>
      <c r="D2">
        <f>C2*1.12</f>
        <v>672.00000000000011</v>
      </c>
      <c r="E2">
        <f>D2*1.42</f>
        <v>954.24000000000012</v>
      </c>
      <c r="F2">
        <v>36.700000000000003</v>
      </c>
      <c r="G2">
        <v>55.5</v>
      </c>
      <c r="H2" s="3" t="s">
        <v>9</v>
      </c>
    </row>
    <row r="3" spans="1:8" ht="47.25" customHeight="1" x14ac:dyDescent="0.2">
      <c r="A3" s="2" t="s">
        <v>8</v>
      </c>
      <c r="B3">
        <v>2025</v>
      </c>
      <c r="C3">
        <v>250</v>
      </c>
      <c r="D3">
        <f>C3*1.1</f>
        <v>275</v>
      </c>
      <c r="E3">
        <f>D3*1.43</f>
        <v>393.25</v>
      </c>
      <c r="F3">
        <v>23.8</v>
      </c>
      <c r="G3">
        <v>51.2</v>
      </c>
      <c r="H3" s="3" t="s">
        <v>10</v>
      </c>
    </row>
    <row r="4" spans="1:8" ht="47.25" customHeight="1" x14ac:dyDescent="0.2">
      <c r="A4" s="2" t="s">
        <v>8</v>
      </c>
      <c r="B4">
        <v>2050</v>
      </c>
      <c r="C4">
        <v>100</v>
      </c>
      <c r="D4">
        <f>C4*1.1</f>
        <v>110.00000000000001</v>
      </c>
      <c r="E4">
        <f>D4*1.43</f>
        <v>157.30000000000001</v>
      </c>
      <c r="F4">
        <v>23.8</v>
      </c>
      <c r="G4">
        <v>46.2</v>
      </c>
      <c r="H4" s="3" t="s">
        <v>11</v>
      </c>
    </row>
    <row r="5" spans="1:8" x14ac:dyDescent="0.2">
      <c r="B5" s="1"/>
    </row>
    <row r="15" spans="1:8" x14ac:dyDescent="0.2">
      <c r="B1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DA66D-9583-4EFD-BF9F-D4381FBC02E1}">
  <dimension ref="A1:I18"/>
  <sheetViews>
    <sheetView workbookViewId="0">
      <selection activeCell="A8" sqref="A8"/>
    </sheetView>
  </sheetViews>
  <sheetFormatPr baseColWidth="10" defaultColWidth="8.83203125" defaultRowHeight="15" x14ac:dyDescent="0.2"/>
  <cols>
    <col min="1" max="1" width="18.5" customWidth="1"/>
    <col min="2" max="2" width="6.83203125" customWidth="1"/>
    <col min="3" max="8" width="19.5" customWidth="1"/>
    <col min="9" max="9" width="104.83203125" customWidth="1"/>
  </cols>
  <sheetData>
    <row r="1" spans="1:9" s="4" customFormat="1" ht="32" x14ac:dyDescent="0.2">
      <c r="A1" s="4" t="s">
        <v>0</v>
      </c>
      <c r="B1" s="4" t="s">
        <v>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6</v>
      </c>
      <c r="H1" s="4" t="s">
        <v>16</v>
      </c>
      <c r="I1" s="4" t="s">
        <v>7</v>
      </c>
    </row>
    <row r="2" spans="1:9" ht="16" x14ac:dyDescent="0.2">
      <c r="A2" s="2" t="s">
        <v>17</v>
      </c>
      <c r="B2">
        <v>2020</v>
      </c>
      <c r="C2" s="5">
        <v>239.7</v>
      </c>
      <c r="D2" s="5">
        <f>C2*1.92</f>
        <v>460.22399999999999</v>
      </c>
      <c r="E2" s="5">
        <f>D2*1.42</f>
        <v>653.51807999999994</v>
      </c>
      <c r="F2" s="5">
        <v>23.46</v>
      </c>
      <c r="G2">
        <v>0.56899999999999995</v>
      </c>
      <c r="H2">
        <v>0.15625</v>
      </c>
      <c r="I2" s="3" t="s">
        <v>18</v>
      </c>
    </row>
    <row r="3" spans="1:9" ht="16" x14ac:dyDescent="0.2">
      <c r="A3" s="2" t="s">
        <v>17</v>
      </c>
      <c r="B3">
        <v>2035</v>
      </c>
      <c r="C3" s="5">
        <v>179.78</v>
      </c>
      <c r="D3" s="5">
        <f>C3*1.92</f>
        <v>345.17759999999998</v>
      </c>
      <c r="E3" s="5">
        <f>D3*1.42</f>
        <v>490.15219199999996</v>
      </c>
      <c r="F3" s="5">
        <v>19.5</v>
      </c>
      <c r="G3">
        <v>0.6</v>
      </c>
      <c r="H3">
        <v>0.156</v>
      </c>
      <c r="I3" s="3" t="s">
        <v>19</v>
      </c>
    </row>
    <row r="4" spans="1:9" ht="16" x14ac:dyDescent="0.2">
      <c r="A4" s="2" t="s">
        <v>17</v>
      </c>
      <c r="B4">
        <v>2050</v>
      </c>
      <c r="C4" s="5">
        <f>C3</f>
        <v>179.78</v>
      </c>
      <c r="D4" s="5">
        <f t="shared" ref="D4:H4" si="0">D3</f>
        <v>345.17759999999998</v>
      </c>
      <c r="E4" s="5">
        <f t="shared" si="0"/>
        <v>490.15219199999996</v>
      </c>
      <c r="F4" s="5">
        <f t="shared" si="0"/>
        <v>19.5</v>
      </c>
      <c r="G4">
        <f t="shared" si="0"/>
        <v>0.6</v>
      </c>
      <c r="H4">
        <f t="shared" si="0"/>
        <v>0.156</v>
      </c>
      <c r="I4" s="3" t="s">
        <v>20</v>
      </c>
    </row>
    <row r="5" spans="1:9" ht="16" x14ac:dyDescent="0.2">
      <c r="A5" s="2" t="s">
        <v>21</v>
      </c>
      <c r="B5">
        <v>2020</v>
      </c>
      <c r="C5" s="5">
        <f>D5/1.92</f>
        <v>467.0625</v>
      </c>
      <c r="D5" s="5">
        <v>896.76</v>
      </c>
      <c r="E5" s="5">
        <f>D5*1.42</f>
        <v>1273.3991999999998</v>
      </c>
      <c r="F5" s="5">
        <v>38.49</v>
      </c>
      <c r="G5">
        <v>0.6</v>
      </c>
      <c r="H5">
        <v>0.15579999999999999</v>
      </c>
      <c r="I5" s="3" t="s">
        <v>22</v>
      </c>
    </row>
    <row r="6" spans="1:9" ht="16" x14ac:dyDescent="0.2">
      <c r="A6" s="2" t="s">
        <v>21</v>
      </c>
      <c r="B6">
        <v>2035</v>
      </c>
      <c r="C6" s="5">
        <f>D6/1.92</f>
        <v>411.53125</v>
      </c>
      <c r="D6" s="5">
        <v>790.14</v>
      </c>
      <c r="E6" s="5">
        <f>D6*1.42</f>
        <v>1121.9987999999998</v>
      </c>
      <c r="F6" s="5">
        <v>34.770000000000003</v>
      </c>
      <c r="G6">
        <v>0.6</v>
      </c>
      <c r="H6">
        <v>0.15579999999999999</v>
      </c>
      <c r="I6" s="3" t="s">
        <v>23</v>
      </c>
    </row>
    <row r="7" spans="1:9" ht="16" x14ac:dyDescent="0.2">
      <c r="A7" s="2" t="s">
        <v>21</v>
      </c>
      <c r="B7">
        <v>2050</v>
      </c>
      <c r="C7" s="5">
        <f>C6</f>
        <v>411.53125</v>
      </c>
      <c r="D7" s="5">
        <f t="shared" ref="D7:H7" si="1">D6</f>
        <v>790.14</v>
      </c>
      <c r="E7" s="5">
        <f t="shared" si="1"/>
        <v>1121.9987999999998</v>
      </c>
      <c r="F7" s="5">
        <f t="shared" si="1"/>
        <v>34.770000000000003</v>
      </c>
      <c r="G7">
        <f t="shared" si="1"/>
        <v>0.6</v>
      </c>
      <c r="H7">
        <f t="shared" si="1"/>
        <v>0.15579999999999999</v>
      </c>
      <c r="I7" s="3" t="s">
        <v>24</v>
      </c>
    </row>
    <row r="8" spans="1:9" x14ac:dyDescent="0.2">
      <c r="B8" s="1"/>
    </row>
    <row r="18" spans="2:2" x14ac:dyDescent="0.2">
      <c r="B1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CB9DD-F76F-46A8-A787-6D7C67B8E89D}">
  <dimension ref="A1:A12"/>
  <sheetViews>
    <sheetView workbookViewId="0">
      <selection activeCell="A13" sqref="A13"/>
    </sheetView>
  </sheetViews>
  <sheetFormatPr baseColWidth="10" defaultColWidth="8.83203125" defaultRowHeight="15" x14ac:dyDescent="0.2"/>
  <cols>
    <col min="1" max="1" width="56.83203125" bestFit="1" customWidth="1"/>
  </cols>
  <sheetData>
    <row r="1" spans="1:1" x14ac:dyDescent="0.2">
      <c r="A1" s="1" t="s">
        <v>25</v>
      </c>
    </row>
    <row r="2" spans="1:1" x14ac:dyDescent="0.2">
      <c r="A2" t="s">
        <v>26</v>
      </c>
    </row>
    <row r="3" spans="1:1" x14ac:dyDescent="0.2">
      <c r="A3" t="s">
        <v>27</v>
      </c>
    </row>
    <row r="7" spans="1:1" x14ac:dyDescent="0.2">
      <c r="A7" s="1" t="s">
        <v>28</v>
      </c>
    </row>
    <row r="8" spans="1:1" x14ac:dyDescent="0.2">
      <c r="A8" t="s">
        <v>29</v>
      </c>
    </row>
    <row r="9" spans="1:1" x14ac:dyDescent="0.2">
      <c r="A9" t="s">
        <v>30</v>
      </c>
    </row>
    <row r="10" spans="1:1" x14ac:dyDescent="0.2">
      <c r="A10" t="s">
        <v>31</v>
      </c>
    </row>
    <row r="11" spans="1:1" x14ac:dyDescent="0.2">
      <c r="A11" t="s">
        <v>32</v>
      </c>
    </row>
    <row r="12" spans="1:1" x14ac:dyDescent="0.2">
      <c r="A12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643D6720B83C4F8C364A94E8D6FB56" ma:contentTypeVersion="0" ma:contentTypeDescription="Create a new document." ma:contentTypeScope="" ma:versionID="fef4d090c6e68aac63105c81c785577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413257cd9829394d17656a545d5fa4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60F016-97EC-4196-B324-ABD9721506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848B8D-9FE6-421F-B277-4C985AC14F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BE4DD5D-6465-4DE3-B263-4BC27F97512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Electrolysis</vt:lpstr>
      <vt:lpstr>SMR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Jadun, Paige</dc:creator>
  <cp:keywords/>
  <dc:description/>
  <cp:lastModifiedBy>Microsoft Office User</cp:lastModifiedBy>
  <cp:revision/>
  <dcterms:created xsi:type="dcterms:W3CDTF">2021-04-14T20:56:13Z</dcterms:created>
  <dcterms:modified xsi:type="dcterms:W3CDTF">2021-05-13T21:49:08Z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0x010100DB643D6720B83C4F8C364A94E8D6FB56</vt:lpwstr>
  </property>
</Properties>
</file>