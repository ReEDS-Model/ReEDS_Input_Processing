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rel-my.sharepoint.com/personal/rrolph_nrel_gov/Documents/Projects/FY25/ReEDS_development/RGGI/"/>
    </mc:Choice>
  </mc:AlternateContent>
  <xr:revisionPtr revIDLastSave="163" documentId="8_{4BD55177-0D39-4C96-B837-4AA7B4538A6E}" xr6:coauthVersionLast="47" xr6:coauthVersionMax="47" xr10:uidLastSave="{BEAE4C3C-6AE9-4B79-8DC2-932726B1D00A}"/>
  <bookViews>
    <workbookView xWindow="14295" yWindow="-16200" windowWidth="14610" windowHeight="15585" xr2:uid="{A9CE23E1-86F6-4D8D-ABD3-E8A11E1CDB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4" i="1" l="1"/>
  <c r="H14" i="1" l="1"/>
  <c r="C2" i="1" l="1"/>
  <c r="D2" i="1" s="1"/>
  <c r="E2" i="1" s="1"/>
  <c r="F2" i="1" s="1"/>
  <c r="G2" i="1" s="1"/>
  <c r="H2" i="1" s="1"/>
  <c r="I2" i="1" s="1"/>
  <c r="J2" i="1" s="1"/>
  <c r="K2" i="1" s="1"/>
  <c r="L2" i="1" s="1"/>
  <c r="M2" i="1" s="1"/>
  <c r="N2" i="1" s="1"/>
  <c r="O2" i="1" s="1"/>
  <c r="P2" i="1" s="1"/>
  <c r="Q2" i="1" s="1"/>
  <c r="R2" i="1" s="1"/>
  <c r="S2" i="1" s="1"/>
  <c r="T2" i="1" s="1"/>
  <c r="U2" i="1" s="1"/>
  <c r="V2" i="1" s="1"/>
  <c r="W2" i="1" s="1"/>
  <c r="X2" i="1" s="1"/>
  <c r="Y2" i="1" s="1"/>
  <c r="Z2" i="1" s="1"/>
  <c r="AA2" i="1" s="1"/>
  <c r="AB2" i="1" s="1"/>
  <c r="AC2" i="1" s="1"/>
  <c r="AD2" i="1" s="1"/>
  <c r="AE2" i="1" s="1"/>
  <c r="AF2" i="1" s="1"/>
  <c r="AG2" i="1" s="1"/>
  <c r="AH2" i="1" s="1"/>
  <c r="AI2" i="1" s="1"/>
  <c r="AJ2" i="1" s="1"/>
  <c r="AK2" i="1" s="1"/>
  <c r="AL2" i="1" s="1"/>
  <c r="AM2" i="1" s="1"/>
  <c r="AN2" i="1" s="1"/>
  <c r="AO2" i="1" s="1"/>
  <c r="AP2" i="1" s="1"/>
</calcChain>
</file>

<file path=xl/sharedStrings.xml><?xml version="1.0" encoding="utf-8"?>
<sst xmlns="http://schemas.openxmlformats.org/spreadsheetml/2006/main" count="12" uniqueCount="12">
  <si>
    <t>Connecticut</t>
  </si>
  <si>
    <t>Delaware</t>
  </si>
  <si>
    <t>Maine</t>
  </si>
  <si>
    <t>Maryland</t>
  </si>
  <si>
    <t>Massachusetts</t>
  </si>
  <si>
    <t>New Hampshire</t>
  </si>
  <si>
    <t>New Jersey</t>
  </si>
  <si>
    <t>New York</t>
  </si>
  <si>
    <t>Rhode Island</t>
  </si>
  <si>
    <t>Vermont</t>
  </si>
  <si>
    <t>Total</t>
  </si>
  <si>
    <t>Virginia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</si>
</sst>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6">
    <xf numFmtId="0" fontId="0" fillId="0" borderId="0" xfId="0"/>
    <xf numFmtId="164" fontId="1" fillId="2" borderId="1" xfId="1" applyNumberFormat="1" applyFont="1" applyFill="1" applyBorder="1" applyAlignment="1">
      <alignment horizontal="right" wrapText="1"/>
    </xf>
    <xf numFmtId="164" fontId="1" fillId="2" borderId="1" xfId="1" applyNumberFormat="1" applyFont="1" applyFill="1" applyBorder="1" applyAlignment="1">
      <alignment wrapText="1"/>
    </xf>
    <xf numFmtId="164" fontId="1" fillId="0" borderId="1" xfId="1" applyNumberFormat="1" applyFont="1" applyFill="1" applyBorder="1" applyAlignment="1">
      <alignment wrapText="1"/>
    </xf>
    <xf numFmtId="3" fontId="1" fillId="2" borderId="1" xfId="1" applyNumberFormat="1" applyFont="1" applyFill="1" applyBorder="1" applyAlignment="1">
      <alignment wrapText="1"/>
    </xf>
    <xf numFmtId="3" fontId="1" fillId="0" borderId="1" xfId="1" applyNumberFormat="1" applyFont="1" applyFill="1" applyBorder="1" applyAlignment="1">
      <alignment wrapText="1"/>
    </xf>
    <xf numFmtId="3" fontId="1" fillId="3" borderId="1" xfId="1" applyNumberFormat="1" applyFont="1" applyFill="1" applyBorder="1" applyAlignment="1">
      <alignment wrapText="1"/>
    </xf>
    <xf numFmtId="3" fontId="1" fillId="2" borderId="1" xfId="1" applyNumberFormat="1" applyFont="1" applyFill="1" applyBorder="1" applyAlignment="1">
      <alignment horizontal="right" wrapText="1"/>
    </xf>
    <xf numFmtId="3" fontId="1" fillId="3" borderId="1" xfId="1" applyNumberFormat="1" applyFont="1" applyFill="1" applyBorder="1" applyAlignment="1">
      <alignment horizontal="right" wrapText="1"/>
    </xf>
    <xf numFmtId="164" fontId="1" fillId="3" borderId="1" xfId="1" applyNumberFormat="1" applyFont="1" applyFill="1" applyBorder="1" applyAlignment="1">
      <alignment wrapText="1"/>
    </xf>
    <xf numFmtId="164" fontId="1" fillId="0" borderId="1" xfId="1" applyNumberFormat="1" applyFont="1" applyFill="1" applyBorder="1" applyAlignment="1">
      <alignment horizontal="right" wrapText="1"/>
    </xf>
    <xf numFmtId="0" fontId="0" fillId="0" borderId="1" xfId="0" applyBorder="1"/>
    <xf numFmtId="0" fontId="0" fillId="3" borderId="1" xfId="0" applyFill="1" applyBorder="1"/>
    <xf numFmtId="0" fontId="2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164" fontId="1" fillId="3" borderId="1" xfId="1" applyNumberFormat="1" applyFont="1" applyFill="1" applyBorder="1" applyAlignment="1">
      <alignment horizontal="right" wrapText="1"/>
    </xf>
    <xf numFmtId="164" fontId="1" fillId="2" borderId="2" xfId="1" applyNumberFormat="1" applyFont="1" applyFill="1" applyBorder="1" applyAlignment="1">
      <alignment wrapText="1"/>
    </xf>
    <xf numFmtId="0" fontId="0" fillId="0" borderId="0" xfId="0" applyFill="1"/>
    <xf numFmtId="164" fontId="2" fillId="0" borderId="1" xfId="1" applyNumberFormat="1" applyFont="1" applyFill="1" applyBorder="1" applyAlignment="1">
      <alignment wrapText="1"/>
    </xf>
    <xf numFmtId="0" fontId="0" fillId="0" borderId="0" xfId="0" applyFill="1" applyBorder="1"/>
    <xf numFmtId="164" fontId="2" fillId="0" borderId="0" xfId="1" applyNumberFormat="1" applyFont="1" applyFill="1" applyBorder="1" applyAlignment="1">
      <alignment wrapText="1"/>
    </xf>
    <xf numFmtId="3" fontId="1" fillId="2" borderId="3" xfId="1" applyNumberFormat="1" applyFont="1" applyFill="1" applyBorder="1" applyAlignment="1">
      <alignment wrapText="1"/>
    </xf>
    <xf numFmtId="3" fontId="1" fillId="2" borderId="2" xfId="1" applyNumberFormat="1" applyFont="1" applyFill="1" applyBorder="1" applyAlignment="1">
      <alignment wrapText="1"/>
    </xf>
    <xf numFmtId="0" fontId="2" fillId="0" borderId="1" xfId="0" applyFont="1" applyFill="1" applyBorder="1" applyAlignment="1">
      <alignment horizontal="left"/>
    </xf>
    <xf numFmtId="0" fontId="2" fillId="0" borderId="1" xfId="0" applyFont="1" applyFill="1" applyBorder="1"/>
    <xf numFmtId="164" fontId="2" fillId="0" borderId="1" xfId="0" applyNumberFormat="1" applyFont="1" applyFill="1" applyBorder="1" applyAlignment="1">
      <alignment wrapText="1"/>
    </xf>
    <xf numFmtId="164" fontId="2" fillId="0" borderId="1" xfId="1" applyNumberFormat="1" applyFont="1" applyFill="1" applyBorder="1" applyAlignment="1">
      <alignment horizontal="right" wrapText="1"/>
    </xf>
    <xf numFmtId="164" fontId="2" fillId="0" borderId="4" xfId="1" applyNumberFormat="1" applyFont="1" applyFill="1" applyBorder="1" applyAlignment="1">
      <alignment horizontal="right" wrapText="1"/>
    </xf>
    <xf numFmtId="164" fontId="1" fillId="0" borderId="5" xfId="1" applyNumberFormat="1" applyFont="1" applyFill="1" applyBorder="1" applyAlignment="1">
      <alignment horizontal="right" wrapText="1"/>
    </xf>
    <xf numFmtId="0" fontId="0" fillId="0" borderId="2" xfId="0" applyBorder="1"/>
    <xf numFmtId="0" fontId="2" fillId="0" borderId="0" xfId="0" applyFont="1" applyFill="1" applyBorder="1"/>
    <xf numFmtId="164" fontId="2" fillId="0" borderId="2" xfId="1" applyNumberFormat="1" applyFont="1" applyFill="1" applyBorder="1" applyAlignment="1">
      <alignment wrapText="1"/>
    </xf>
    <xf numFmtId="37" fontId="2" fillId="0" borderId="6" xfId="1" applyNumberFormat="1" applyFont="1" applyFill="1" applyBorder="1" applyAlignment="1">
      <alignment horizontal="right" wrapText="1"/>
    </xf>
    <xf numFmtId="37" fontId="2" fillId="0" borderId="2" xfId="1" applyNumberFormat="1" applyFont="1" applyFill="1" applyBorder="1" applyAlignment="1">
      <alignment horizontal="right" wrapText="1"/>
    </xf>
    <xf numFmtId="0" fontId="0" fillId="0" borderId="0" xfId="0" applyBorder="1"/>
    <xf numFmtId="164" fontId="0" fillId="0" borderId="7" xfId="0" applyNumberFormat="1" applyFill="1" applyBorder="1" applyAlignment="1">
      <alignment wrapText="1"/>
    </xf>
    <xf numFmtId="164" fontId="1" fillId="0" borderId="7" xfId="1" applyNumberFormat="1" applyFont="1" applyFill="1" applyBorder="1" applyAlignment="1">
      <alignment wrapText="1"/>
    </xf>
    <xf numFmtId="3" fontId="1" fillId="0" borderId="7" xfId="1" applyNumberFormat="1" applyFont="1" applyFill="1" applyBorder="1" applyAlignment="1">
      <alignment wrapText="1"/>
    </xf>
    <xf numFmtId="0" fontId="2" fillId="0" borderId="7" xfId="0" applyFont="1" applyFill="1" applyBorder="1"/>
    <xf numFmtId="0" fontId="0" fillId="0" borderId="7" xfId="0" applyFill="1" applyBorder="1"/>
    <xf numFmtId="164" fontId="2" fillId="0" borderId="7" xfId="0" applyNumberFormat="1" applyFont="1" applyFill="1" applyBorder="1"/>
    <xf numFmtId="0" fontId="2" fillId="0" borderId="2" xfId="0" applyFont="1" applyFill="1" applyBorder="1"/>
    <xf numFmtId="164" fontId="2" fillId="0" borderId="2" xfId="1" applyNumberFormat="1" applyFont="1" applyFill="1" applyBorder="1" applyAlignment="1">
      <alignment horizontal="right" wrapText="1"/>
    </xf>
    <xf numFmtId="0" fontId="2" fillId="0" borderId="0" xfId="0" applyFont="1" applyFill="1"/>
    <xf numFmtId="0" fontId="2" fillId="0" borderId="0" xfId="0" applyFont="1"/>
    <xf numFmtId="3" fontId="1" fillId="3" borderId="4" xfId="1" applyNumberFormat="1" applyFont="1" applyFill="1" applyBorder="1" applyAlignment="1">
      <alignment horizontal="right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F4519-E247-4BE4-AE2C-B5B5AE29B515}">
  <dimension ref="A2:AP22"/>
  <sheetViews>
    <sheetView tabSelected="1" workbookViewId="0">
      <pane xSplit="1" topLeftCell="B1" activePane="topRight" state="frozen"/>
      <selection pane="topRight" activeCell="F1" sqref="F1"/>
    </sheetView>
  </sheetViews>
  <sheetFormatPr defaultRowHeight="14.5" x14ac:dyDescent="0.35"/>
  <cols>
    <col min="1" max="1" width="14.08984375" bestFit="1" customWidth="1"/>
    <col min="2" max="2" width="17.453125" bestFit="1" customWidth="1"/>
    <col min="3" max="3" width="11.1796875" customWidth="1"/>
    <col min="4" max="4" width="12.453125" customWidth="1"/>
    <col min="5" max="5" width="11.6328125" bestFit="1" customWidth="1"/>
    <col min="6" max="6" width="10.6328125" bestFit="1" customWidth="1"/>
    <col min="7" max="7" width="13" customWidth="1"/>
    <col min="8" max="10" width="10.6328125" bestFit="1" customWidth="1"/>
    <col min="11" max="11" width="14.08984375" customWidth="1"/>
    <col min="12" max="12" width="11.08984375" customWidth="1"/>
    <col min="13" max="13" width="11.26953125" bestFit="1" customWidth="1"/>
    <col min="14" max="14" width="13" customWidth="1"/>
    <col min="15" max="15" width="16.08984375" customWidth="1"/>
    <col min="16" max="17" width="11.1796875" bestFit="1" customWidth="1"/>
  </cols>
  <sheetData>
    <row r="2" spans="1:42" x14ac:dyDescent="0.35">
      <c r="B2" s="11">
        <v>2010</v>
      </c>
      <c r="C2" s="11">
        <f>B2+1</f>
        <v>2011</v>
      </c>
      <c r="D2" s="11">
        <f t="shared" ref="D2:AP2" si="0">C2+1</f>
        <v>2012</v>
      </c>
      <c r="E2" s="11">
        <f t="shared" si="0"/>
        <v>2013</v>
      </c>
      <c r="F2" s="11">
        <f t="shared" si="0"/>
        <v>2014</v>
      </c>
      <c r="G2" s="11">
        <f t="shared" si="0"/>
        <v>2015</v>
      </c>
      <c r="H2" s="11">
        <f t="shared" si="0"/>
        <v>2016</v>
      </c>
      <c r="I2" s="11">
        <f t="shared" si="0"/>
        <v>2017</v>
      </c>
      <c r="J2" s="11">
        <f t="shared" si="0"/>
        <v>2018</v>
      </c>
      <c r="K2" s="11">
        <f t="shared" si="0"/>
        <v>2019</v>
      </c>
      <c r="L2" s="11">
        <f t="shared" si="0"/>
        <v>2020</v>
      </c>
      <c r="M2" s="11">
        <f t="shared" si="0"/>
        <v>2021</v>
      </c>
      <c r="N2" s="11">
        <f t="shared" si="0"/>
        <v>2022</v>
      </c>
      <c r="O2" s="11">
        <f t="shared" si="0"/>
        <v>2023</v>
      </c>
      <c r="P2" s="11">
        <f t="shared" si="0"/>
        <v>2024</v>
      </c>
      <c r="Q2" s="11">
        <f t="shared" si="0"/>
        <v>2025</v>
      </c>
      <c r="R2">
        <f t="shared" si="0"/>
        <v>2026</v>
      </c>
      <c r="S2">
        <f t="shared" si="0"/>
        <v>2027</v>
      </c>
      <c r="T2">
        <f t="shared" si="0"/>
        <v>2028</v>
      </c>
      <c r="U2">
        <f t="shared" si="0"/>
        <v>2029</v>
      </c>
      <c r="V2">
        <f t="shared" si="0"/>
        <v>2030</v>
      </c>
      <c r="W2">
        <f t="shared" si="0"/>
        <v>2031</v>
      </c>
      <c r="X2">
        <f t="shared" si="0"/>
        <v>2032</v>
      </c>
      <c r="Y2">
        <f t="shared" si="0"/>
        <v>2033</v>
      </c>
      <c r="Z2">
        <f t="shared" si="0"/>
        <v>2034</v>
      </c>
      <c r="AA2">
        <f t="shared" si="0"/>
        <v>2035</v>
      </c>
      <c r="AB2">
        <f t="shared" si="0"/>
        <v>2036</v>
      </c>
      <c r="AC2">
        <f t="shared" si="0"/>
        <v>2037</v>
      </c>
      <c r="AD2">
        <f t="shared" si="0"/>
        <v>2038</v>
      </c>
      <c r="AE2">
        <f t="shared" si="0"/>
        <v>2039</v>
      </c>
      <c r="AF2">
        <f t="shared" si="0"/>
        <v>2040</v>
      </c>
      <c r="AG2">
        <f t="shared" si="0"/>
        <v>2041</v>
      </c>
      <c r="AH2">
        <f t="shared" si="0"/>
        <v>2042</v>
      </c>
      <c r="AI2">
        <f t="shared" si="0"/>
        <v>2043</v>
      </c>
      <c r="AJ2">
        <f>AI2+1</f>
        <v>2044</v>
      </c>
      <c r="AK2">
        <f t="shared" si="0"/>
        <v>2045</v>
      </c>
      <c r="AL2">
        <f t="shared" si="0"/>
        <v>2046</v>
      </c>
      <c r="AM2">
        <f t="shared" si="0"/>
        <v>2047</v>
      </c>
      <c r="AN2">
        <f t="shared" si="0"/>
        <v>2048</v>
      </c>
      <c r="AO2">
        <f>AN2+1</f>
        <v>2049</v>
      </c>
      <c r="AP2">
        <f t="shared" si="0"/>
        <v>2050</v>
      </c>
    </row>
    <row r="3" spans="1:42" x14ac:dyDescent="0.35">
      <c r="A3" s="13" t="s">
        <v>0</v>
      </c>
      <c r="B3" s="2">
        <v>10695036</v>
      </c>
      <c r="C3" s="2">
        <v>10695036</v>
      </c>
      <c r="D3" s="4">
        <v>10695036</v>
      </c>
      <c r="E3" s="7">
        <v>10695036</v>
      </c>
      <c r="F3" s="2">
        <v>5891895</v>
      </c>
      <c r="G3" s="2">
        <v>5744598</v>
      </c>
      <c r="H3" s="21">
        <v>5600983</v>
      </c>
      <c r="I3" s="2">
        <v>5460958</v>
      </c>
      <c r="J3" s="2">
        <v>5324434</v>
      </c>
      <c r="K3" s="2">
        <v>5191324</v>
      </c>
      <c r="L3" s="11">
        <v>5061540</v>
      </c>
      <c r="M3" s="1">
        <v>4860813</v>
      </c>
      <c r="N3" s="1">
        <v>4713516</v>
      </c>
      <c r="O3" s="1">
        <v>4566218</v>
      </c>
      <c r="P3" s="1">
        <v>4418921</v>
      </c>
      <c r="Q3" s="1">
        <v>4271624</v>
      </c>
    </row>
    <row r="4" spans="1:42" x14ac:dyDescent="0.35">
      <c r="A4" s="13" t="s">
        <v>1</v>
      </c>
      <c r="B4" s="2">
        <v>7559787</v>
      </c>
      <c r="C4" s="2">
        <v>7559787</v>
      </c>
      <c r="D4" s="4">
        <v>7559787</v>
      </c>
      <c r="E4" s="7">
        <v>7559787</v>
      </c>
      <c r="F4" s="2">
        <v>4064687</v>
      </c>
      <c r="G4" s="2">
        <v>3963069</v>
      </c>
      <c r="H4" s="4">
        <v>3863993</v>
      </c>
      <c r="I4" s="2">
        <v>3860079</v>
      </c>
      <c r="J4" s="2">
        <v>3763577</v>
      </c>
      <c r="K4" s="2">
        <v>3613361</v>
      </c>
      <c r="L4" s="11">
        <v>3523027</v>
      </c>
      <c r="M4" s="1">
        <v>3383313</v>
      </c>
      <c r="N4" s="1">
        <v>3280789</v>
      </c>
      <c r="O4" s="1">
        <v>3178264</v>
      </c>
      <c r="P4" s="1">
        <v>3075739</v>
      </c>
      <c r="Q4" s="1">
        <v>2973215</v>
      </c>
    </row>
    <row r="5" spans="1:42" x14ac:dyDescent="0.35">
      <c r="A5" s="14" t="s">
        <v>2</v>
      </c>
      <c r="B5" s="2">
        <v>5948902</v>
      </c>
      <c r="C5" s="2">
        <v>5948902</v>
      </c>
      <c r="D5" s="4">
        <v>5948902</v>
      </c>
      <c r="E5" s="7">
        <v>5948902</v>
      </c>
      <c r="F5" s="2">
        <v>3277250</v>
      </c>
      <c r="G5" s="2">
        <v>3195319</v>
      </c>
      <c r="H5" s="4">
        <v>3115436</v>
      </c>
      <c r="I5" s="2">
        <v>3037550</v>
      </c>
      <c r="J5" s="2">
        <v>2961611</v>
      </c>
      <c r="K5" s="2">
        <v>2887571</v>
      </c>
      <c r="L5" s="11">
        <v>2815382</v>
      </c>
      <c r="M5" s="1">
        <v>2733450</v>
      </c>
      <c r="N5" s="10">
        <v>2651519</v>
      </c>
      <c r="O5" s="1">
        <v>2569587</v>
      </c>
      <c r="P5" s="1">
        <v>2487656</v>
      </c>
      <c r="Q5" s="1">
        <v>2405725</v>
      </c>
    </row>
    <row r="6" spans="1:42" x14ac:dyDescent="0.35">
      <c r="A6" s="13" t="s">
        <v>3</v>
      </c>
      <c r="B6" s="2">
        <v>37503983</v>
      </c>
      <c r="C6" s="2">
        <v>37503983</v>
      </c>
      <c r="D6" s="4">
        <v>37503983</v>
      </c>
      <c r="E6" s="7">
        <v>37503983</v>
      </c>
      <c r="F6" s="2">
        <v>20360944</v>
      </c>
      <c r="G6" s="2">
        <v>19851920</v>
      </c>
      <c r="H6" s="4">
        <v>19355622</v>
      </c>
      <c r="I6" s="2">
        <v>19149790</v>
      </c>
      <c r="J6" s="2">
        <v>18671045</v>
      </c>
      <c r="K6" s="2">
        <v>17931922</v>
      </c>
      <c r="L6" s="11">
        <v>17483623</v>
      </c>
      <c r="M6" s="1">
        <v>16790271</v>
      </c>
      <c r="N6" s="1">
        <v>16281475</v>
      </c>
      <c r="O6" s="1">
        <v>15772679</v>
      </c>
      <c r="P6" s="1">
        <v>15263882</v>
      </c>
      <c r="Q6" s="1">
        <v>14755086</v>
      </c>
    </row>
    <row r="7" spans="1:42" x14ac:dyDescent="0.35">
      <c r="A7" s="13" t="s">
        <v>4</v>
      </c>
      <c r="B7" s="2">
        <v>26660204</v>
      </c>
      <c r="C7" s="2">
        <v>26660204</v>
      </c>
      <c r="D7" s="4">
        <v>26660204</v>
      </c>
      <c r="E7" s="7">
        <v>26660204</v>
      </c>
      <c r="F7" s="2">
        <v>14487106</v>
      </c>
      <c r="G7" s="2">
        <v>14124929</v>
      </c>
      <c r="H7" s="4">
        <v>13771805</v>
      </c>
      <c r="I7" s="2">
        <v>13612882</v>
      </c>
      <c r="J7" s="2">
        <v>13083598</v>
      </c>
      <c r="K7" s="2">
        <v>12756508</v>
      </c>
      <c r="L7" s="11">
        <v>12437596</v>
      </c>
      <c r="M7" s="1">
        <v>11944355</v>
      </c>
      <c r="N7" s="1">
        <v>11582404</v>
      </c>
      <c r="O7" s="1">
        <v>11220454</v>
      </c>
      <c r="P7" s="1">
        <v>10858504</v>
      </c>
      <c r="Q7" s="1">
        <v>10496554</v>
      </c>
    </row>
    <row r="8" spans="1:42" x14ac:dyDescent="0.35">
      <c r="A8" s="13" t="s">
        <v>5</v>
      </c>
      <c r="B8" s="3">
        <v>8620460</v>
      </c>
      <c r="C8" s="3">
        <v>8620460</v>
      </c>
      <c r="D8" s="4">
        <v>8620460</v>
      </c>
      <c r="E8" s="7">
        <v>8620460</v>
      </c>
      <c r="F8" s="2">
        <v>4749011</v>
      </c>
      <c r="G8" s="2">
        <v>4630286</v>
      </c>
      <c r="H8" s="4">
        <v>4514529</v>
      </c>
      <c r="I8" s="2">
        <v>4401665</v>
      </c>
      <c r="J8" s="2">
        <v>4291624</v>
      </c>
      <c r="K8" s="2">
        <v>4184333</v>
      </c>
      <c r="L8" s="11">
        <v>4079725</v>
      </c>
      <c r="M8" s="1">
        <v>3960999</v>
      </c>
      <c r="N8" s="1">
        <v>3842274</v>
      </c>
      <c r="O8" s="1">
        <v>3723549</v>
      </c>
      <c r="P8" s="1">
        <v>3604823</v>
      </c>
      <c r="Q8" s="1">
        <v>3486098</v>
      </c>
    </row>
    <row r="9" spans="1:42" x14ac:dyDescent="0.35">
      <c r="A9" s="13" t="s">
        <v>6</v>
      </c>
      <c r="B9" s="2">
        <v>22892730</v>
      </c>
      <c r="C9" s="2">
        <v>22892730</v>
      </c>
      <c r="D9" s="6"/>
      <c r="E9" s="8"/>
      <c r="F9" s="9"/>
      <c r="G9" s="9"/>
      <c r="H9" s="6"/>
      <c r="I9" s="9"/>
      <c r="J9" s="9"/>
      <c r="K9" s="9"/>
      <c r="L9" s="11">
        <v>18000000</v>
      </c>
      <c r="M9" s="1">
        <v>17460000</v>
      </c>
      <c r="N9" s="1">
        <v>16920000</v>
      </c>
      <c r="O9" s="1">
        <v>16380000</v>
      </c>
      <c r="P9" s="1">
        <v>15840000</v>
      </c>
      <c r="Q9" s="1">
        <v>15300000</v>
      </c>
    </row>
    <row r="10" spans="1:42" x14ac:dyDescent="0.35">
      <c r="A10" s="13" t="s">
        <v>7</v>
      </c>
      <c r="B10" s="2">
        <v>64310805</v>
      </c>
      <c r="C10" s="2">
        <v>64310805</v>
      </c>
      <c r="D10" s="4">
        <v>64310805</v>
      </c>
      <c r="E10" s="7">
        <v>64310805</v>
      </c>
      <c r="F10" s="2">
        <v>35228822</v>
      </c>
      <c r="G10" s="2">
        <v>34348101</v>
      </c>
      <c r="H10" s="4">
        <v>33489399</v>
      </c>
      <c r="I10" s="2">
        <v>32837536</v>
      </c>
      <c r="J10" s="2">
        <v>32016597</v>
      </c>
      <c r="K10" s="2">
        <v>31216182</v>
      </c>
      <c r="L10" s="11">
        <v>30435778</v>
      </c>
      <c r="M10" s="1">
        <v>29056270</v>
      </c>
      <c r="N10" s="10">
        <v>28175777</v>
      </c>
      <c r="O10" s="1">
        <v>27295284</v>
      </c>
      <c r="P10" s="1">
        <v>26414791</v>
      </c>
      <c r="Q10" s="1">
        <v>25534298</v>
      </c>
    </row>
    <row r="11" spans="1:42" x14ac:dyDescent="0.35">
      <c r="A11" s="13" t="s">
        <v>8</v>
      </c>
      <c r="B11" s="2">
        <v>2659239</v>
      </c>
      <c r="C11" s="2">
        <v>2659239</v>
      </c>
      <c r="D11" s="5">
        <v>2659239</v>
      </c>
      <c r="E11" s="7">
        <v>2659239</v>
      </c>
      <c r="F11" s="2">
        <v>2284975</v>
      </c>
      <c r="G11" s="2">
        <v>2227851</v>
      </c>
      <c r="H11" s="4">
        <v>2172154</v>
      </c>
      <c r="I11" s="2">
        <v>1357826</v>
      </c>
      <c r="J11" s="2">
        <v>1512843</v>
      </c>
      <c r="K11" s="2">
        <v>2005354</v>
      </c>
      <c r="L11" s="11">
        <v>1955221</v>
      </c>
      <c r="M11" s="1">
        <v>1877683</v>
      </c>
      <c r="N11" s="1">
        <v>1820783</v>
      </c>
      <c r="O11" s="1">
        <v>1763884</v>
      </c>
      <c r="P11" s="1">
        <v>1706986</v>
      </c>
      <c r="Q11" s="1">
        <v>1650085</v>
      </c>
      <c r="R11" s="34"/>
    </row>
    <row r="12" spans="1:42" x14ac:dyDescent="0.35">
      <c r="A12" s="13" t="s">
        <v>9</v>
      </c>
      <c r="B12" s="2">
        <v>1225830</v>
      </c>
      <c r="C12" s="2">
        <v>1225830</v>
      </c>
      <c r="D12" s="4">
        <v>1225830</v>
      </c>
      <c r="E12" s="7">
        <v>1225830</v>
      </c>
      <c r="F12" s="16">
        <v>655310</v>
      </c>
      <c r="G12" s="16">
        <v>638927</v>
      </c>
      <c r="H12" s="22">
        <v>622954</v>
      </c>
      <c r="I12" s="16">
        <v>625917</v>
      </c>
      <c r="J12" s="16">
        <v>610269</v>
      </c>
      <c r="K12" s="16">
        <v>577390</v>
      </c>
      <c r="L12" s="29">
        <v>562955</v>
      </c>
      <c r="M12" s="1">
        <v>540630</v>
      </c>
      <c r="N12" s="1">
        <v>524247</v>
      </c>
      <c r="O12" s="1">
        <v>507865</v>
      </c>
      <c r="P12" s="1">
        <v>491482</v>
      </c>
      <c r="Q12" s="1">
        <v>475099</v>
      </c>
      <c r="R12" s="34"/>
    </row>
    <row r="13" spans="1:42" x14ac:dyDescent="0.35">
      <c r="A13" s="23" t="s">
        <v>11</v>
      </c>
      <c r="B13" s="9"/>
      <c r="C13" s="9"/>
      <c r="D13" s="6"/>
      <c r="E13" s="45"/>
      <c r="F13" s="9"/>
      <c r="G13" s="9"/>
      <c r="H13" s="6"/>
      <c r="I13" s="9"/>
      <c r="J13" s="9"/>
      <c r="K13" s="9"/>
      <c r="L13" s="12"/>
      <c r="M13" s="28">
        <v>27160000</v>
      </c>
      <c r="N13" s="10">
        <v>26320000</v>
      </c>
      <c r="O13" s="10">
        <v>25480000</v>
      </c>
      <c r="P13" s="15"/>
      <c r="Q13" s="15"/>
      <c r="R13" s="19"/>
      <c r="S13" s="17"/>
    </row>
    <row r="14" spans="1:42" s="44" customFormat="1" x14ac:dyDescent="0.35">
      <c r="A14" s="24" t="s">
        <v>10</v>
      </c>
      <c r="B14" s="25">
        <v>188076976</v>
      </c>
      <c r="C14" s="25">
        <v>188076976</v>
      </c>
      <c r="D14" s="18">
        <v>165184246</v>
      </c>
      <c r="E14" s="27">
        <v>165184246</v>
      </c>
      <c r="F14" s="31">
        <v>91000000</v>
      </c>
      <c r="G14" s="31">
        <v>88725000</v>
      </c>
      <c r="H14" s="31">
        <f>SUM(H3:H12)</f>
        <v>86506875</v>
      </c>
      <c r="I14" s="31">
        <v>84344203</v>
      </c>
      <c r="J14" s="31">
        <v>82235598</v>
      </c>
      <c r="K14" s="31">
        <f>SUM(K3:K12)</f>
        <v>80363945</v>
      </c>
      <c r="L14" s="41">
        <v>96354847</v>
      </c>
      <c r="M14" s="32">
        <v>119767784</v>
      </c>
      <c r="N14" s="33">
        <v>116112784</v>
      </c>
      <c r="O14" s="33">
        <v>112457784</v>
      </c>
      <c r="P14" s="42">
        <v>84162784</v>
      </c>
      <c r="Q14" s="26">
        <v>81347784</v>
      </c>
      <c r="R14" s="30">
        <v>78532784</v>
      </c>
      <c r="S14" s="43">
        <v>75717784</v>
      </c>
      <c r="T14" s="44">
        <v>72902784</v>
      </c>
      <c r="U14" s="44">
        <v>70087784</v>
      </c>
      <c r="V14" s="44">
        <v>67272784</v>
      </c>
      <c r="W14" s="44">
        <v>67272784</v>
      </c>
      <c r="X14" s="44">
        <v>67272784</v>
      </c>
      <c r="Y14" s="44">
        <v>67272784</v>
      </c>
      <c r="Z14" s="44">
        <v>67272784</v>
      </c>
      <c r="AA14" s="44">
        <v>67272784</v>
      </c>
      <c r="AB14" s="44">
        <v>67272784</v>
      </c>
      <c r="AC14" s="44">
        <v>67272784</v>
      </c>
      <c r="AD14" s="44">
        <v>67272784</v>
      </c>
      <c r="AE14" s="44">
        <v>67272784</v>
      </c>
      <c r="AF14" s="44">
        <v>67272784</v>
      </c>
      <c r="AG14" s="44">
        <v>67272784</v>
      </c>
      <c r="AH14" s="44">
        <v>67272784</v>
      </c>
      <c r="AI14" s="44">
        <v>67272784</v>
      </c>
      <c r="AJ14" s="44">
        <v>67272784</v>
      </c>
      <c r="AK14" s="44">
        <v>67272784</v>
      </c>
      <c r="AL14" s="44">
        <v>67272784</v>
      </c>
      <c r="AM14" s="44">
        <v>67272784</v>
      </c>
      <c r="AN14" s="44">
        <v>67272784</v>
      </c>
      <c r="AO14" s="44">
        <v>67272784</v>
      </c>
      <c r="AP14" s="44">
        <v>67272784</v>
      </c>
    </row>
    <row r="15" spans="1:42" x14ac:dyDescent="0.35">
      <c r="A15" s="17"/>
      <c r="B15" s="17"/>
      <c r="C15" s="17"/>
      <c r="D15" s="17"/>
      <c r="E15" s="19"/>
      <c r="F15" s="35"/>
      <c r="G15" s="36"/>
      <c r="H15" s="37"/>
      <c r="I15" s="36"/>
      <c r="J15" s="36"/>
      <c r="K15" s="36"/>
      <c r="L15" s="38"/>
      <c r="M15" s="39"/>
      <c r="N15" s="39"/>
      <c r="O15" s="39"/>
      <c r="P15" s="40"/>
      <c r="Q15" s="40"/>
      <c r="R15" s="19"/>
      <c r="S15" s="17"/>
    </row>
    <row r="16" spans="1:42" x14ac:dyDescent="0.35">
      <c r="A16" s="17"/>
      <c r="B16" s="17"/>
      <c r="C16" s="17"/>
      <c r="D16" s="17"/>
      <c r="E16" s="19"/>
      <c r="F16" s="20"/>
      <c r="G16" s="20"/>
      <c r="H16" s="20"/>
      <c r="I16" s="20"/>
      <c r="J16" s="20"/>
      <c r="K16" s="20"/>
      <c r="L16" s="19"/>
      <c r="M16" s="19"/>
      <c r="N16" s="19"/>
      <c r="O16" s="19"/>
      <c r="P16" s="19"/>
      <c r="Q16" s="19"/>
      <c r="R16" s="19"/>
      <c r="S16" s="17"/>
    </row>
    <row r="17" spans="1:19" x14ac:dyDescent="0.35">
      <c r="A17" s="17"/>
      <c r="B17" s="17"/>
      <c r="C17" s="17"/>
      <c r="D17" s="17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7"/>
    </row>
    <row r="18" spans="1:19" x14ac:dyDescent="0.35">
      <c r="A18" s="17"/>
      <c r="B18" s="17"/>
      <c r="C18" s="17"/>
      <c r="D18" s="17"/>
      <c r="E18" s="17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7"/>
    </row>
    <row r="19" spans="1:19" x14ac:dyDescent="0.35">
      <c r="F19" s="34"/>
      <c r="G19" s="19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</row>
    <row r="20" spans="1:19" x14ac:dyDescent="0.35"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</row>
    <row r="21" spans="1:19" x14ac:dyDescent="0.35">
      <c r="R21" s="34"/>
    </row>
    <row r="22" spans="1:19" x14ac:dyDescent="0.35">
      <c r="R22" s="34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5965d95-ecc0-4720-b759-1f33c42ed7da}" enabled="1" method="Standard" siteId="{a0f29d7e-28cd-4f54-8442-7885aee7c08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Fuchs, Rebecca</dc:creator>
  <cp:lastModifiedBy>Fuchs, Rebecca</cp:lastModifiedBy>
  <dcterms:created xsi:type="dcterms:W3CDTF">2025-02-17T23:11:19Z</dcterms:created>
  <dcterms:modified xsi:type="dcterms:W3CDTF">2025-03-10T21:05:52Z</dcterms:modified>
</cp:coreProperties>
</file>